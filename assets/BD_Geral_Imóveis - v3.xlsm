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workbookPr codeName="ThisWorkbook" hidePivotFieldList="1"/>
  <mc:AlternateContent xmlns:mc="http://schemas.openxmlformats.org/markup-compatibility/2006">
    <mc:Choice Requires="x15">
      <x15ac:absPath xmlns:x15ac="http://schemas.microsoft.com/office/spreadsheetml/2010/11/ac" url="C:\Users\luciany.mikos\Grupo Marista\PATRIMÔNIO IMOBILIÁRIO - INDICADORES - Documentos\GM - Grupo Marista\01. Power BI\03 - Base Regularização\"/>
    </mc:Choice>
  </mc:AlternateContent>
  <xr:revisionPtr revIDLastSave="3974" documentId="8_{DA30D58B-A536-4B4E-BFA3-8CD7DC0A179B}" xr6:coauthVersionLast="45" xr6:coauthVersionMax="47" xr10:uidLastSave="{68D1B2EE-937F-4E8B-BC0B-F6745475101F}"/>
  <bookViews>
    <workbookView xWindow="-110" yWindow="-110" windowWidth="19420" windowHeight="10420" firstSheet="1" activeTab="1" xr2:uid="{00000000-000D-0000-FFFF-FFFF00000000}"/>
  </bookViews>
  <sheets>
    <sheet name="TD - VALIDAÇÃO" sheetId="23" r:id="rId1"/>
    <sheet name="Base" sheetId="14" r:id="rId2"/>
    <sheet name="DEPARA - MATRICULAS" sheetId="24" r:id="rId3"/>
  </sheets>
  <externalReferences>
    <externalReference r:id="rId4"/>
  </externalReferences>
  <definedNames>
    <definedName name="____l"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__123Graph_A" hidden="1">#REF!</definedName>
    <definedName name="__l"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_Fill" hidden="1">#REF!</definedName>
    <definedName name="_xlnm._FilterDatabase" localSheetId="1" hidden="1">Base!$A$1:$X$858</definedName>
    <definedName name="_Key1" hidden="1">#REF!</definedName>
    <definedName name="_Order1" hidden="1">255</definedName>
    <definedName name="_Sort" hidden="1">#REF!</definedName>
    <definedName name="a"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aa"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ac" hidden="1">{#N/A,#N/A,FALSE,"CONSOL. 5";#N/A,#N/A,FALSE,"CONSOL. ACUM. 6";#N/A,#N/A,FALSE,"CAP. EMPREG. 7";#N/A,#N/A,FALSE,"ORIGENS E APLICAÇÕES 9"}</definedName>
    <definedName name="Adquirente">#REF!</definedName>
    <definedName name="B"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Bairro">#REF!</definedName>
    <definedName name="BASE">#REF!</definedName>
    <definedName name="BD">OFFSET(#REF!,0,0,#REF!,#REF!)</definedName>
    <definedName name="BDC">OFFSET(#REF!,0,0,1,#REF!)</definedName>
    <definedName name="BDI">OFFSET(#REF!,0,0,#REF!,1)</definedName>
    <definedName name="d" hidden="1">#REF!</definedName>
    <definedName name="D_2015" hidden="1">{#N/A,#N/A,FALSE,"CONSOL. 5";#N/A,#N/A,FALSE,"CONSOL. ACUM. 6";#N/A,#N/A,FALSE,"CAP. EMPREG. 7";#N/A,#N/A,FALSE,"ORIGENS E APLICAÇÕES 9"}</definedName>
    <definedName name="DCPF">#REF!</definedName>
    <definedName name="dd">#REF!</definedName>
    <definedName name="DEPARA">#REF!</definedName>
    <definedName name="Descricao">#REF!</definedName>
    <definedName name="DICKSON">[1]Dickson!$1:$1048576</definedName>
    <definedName name="DPCF">#REF!</definedName>
    <definedName name="DUT">#REF!</definedName>
    <definedName name="ENDER">[1]Endereços!$1:$1048576</definedName>
    <definedName name="fa">#REF!</definedName>
    <definedName name="fefefe" hidden="1">#REF!</definedName>
    <definedName name="FORNECEDORES" hidden="1">{#N/A,#N/A,FALSE,"CAPA";#N/A,#N/A,FALSE,"CONSOL. 2";#N/A,#N/A,FALSE,"CONSOL. 5";#N/A,#N/A,FALSE,"CONSOL. ACUM. 6";#N/A,#N/A,FALSE,"CAP. EMPREG. 7"}</definedName>
    <definedName name="hsbc">#REF!</definedName>
    <definedName name="InícioProjeto">#REF!</definedName>
    <definedName name="jojo"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ListaProjeto">#REF!</definedName>
    <definedName name="lkfldkld" hidden="1">#REF!</definedName>
    <definedName name="m"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Mai_Flash" hidden="1">{#N/A,#N/A,FALSE,"CONSOL. 5";#N/A,#N/A,FALSE,"CONSOL. ACUM. 6";#N/A,#N/A,FALSE,"CAP. EMPREG. 7";#N/A,#N/A,FALSE,"ORIGENS E APLICAÇÕES 9"}</definedName>
    <definedName name="Maio_Flash" hidden="1">{#N/A,#N/A,FALSE,"HAVAIANAS 24";#N/A,#N/A,FALSE,"Havaianas Mês e Acum 25";#N/A,#N/A,FALSE,"Havaianas Acum 26";#N/A,#N/A,FALSE,"GRANDES VOLUMES 27";#N/A,#N/A,FALSE,"GDV Mês e Acum 28";#N/A,#N/A,FALSE,"GDV Acum 29"}</definedName>
    <definedName name="Municipio">#REF!</definedName>
    <definedName name="n" hidden="1">{#N/A,#N/A,FALSE,"CONSOL. 5";#N/A,#N/A,FALSE,"CONSOL. ACUM. 6";#N/A,#N/A,FALSE,"CAP. EMPREG. 7";#N/A,#N/A,FALSE,"ORIGENS E APLICAÇÕES 9"}</definedName>
    <definedName name="ñ"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o" hidden="1">{#N/A,#N/A,FALSE,"COBERTURAS 30";#N/A,#N/A,FALSE,"COBERTURAS Mês e Acum 31";#N/A,#N/A,FALSE,"COBERTURAS Acum 32"}</definedName>
    <definedName name="p"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q" hidden="1">{#N/A,#N/A,FALSE,"CONSOL. 5";#N/A,#N/A,FALSE,"CONSOL. ACUM. 6";#N/A,#N/A,FALSE,"CAP. EMPREG. 7";#N/A,#N/A,FALSE,"ORIGENS E APLICAÇÕES 9"}</definedName>
    <definedName name="qf">#REF!</definedName>
    <definedName name="qq"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s"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saa" hidden="1">{#N/A,#N/A,FALSE,"CONSOL. 5";#N/A,#N/A,FALSE,"CONSOL. ACUM. 6";#N/A,#N/A,FALSE,"CAP. EMPREG. 7";#N/A,#N/A,FALSE,"ORIGENS E APLICAÇÕES 9"}</definedName>
    <definedName name="SAPBEXdnldView" hidden="1">"4C11UMIPEL10NHKVVHH8QG2SM"</definedName>
    <definedName name="SAPBEXsysID" hidden="1">"BIP"</definedName>
    <definedName name="sasas" hidden="1">#REF!</definedName>
    <definedName name="StaAquis">#REF!</definedName>
    <definedName name="TESTE" hidden="1">{#N/A,#N/A,FALSE,"CAPA";#N/A,#N/A,FALSE,"CONSOL. 2";#N/A,#N/A,FALSE,"CONSOL. 5";#N/A,#N/A,FALSE,"CONSOL. ACUM. 6";#N/A,#N/A,FALSE,"CAP. EMPREG. 7"}</definedName>
    <definedName name="UF">#REF!</definedName>
    <definedName name="w" hidden="1">{#N/A,#N/A,FALSE,"HAVAIANAS 24";#N/A,#N/A,FALSE,"Havaianas Mês e Acum 25";#N/A,#N/A,FALSE,"Havaianas Acum 26";#N/A,#N/A,FALSE,"GRANDES VOLUMES 27";#N/A,#N/A,FALSE,"GDV Mês e Acum 28";#N/A,#N/A,FALSE,"GDV Acum 29"}</definedName>
    <definedName name="wrn.Advanced._.Material." hidden="1">{#N/A,#N/A,FALSE,"CAPA";#N/A,#N/A,FALSE,"CONSOL. 2";#N/A,#N/A,FALSE,"CONSOL. 5";#N/A,#N/A,FALSE,"CONSOL. ACUM. 6";#N/A,#N/A,FALSE,"CAP. EMPREG. 7"}</definedName>
    <definedName name="wrn.Caderno._.Sem._.Radares."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wrn.Coberturas." hidden="1">{#N/A,#N/A,FALSE,"COBERTURAS 30";#N/A,#N/A,FALSE,"COBERTURAS Mês e Acum 31";#N/A,#N/A,FALSE,"COBERTURAS Acum 32"}</definedName>
    <definedName name="wrn.Consolidado." hidden="1">{#N/A,#N/A,FALSE,"CONSOL. 5";#N/A,#N/A,FALSE,"CONSOL. ACUM. 6";#N/A,#N/A,FALSE,"CAP. EMPREG. 7";#N/A,#N/A,FALSE,"ORIGENS E APLICAÇÕES 9"}</definedName>
    <definedName name="wrn.Havaianas._.e._.GDV." hidden="1">{#N/A,#N/A,FALSE,"HAVAIANAS 24";#N/A,#N/A,FALSE,"Havaianas Mês e Acum 25";#N/A,#N/A,FALSE,"Havaianas Acum 26";#N/A,#N/A,FALSE,"GRANDES VOLUMES 27";#N/A,#N/A,FALSE,"GDV Mês e Acum 28";#N/A,#N/A,FALSE,"GDV Acum 29"}</definedName>
    <definedName name="wrn.Meggashop." hidden="1">{#N/A,#N/A,FALSE,"MEGGASHOP 36";#N/A,#N/A,FALSE,"MEGGASHOP Mês e Acum 37";#N/A,#N/A,FALSE,"MEGGASHOP Acum 38"}</definedName>
    <definedName name="wrn.Memocal." hidden="1">{#N/A,#N/A,FALSE,"Memocal Consolidado";#N/A,#N/A,FALSE,"Memocal Rainha e Topper";#N/A,#N/A,FALSE,"Memocal Mizuno Total Esportivos";#N/A,#N/A,FALSE,"Memocal Sandálias e Têxteis Ind";#N/A,#N/A,FALSE,"Memocal CPM Timberland";#N/A,#N/A,FALSE,"Memocal Meggashop Total Desenv";#N/A,#N/A,FALSE,"Memocal EXPORTAÇÃO"}</definedName>
    <definedName name="wrn.Mizuno." hidden="1">{#N/A,#N/A,FALSE,"MIZUNO 21";#N/A,#N/A,FALSE,"Mizuno Mês e Acum 22";#N/A,#N/A,FALSE,"Mizuno Acum 23"}</definedName>
    <definedName name="wrn.Radar._.Consolidado." hidden="1">{#N/A,#N/A,FALSE,"Radar CONS Mês e Acum  3";#N/A,#N/A,FALSE,"Radar CONS Acum 4"}</definedName>
    <definedName name="wrn.Radares." hidden="1">{#N/A,#N/A,FALSE,"Radar CONS Mês e Acum  3 ";#N/A,#N/A,FALSE,"Radar CONS Acum 4";#N/A,#N/A,FALSE,"Rai Top Miz Mês e Acum 18";#N/A,#N/A,FALSE,"Rai Top Miz Acum 19";#N/A,#N/A,FALSE,"Sandálias Mês e Acum 26";#N/A,#N/A,FALSE,"Sandálias Acum 27";#N/A,#N/A,FALSE,"Têxteis Industr. Mês e Acum 29";#N/A,#N/A,FALSE,"Têxteis Industr. Acum 30";#N/A,#N/A,FALSE,"Desenv Negócios Mês 32";#N/A,#N/A,FALSE,"Desenv Negócios Acum 33";#N/A,#N/A,FALSE,"Export Mês e Acu  39";#N/A,#N/A,FALSE,"Export Acum 40"}</definedName>
    <definedName name="wrn.Radares._.Todos."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inha._.e._.Topper." hidden="1">{#N/A,#N/A,FALSE,"RAINHA TOPPER CONSOL 16";#N/A,#N/A,FALSE,"BOLAS 17";#N/A,#N/A,FALSE,"VESTUÁRIO 18";#N/A,#N/A,FALSE,"Rainha Topper Mês e Acum 19";#N/A,#N/A,FALSE,"Rainha Topper Acum 20"}</definedName>
    <definedName name="wrn.Sumex._.Sem._.Radades."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wrn.Timberland." hidden="1">{#N/A,#N/A,FALSE,"TIMBERLAND 33";#N/A,#N/A,FALSE,"TIMBERLAND Mês e Acum 34";#N/A,#N/A,FALSE,"TIMBERLAND Acum 35"}</definedName>
    <definedName name="wwd" hidden="1">{#N/A,#N/A,FALSE,"CAPA";#N/A,#N/A,FALSE,"CONSOL. 2";#N/A,#N/A,FALSE,"CONSOL. 5";#N/A,#N/A,FALSE,"CONSOL. ACUM. 6";#N/A,#N/A,FALSE,"CAP. EMPREG. 7"}</definedName>
    <definedName name="www" hidden="1">#REF!</definedName>
    <definedName name="xxxx" hidden="1">#REF!</definedName>
    <definedName name="XXZ"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 name="z" hidden="1">{#N/A,#N/A,FALSE,"CAPA";#N/A,#N/A,FALSE,"ÍNDICE 1";#N/A,#N/A,FALSE,"CONSOL. 2";#N/A,#N/A,FALSE,"CONSOL. 5";#N/A,#N/A,FALSE,"CONSOL. ACUM. 6";#N/A,#N/A,FALSE,"CAP. EMPREG. 7";#N/A,#N/A,FALSE,"ESTOQUES 8";#N/A,#N/A,FALSE,"ORIGENS E APLICAÇÕES 9";#N/A,#N/A,FALSE,"POS FIN LÍQ 10";#N/A,#N/A,FALSE,"CX. EMPRÉST 11";#N/A,#N/A,FALSE,"ANÁLISE CLIENTES 12";#N/A,#N/A,FALSE,"INVESTIMENTOS 13";#N/A,#N/A,FALSE,"QD PESSOAL 14";#N/A,#N/A,FALSE,"OUTRAS REC OPER 15";#N/A,#N/A,FALSE,"Unidades de Negócio 16";#N/A,#N/A,FALSE,"Rainha Topper Mizuno CONSOL 17";#N/A,#N/A,FALSE,"Rainha Marca 20";#N/A,#N/A,FALSE,"Topper Marca 21";#N/A,#N/A,FALSE,"Mizuno Marca 22";#N/A,#N/A,FALSE,"Rai Top Miz Bolas 23";#N/A,#N/A,FALSE,"Rai Top Miz Vestuário 24";#N/A,#N/A,FALSE,"Sandálias 25";#N/A,#N/A,FALSE,"Têxteis Industriais 28";#N/A,#N/A,FALSE,"Desenv Negócios Consol 31";#N/A,#N/A,FALSE,"Calç Profs e Moda 34";#N/A,#N/A,FALSE,"Timberland 35";#N/A,#N/A,FALSE,"Meggashop 36";#N/A,#N/A,FALSE,"Concorrência 37";#N/A,#N/A,FALSE,"Exportação 38"}</definedName>
  </definedNames>
  <calcPr calcId="191028"/>
  <pivotCaches>
    <pivotCache cacheId="7"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75" i="14" l="1"/>
  <c r="N930" i="14" l="1"/>
  <c r="O904" i="14"/>
  <c r="O860" i="14" l="1"/>
  <c r="O442" i="14"/>
  <c r="N442" i="14"/>
  <c r="O441" i="14"/>
  <c r="N441" i="14"/>
  <c r="O440" i="14"/>
  <c r="N440" i="14"/>
  <c r="O439" i="14"/>
  <c r="N439" i="14"/>
  <c r="O553" i="14" l="1"/>
  <c r="N830" i="14"/>
  <c r="N797" i="14"/>
  <c r="N997" i="14"/>
  <c r="N972" i="14"/>
  <c r="N478" i="14"/>
  <c r="N477" i="14"/>
  <c r="N476" i="14"/>
  <c r="N475" i="14"/>
  <c r="N474" i="14"/>
  <c r="N473" i="14"/>
  <c r="N472" i="14"/>
  <c r="N471" i="14"/>
  <c r="O382" i="14"/>
  <c r="O370" i="14"/>
  <c r="N370" i="14"/>
  <c r="N398" i="14"/>
  <c r="O540" i="14" l="1"/>
  <c r="N551" i="14"/>
  <c r="N933" i="14" l="1"/>
  <c r="N932" i="14"/>
  <c r="N931" i="14"/>
  <c r="O772" i="14" l="1"/>
  <c r="N573" i="14"/>
  <c r="N572" i="14"/>
  <c r="N571" i="14"/>
  <c r="O9" i="23" l="1"/>
  <c r="O8" i="23"/>
  <c r="O7" i="23"/>
  <c r="O6" i="23"/>
  <c r="O5" i="23"/>
  <c r="O10" i="23" l="1"/>
  <c r="H6" i="23"/>
  <c r="H5" i="23"/>
  <c r="H7" i="23" l="1"/>
</calcChain>
</file>

<file path=xl/sharedStrings.xml><?xml version="1.0" encoding="utf-8"?>
<sst xmlns="http://schemas.openxmlformats.org/spreadsheetml/2006/main" count="21122" uniqueCount="1291">
  <si>
    <t>Modalidade</t>
  </si>
  <si>
    <t>Ativo</t>
  </si>
  <si>
    <t>VALIDAÇÃO</t>
  </si>
  <si>
    <t>Registro de Imóveis</t>
  </si>
  <si>
    <t>Irregular</t>
  </si>
  <si>
    <t>Status da Matricula</t>
  </si>
  <si>
    <t>Tipo de Irregularidades</t>
  </si>
  <si>
    <t>Matricula</t>
  </si>
  <si>
    <t>Matriculas</t>
  </si>
  <si>
    <t>Qtde</t>
  </si>
  <si>
    <t>Tipo de regularização</t>
  </si>
  <si>
    <t>Tipo de regularização2</t>
  </si>
  <si>
    <t>Regular</t>
  </si>
  <si>
    <t>Transferência - cisão I</t>
  </si>
  <si>
    <t>Transferências: INCRA, RFB, RI.</t>
  </si>
  <si>
    <t>Imbróglios Imobiliários</t>
  </si>
  <si>
    <t>Retificação</t>
  </si>
  <si>
    <t>TOTAL</t>
  </si>
  <si>
    <t xml:space="preserve">Protesto </t>
  </si>
  <si>
    <t>Baixa do Decreto</t>
  </si>
  <si>
    <t>Baixa do termo de conservação de floresta.</t>
  </si>
  <si>
    <t>Transferência - cisão II</t>
  </si>
  <si>
    <t>Cadastro Ambiental Rural.</t>
  </si>
  <si>
    <t xml:space="preserve">Transferências: RFB e INCRA. </t>
  </si>
  <si>
    <t xml:space="preserve">Retificação: adm. </t>
  </si>
  <si>
    <t>Transferências: RI, PM.</t>
  </si>
  <si>
    <t>Retificação: adm.</t>
  </si>
  <si>
    <t>Baixa do termo de manutenção de reflorestamento.</t>
  </si>
  <si>
    <t>(vazio)</t>
  </si>
  <si>
    <t>Usucapião</t>
  </si>
  <si>
    <t>Retificação: adm. unificação, individualização da matrícula.</t>
  </si>
  <si>
    <t>Retificação Administrativa/Individualização</t>
  </si>
  <si>
    <t>Litígio comprador.</t>
  </si>
  <si>
    <t>Transferência: RI</t>
  </si>
  <si>
    <t>Transferências: RFB e INCRA.</t>
  </si>
  <si>
    <t>Retificação: adm. desapropriação.</t>
  </si>
  <si>
    <t>Reclamatória trabalhista. Execução fiscal.</t>
  </si>
  <si>
    <t>Protesto contra alienação.</t>
  </si>
  <si>
    <t>Bloqueada judicialmente.</t>
  </si>
  <si>
    <t xml:space="preserve">Transferências: RI, PM.                                                                                             </t>
  </si>
  <si>
    <t>Unificação</t>
  </si>
  <si>
    <t>Desafetação</t>
  </si>
  <si>
    <t>Transferências: RI, SPU.</t>
  </si>
  <si>
    <t>Celebrar o comodato.</t>
  </si>
  <si>
    <t>Baixa de cláusula inalienabilidade.</t>
  </si>
  <si>
    <t>Penhora e execução fiscal.</t>
  </si>
  <si>
    <t>Desapropriação/Permuta</t>
  </si>
  <si>
    <t>Retificação de área</t>
  </si>
  <si>
    <t xml:space="preserve">Invasão. </t>
  </si>
  <si>
    <t>Georreferenciamento</t>
  </si>
  <si>
    <t>Reclamatória trabalhista e penhora.</t>
  </si>
  <si>
    <t>Baixa de hipoteca.</t>
  </si>
  <si>
    <t>Autorização de Corte.</t>
  </si>
  <si>
    <t>Subdivisão</t>
  </si>
  <si>
    <t xml:space="preserve">Subdivisão com divisão amigável </t>
  </si>
  <si>
    <t>Usufruto, por tempo indeterminado.</t>
  </si>
  <si>
    <t>REC-001</t>
  </si>
  <si>
    <t>Baixa do cadastro ambiental rural.</t>
  </si>
  <si>
    <t>Doação</t>
  </si>
  <si>
    <t>Plano de Recuperação e Áreas Degradadas (PRAD)</t>
  </si>
  <si>
    <t xml:space="preserve">Transferências: RI, PM, retificação.                                                                                             </t>
  </si>
  <si>
    <t>Retificação: adm. unificação, permuta.</t>
  </si>
  <si>
    <t>Quebra contratual</t>
  </si>
  <si>
    <t>Ação revisional de aluguel</t>
  </si>
  <si>
    <t>Processo judicial reconhecimento de limites.</t>
  </si>
  <si>
    <t>Retificação: adm. unificação, baixa de hipoteca.</t>
  </si>
  <si>
    <t>Tipo Registro</t>
  </si>
  <si>
    <t>N° Registro</t>
  </si>
  <si>
    <t>Cartório</t>
  </si>
  <si>
    <t>Empresa de origem</t>
  </si>
  <si>
    <t>PARA</t>
  </si>
  <si>
    <t>Município</t>
  </si>
  <si>
    <t>UF</t>
  </si>
  <si>
    <t xml:space="preserve">Descrição </t>
  </si>
  <si>
    <t>Endereço (Cadastro Municipal)</t>
  </si>
  <si>
    <r>
      <t>Área de Terreno (m</t>
    </r>
    <r>
      <rPr>
        <b/>
        <sz val="8"/>
        <color theme="1"/>
        <rFont val="Calibri"/>
        <family val="2"/>
      </rPr>
      <t>²</t>
    </r>
    <r>
      <rPr>
        <b/>
        <sz val="8"/>
        <color theme="1"/>
        <rFont val="Calibri Light"/>
        <family val="2"/>
      </rPr>
      <t>)</t>
    </r>
  </si>
  <si>
    <t>Área Construída (m²)</t>
  </si>
  <si>
    <t>Inscrição Imobiliária</t>
  </si>
  <si>
    <t>Filtro de relatório</t>
  </si>
  <si>
    <t>Data da Movimentação</t>
  </si>
  <si>
    <t>Síntese da última atualização</t>
  </si>
  <si>
    <t>Protocolo Cisão</t>
  </si>
  <si>
    <t>Responsável</t>
  </si>
  <si>
    <t>Data da regularização</t>
  </si>
  <si>
    <t>Obs</t>
  </si>
  <si>
    <t>Matrícula</t>
  </si>
  <si>
    <t>Registro de Imóveis de Ipiranga</t>
  </si>
  <si>
    <t>ABEC</t>
  </si>
  <si>
    <t>Ipiranga</t>
  </si>
  <si>
    <t>PR</t>
  </si>
  <si>
    <t>Fazenda Santa Clara - Chácaras 72 à 85 - Jd. São Lourenço.</t>
  </si>
  <si>
    <t>Sem indicação</t>
  </si>
  <si>
    <t>-</t>
  </si>
  <si>
    <t>Jurídico Externo</t>
  </si>
  <si>
    <t>Processo de alteração de titularidade ainda não realizado.</t>
  </si>
  <si>
    <t>07° Registro de Imóveis de Curitiba</t>
  </si>
  <si>
    <t>Curitiba</t>
  </si>
  <si>
    <t>Rua Iapó, 1211 - Prado Velho.</t>
  </si>
  <si>
    <t>2400030036000-7</t>
  </si>
  <si>
    <t>Sem pendências Imobiliárias</t>
  </si>
  <si>
    <t>Registro de Imóveis de Fazenda Rio Grande</t>
  </si>
  <si>
    <t>Fazenda Rio Grande</t>
  </si>
  <si>
    <t>FEGA - Fazenda Experimental Gralha Azul</t>
  </si>
  <si>
    <t>Rua Fazenda Iguaçú, s/n - Capocu.</t>
  </si>
  <si>
    <t>Ofício do IAP, encaminhado para assinatura do Ir. Délcio. Assinatura obtida e documento encaminhado para a Eccoambiental. Aguardando empresa informar o numero do protocolo para acompanhamento.</t>
  </si>
  <si>
    <t>GPI</t>
  </si>
  <si>
    <t>Protocolado o requerimento, todavia sem previsão de avaliação pelo órgão ambiental, uma
vez que a informação inicial era de que seria avaliado apenas após o encerramento
dos cadastros. Porém o CAR teve o prazo para encerramento dos cadastros anulado, por meio da Lei 13887 de 2019.
Assim, devemos apenas aguardar tal análise.</t>
  </si>
  <si>
    <t>Transferência: PM.</t>
  </si>
  <si>
    <t>Jurídico Interno</t>
  </si>
  <si>
    <t>Processo sem evolução, por parte do órgão ambiental.</t>
  </si>
  <si>
    <t>O apontamento em relatório da empresa Ecco Ambiental é de que durante o último mês, não ocorreu nenhuma movimentação por parte do órgão no sentido de análise do cadastro.</t>
  </si>
  <si>
    <t>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t>
  </si>
  <si>
    <t>Registro de Imóveis de Jaragua do Sul</t>
  </si>
  <si>
    <t>UCE</t>
  </si>
  <si>
    <t>Jaraguá do Sul</t>
  </si>
  <si>
    <t>SC</t>
  </si>
  <si>
    <t>Esta matrícula está sobrepondo a de n.º 5.240 também de propriedade da União Catarinense de Educação. Realizando estudo se no passado foi unificada ou não.</t>
  </si>
  <si>
    <t>01° Registro de Imóveis do Distrito Federal</t>
  </si>
  <si>
    <t>Brasília</t>
  </si>
  <si>
    <t>DF</t>
  </si>
  <si>
    <t>Avenida SGAS 615 - Conjunto C - Asa Sul.</t>
  </si>
  <si>
    <t>04004191</t>
  </si>
  <si>
    <t>Transcrição</t>
  </si>
  <si>
    <t>02° Registro de Imóveis de São Bernardo do Campo</t>
  </si>
  <si>
    <t>São Bernardo do Campo</t>
  </si>
  <si>
    <t>SP</t>
  </si>
  <si>
    <t>Recanto Marista - Colégio Marista Arquidiocesano</t>
  </si>
  <si>
    <t>Estrada Galvão Bueno, 10000 - Alvarenga - Sítio Alvarenga.</t>
  </si>
  <si>
    <t>Tendo em vista a notificação da empresa EMAE, para demolição das edificações, busca neste processo a tratativa para a anuência da retificação por parte da EMAE.</t>
  </si>
  <si>
    <t>O setor de documentação legal da Diretoria de Infra-Estrutura que em conjunto com o setor de patrimônio imobiliário e a procuradoria jurídica do Grupo Marista, mas que está fazendo a maior frente para o atendimento da notificação da empresa EMAE. Atualmente está em fase de contratação do prestador (Sonia Jesus dos Santos Galves), o qual possui dois escopos: a) Para elaboração de parecer técnico de avaliação dos imóveis na faixa de terreno que a EMAE afirma ser de seu domínio; b) Assistência técnica de avaliação dos imóveis e equipamentos. Se logrado êxito na demanda, será possível a continuidade na retificação.</t>
  </si>
  <si>
    <t>01° Registro de Imóveis de Curitiba</t>
  </si>
  <si>
    <t>FNSR</t>
  </si>
  <si>
    <t>APC</t>
  </si>
  <si>
    <t>Terreno - Rádio Lúmen</t>
  </si>
  <si>
    <t>Rua Leonor Castellano, 525</t>
  </si>
  <si>
    <t>Verificar</t>
  </si>
  <si>
    <t>02° Registro de Imóveis de São José dos Pinhais</t>
  </si>
  <si>
    <t>Tijucas do Sul</t>
  </si>
  <si>
    <t>Chácara - Cetas</t>
  </si>
  <si>
    <t>Rod. Prefeito Francisco Teixeira, s/n - Costa da Serra.</t>
  </si>
  <si>
    <t>A empresa Eccoambiental está conduzindo a regularização para a baixa do termo de manutenção de reflorestamento. No entanto está pendente a apresentação do número do plano de reflorestamento e o recolhimento do registro junto ao Serflor. Eccoambiental continua em contato com a nova engenheira da Panagro para solucionar a questão.</t>
  </si>
  <si>
    <t>Panagro quitou o débito junto ao Serflor e o IAP aceitou apenas o pagamento da empresa, uma vez que não foi possível localizar o técnico. Depois de emitida anuência do IAP o próximo passo é solicitar a baixa do Termo de Compromisso junto ao cartório.</t>
  </si>
  <si>
    <t>Cancelamento de matrícula (SANEPAR): Eventual futuro litígio tendo em vista sobreposição de documento.</t>
  </si>
  <si>
    <t>Retificação da certificação processada. Rubens estará comparecendo no Registro de Imóveis para protocolar a averbação.</t>
  </si>
  <si>
    <t>Contato com o prestador EccoAmbiental na pessoa de Rubens, informou que não compareceu no Registro de Imóveis para protocolar a averbação. Registrado a cobrança por e-mail.</t>
  </si>
  <si>
    <t>Rubens, havia informado anteriormente por telefone que havia protocolado o requerimento e que estava aguardando a análise do Registrador. Nesta data encaminhado e-mail averiguando se o Registro de Imóveis já havia retornado.</t>
  </si>
  <si>
    <t>De posse do decreto estadual com a nomeação do servidor que assinou pelo IAP bem como, sua assinatura com firma reconhecida, a empresa Eccoambiental comunica que foi protocolizado perante o Registro de Imóveis o requerimento para baixa do termo. A análise está prevista para 13/08/2020.</t>
  </si>
  <si>
    <t>Registrador empenhou nota de diligência, requerendo CAR, CCIR, CND ITR e retificação das duas áreas. Cumprindo exigências.</t>
  </si>
  <si>
    <t>01° Registro de Imóveis de Guarulhos</t>
  </si>
  <si>
    <t>Guarulhos</t>
  </si>
  <si>
    <t>Editora FTD - Parque Gráfico Guarulhos</t>
  </si>
  <si>
    <t>Parque Gráfico - Cumbica.</t>
  </si>
  <si>
    <t>03° Registro de Imóveis de Florianópolis</t>
  </si>
  <si>
    <t>Florianópolis</t>
  </si>
  <si>
    <t>Loteamento Vila Marista</t>
  </si>
  <si>
    <t>Rua Melvin Jones esq. c/ Evaldo Schaeffer - Loteamento Vila Marista</t>
  </si>
  <si>
    <t>Este caso integra a cisão II, conforme e-mail encaminhado pela gestora de Patrimônio Imobiliário ao núcleo de regularizações.</t>
  </si>
  <si>
    <t>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t>
  </si>
  <si>
    <t>Núcleo de regularizações retoma a solicitação de informações a gestora de patrimônio imobiliário, quanto a Ata.</t>
  </si>
  <si>
    <t>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t>
  </si>
  <si>
    <t xml:space="preserve">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
Vamos começar a enviar as Atas on line, com assinatura digital do Irmão e do Dr. Bruno, porém, a Ata de CISÃO não pudemos fazer isso devido ao valor, já que atas on line tem que ser pago a vista. 
</t>
  </si>
  <si>
    <t>Núcleo de regularizações retoma a solicitação de informações junto a PROJUR, na pessoa da Sra. Crislei.</t>
  </si>
  <si>
    <t>Barracão Francisco Nunes</t>
  </si>
  <si>
    <t>Rua Francisco Nunes, 951 - Prado Velho.</t>
  </si>
  <si>
    <t>Em 13/12/2019, ocorreu o registro da transferência de propriedade da ABEC para a UCE, perante o Registro de Imóveis. Em 19/02/2020, consultando a certidão imobiliária ocorreu a transferência da titularidade perante a prefeitura da ABEC para a UCE.</t>
  </si>
  <si>
    <t>Rua Irmãos Maristas, nº 513 - Centro.</t>
  </si>
  <si>
    <t>Memorial descritivo e planta assinada pelo Ir. Délcio, inicia-se o tramite para coleta de assinatura dos 11 confrontantes</t>
  </si>
  <si>
    <t>As plantas foram protocoladas na prefeitura, estão aguardando aprovação do projeto e assinaturas. Devolutiva de que a prefeitura solicitou esclarecimento quanto a localização da matrícula de n.º 697.</t>
  </si>
  <si>
    <t>As plantas foram protocoladas na prefeitura, estão aguardando aprovação do projeto e assinaturas.</t>
  </si>
  <si>
    <t>A identificação da matrícula 697 de propriedade da UCE, gerou uma nova etapa do processo, tendo em vista que é preciso verificar se esta matrícula foi unificada ou não com a matrícula de n.º 5.240.</t>
  </si>
  <si>
    <t>Ainda aguardando posição em relação ao movimento anterior.</t>
  </si>
  <si>
    <t>Verificando informações sobre o confrontante. Escritório se comprometeu em comparecer no R.I. de Jaraguá do Sul, para avançar com a regularização.</t>
  </si>
  <si>
    <t xml:space="preserve">Marcos da empresa Gengeo ficou de se reunir nessa semana com o responsável da Prefeitura, para verificar como será feita a correção do material em atendimento a exigência do Município. </t>
  </si>
  <si>
    <t xml:space="preserve">A empresa Gengeo, por meio do seu representante Marcos informou que esteve em contato com a Prefeitura, onde foi acordado a correção da planta. Estará sendo providenciada a correção da planta para enviar a Curitiba para coleta das assinatura. </t>
  </si>
  <si>
    <t xml:space="preserve">02° Registro de Imóveis de Maringá </t>
  </si>
  <si>
    <t>Maringá</t>
  </si>
  <si>
    <t>Residência Marista de Maringá</t>
  </si>
  <si>
    <t>Rua Vaz Caminha, nº 85 - Zona 02.</t>
  </si>
  <si>
    <t>Escritório encaminha a certidão de débitos expedida pela prefeitura constatando a alteração da titularidade.</t>
  </si>
  <si>
    <t>Rua Iapó, 1225 - Prado Velho.</t>
  </si>
  <si>
    <t>02° Registro de Imóveis de Ponta Grossa</t>
  </si>
  <si>
    <t>Ponta Grossa</t>
  </si>
  <si>
    <t>Residência Marista - Colégio Marista Pio XII</t>
  </si>
  <si>
    <t>Rua Bonifacio Vilela, nº 1.155 - Jardim Carvalho.</t>
  </si>
  <si>
    <t>Minuta de ata notarial, emissão de ART e certidão de breve relato da ABEC. Aguardando o pagamento das custas cartoriais.</t>
  </si>
  <si>
    <t>Protocolo da Usucapião realizado no 3º RI, providências sendo tomadas para cumprir a exigência.</t>
  </si>
  <si>
    <t>Empenhada a nota de exigência, os lotes 85, 86, 87 estão unificados peranta a prefeitura. Todavia perante o registro de imóveis o lote 85 já encontra sob a titularidade da ABEC, enquanto os lotes 86 e 87 ainda estão em nome de terceiro (objeto da usucapião). Dayana informou que a prefeitura irá expedir  nova certidão excluindo o lote 85, possibilitando a regularização. Todavia a pessoa retorna de férias somente em 08/01/2019.</t>
  </si>
  <si>
    <t>Não foi relatado a respeito de eventual retorno da prefeitura quanto a expedição da nova certidão.</t>
  </si>
  <si>
    <t>Prefeitura emitiu a certidão de metragens, excluindo o lote 85, atualmente está sendo elaborada a adaptação a planta, mantendo somente os lotes 86 e 87 com objeto da usucapião.</t>
  </si>
  <si>
    <t>Cobrada a realização das alterações na planta pelo responsável técnico, a retificação foi realizada pela Prefeitura de Ponta Grossa da certidão de metragens, retirando o Lote 85, está senda elaborada a adaptação na planta, mantendo somente os lotes 86/87 com objeto da usucapião Extrajudicial, as demais exigências poderão ser cumpridas.</t>
  </si>
  <si>
    <t>No aguardo do envio das plantas para assinatura do representante legal da ABEC, assinar e reingressar junto ao Registro de Imóveis</t>
  </si>
  <si>
    <t>O documento (planta) mencionado nos andamentos anteriores ainda não foi recebido no Grupo Marista. O escritório permanece no aguardo do envio da documentação.</t>
  </si>
  <si>
    <t>O escritório permanece no aguardo do envio da documentação.</t>
  </si>
  <si>
    <t>Topógrafo irá concluir as alterações necessárias e as enviará por e-mail. As alterações não incluirão as benfeitorias. Concomitante verifica-rá a necessidade de alterar a ART e informará caso haver custos/despesas extras.</t>
  </si>
  <si>
    <t>02° Registro de Imóveis de Joinville</t>
  </si>
  <si>
    <t>Joinville</t>
  </si>
  <si>
    <t>Terreno Aquidabam</t>
  </si>
  <si>
    <t>Rua Aquidabam, 238 - Glória.</t>
  </si>
  <si>
    <t>Registro de Imóveis de Rio Quente</t>
  </si>
  <si>
    <t>Rio Quente</t>
  </si>
  <si>
    <t>GO</t>
  </si>
  <si>
    <t>Terreno - Rio Quente</t>
  </si>
  <si>
    <t>Rua Cel. Bento de Godoy - Mansões do Rio Quente.</t>
  </si>
  <si>
    <t>4001092001800</t>
  </si>
  <si>
    <t>Transferência RI e PM</t>
  </si>
  <si>
    <t>Colégio Marista Santa Maria</t>
  </si>
  <si>
    <t>Rua Prof. Joaquim de Matos Barreto, nº 98 - São Lourenço.</t>
  </si>
  <si>
    <t>3300006058600-0</t>
  </si>
  <si>
    <t>Registro de Imóveis de Morretes</t>
  </si>
  <si>
    <t>Morretes</t>
  </si>
  <si>
    <t>Chácara Santa Rosa</t>
  </si>
  <si>
    <t>Estrada da Graciosa, Rodovia PR 410 Km 24</t>
  </si>
  <si>
    <t>Retificação do Cadastro Ambiental Rural.</t>
  </si>
  <si>
    <t>Audiência de mediação, referente ao processo de execução de título extrajudicial, Saul propõe a APC o pagamento de R$ 700.000,00 para encerramento dos 04 processos. Situação apresentada ao Irmão que por sua vez não concordou com a proposta. Nova audiência ocorrerá em 29/10/2019. Existem ainda as ações de embargos à execução de título extrajudicial.</t>
  </si>
  <si>
    <t>Audiência em 24/10 não havendo acordo das partes. APC quer a devolução do imóvel e cancelamento do contrato de compra e venda de imóvel assindo em 2012.</t>
  </si>
  <si>
    <t>Aberto o prazo para apresentação da defesa. Apresentada defesa sendo determinado o prazo para o autor apresentar impugnação a contestação. Aguardamos a intimação e o decurso do prazo para a decisão inicial.</t>
  </si>
  <si>
    <t>Autor apresentou impugnação rebatendo todos os argumentos de defesa requerendo a integral procedência da ação.
Juiz determinou a apresentação de especificação de provas.
Aguardamos o término do prazo para decisão saneadora.</t>
  </si>
  <si>
    <t>Aguarda-se o término do prazo para decisão saneadora.</t>
  </si>
  <si>
    <t>Concedido o pedido de julgamento antecipado, determinando a remessa do processo para o contador.
Foi juntado o cálculo de custas pelo contador, sem custas a serem pagas, assim o processo será concluso para prolação da sentença.</t>
  </si>
  <si>
    <t>Processo concluso para sentença.</t>
  </si>
  <si>
    <t>A ação de execução de título extrajudicial, está suspensa por conta dos embargos de execução. Com relação a ação de embargos à execução de título extrajudicial. Juiz despachou não realizando o juízo de retratação, determinando tão somente a remessa ao TJPR. Aguardando a retomada do julgamento em 2º Grau, sem previsão. Processo permanece em conclusão com o Relator Desembargador João Antônio De Marchi. O autor da ação veio a óbito, respondendo o espólio pela dívida.</t>
  </si>
  <si>
    <t>06° Registro de Imóveis do Rio de Janeiro</t>
  </si>
  <si>
    <t>Rio de Janeiro</t>
  </si>
  <si>
    <t>RJ</t>
  </si>
  <si>
    <t>Editora FTD -  Filial Rio de Janeiro</t>
  </si>
  <si>
    <t>Rua Vandenkolk, 137 - Olaria.</t>
  </si>
  <si>
    <t>0333807-6</t>
  </si>
  <si>
    <t>Processo judicial de imunidade de ITBI em andamento, repetição de Indébito.</t>
  </si>
  <si>
    <t>terreno irregular</t>
  </si>
  <si>
    <t>Emissão da guia de ITBI e encaminhada para pagamento (vencimento para 22/07/2020) _ Pagamento efetuado</t>
  </si>
  <si>
    <t>Emissão da certidão de ITBI e contato com Patrimônio Imobiliário da UBEE para avançar com o assunto _ Andamento com o Cartório Leão desde 13/08/20</t>
  </si>
  <si>
    <t>Minuta da Escritura de Compra e Venda em  Andamento com o Cartório Leão; Aguardando retorno de CND's e documento societários da UCE, Sérgio e Maria de Fárima</t>
  </si>
  <si>
    <t>PUCPR_Laboratório de Comunicação- LabCom</t>
  </si>
  <si>
    <t>BR 116, 11.848 - Prado Velho.</t>
  </si>
  <si>
    <t>2410019039600-4</t>
  </si>
  <si>
    <t>Estabelecido contato com a Natasha do Cartório Leão, sendo informada a necessidade de renovação da certidão de imunidade de ITBI. Demando ao Alaor, o qual já iniciou providência junto a prefeitura de Curitiba.</t>
  </si>
  <si>
    <t>Alaor encaminha a renovação da certidão de imunidade de ITBI. Processo está na dependência do Cartório encaminhar a escritura para os representantes da APC e ABEC assinarem.</t>
  </si>
  <si>
    <t>E-mail ao Alaor solicitando informação quanto a disponibilização da declaração da prefeitura; bem como encaminhado e-mail a Natasha.</t>
  </si>
  <si>
    <t>Sra. Natasha encaminha minuta final para conferência.</t>
  </si>
  <si>
    <t>Sra. Natasha questiona como ficou a coleta de assinaturas. Informado que o Vinicius ou ao Rafael, poderiam comparecer no prédio administrativo, pois seria possível coletar a assinatura do Ir. Délcio e Ir. Lino e quanto ao Ir. Roque, o Vinicius ou o Rafael, teriam de comparecer na residência provincial, visto que a escritura não poderá ser deixada com o Ir. Lino.
Atenciosamente,</t>
  </si>
  <si>
    <t>Providência no sentido de obter atualização da Sra. Natasha no sentido se as assinaturas foram ou não coletadas. Retorno informando que já coletou as assinaturas e que já encaminhou para registro.</t>
  </si>
  <si>
    <t>Providência no sentido de obter atualização do assunto, junto a Sra. Natasha se o Registro de Imóveis, já havia ou não registrado a escritura. Retorno informando que o Registro de Imóveis havia solicitado a guia de ITBI atualizada, que a mesma teria ficado pronta nesta data e já encaminhada ao Registro de Imóveis. Estimou um prazo entre 10 a 15 dias para finalização do processo.</t>
  </si>
  <si>
    <t>Natasha encaminha certidão da matrícula com o registro da escritura. Pendente a transferência da titularidade perante a prefeitura</t>
  </si>
  <si>
    <t>Registro de Imóveis de Porto União</t>
  </si>
  <si>
    <t>Porto União</t>
  </si>
  <si>
    <t>Terreno e residencia - fração ideal</t>
  </si>
  <si>
    <t>Rua Dom Pedro II, 110 - Cidade Nova.</t>
  </si>
  <si>
    <t>01.28.01.133.0063</t>
  </si>
  <si>
    <t>Processo de alteração de titularidade ainda não realizado. Ainda, nesta data o cartório Ricardo Leão disponibiliza a minuta da escritura de cisão para análise.</t>
  </si>
  <si>
    <t>01040000886001001</t>
  </si>
  <si>
    <t>Esta matrícula está sobrepondo a de n.º 697 também de propriedade da União Catarinense de Educação. Realizando estudo se no passado foi unificada ou não.</t>
  </si>
  <si>
    <t>Transferência (dação em pagamento) entre APC e ABEC.</t>
  </si>
  <si>
    <t>Ocorreu nesta data o registro da transferência da propriedade da ABEC para a UCE, perante o Registro de Imóveis. Estando pendente a transferência de titularidade perante a RFB e INCRA.</t>
  </si>
  <si>
    <t>Rua Comendador Roseira, 599 - Prado Velho.</t>
  </si>
  <si>
    <t>Registro de Imóveis de Colombo</t>
  </si>
  <si>
    <t>Almirante Tamandaré</t>
  </si>
  <si>
    <t>Rodovia dos Minérios - Botiatuba.</t>
  </si>
  <si>
    <t>Escritório até o presente momento não definiu a estratégia de atuação.</t>
  </si>
  <si>
    <r>
      <t>Tendo em vista que o levantamento topográfico realizado pela empresa Marco Engenharia, gera margem para dúvida, por não haver evidências do comparecimento in loc</t>
    </r>
    <r>
      <rPr>
        <i/>
        <sz val="8"/>
        <color theme="1"/>
        <rFont val="Calibri Light"/>
        <family val="2"/>
      </rPr>
      <t>o</t>
    </r>
    <r>
      <rPr>
        <sz val="8"/>
        <color theme="1"/>
        <rFont val="Calibri Light"/>
        <family val="2"/>
      </rPr>
      <t xml:space="preserve"> no imóvel foi contratada outra empresa para realizar o levantamento. A qual realizou contato informando que a entrega do trabalho ocorrerá em 06/12. Referido trabalho possibilitará uma melhor compreensão da área real do imóvel bem como as suas divisas e subsidiando também o processo de desapropriação junto ao Departamento de Estradas e Rodagem - DER, tendo em vista a questão da duplicação da rodovia, remetendo ao ponto da faixa de domínio.</t>
    </r>
  </si>
  <si>
    <t>Foi encaminhado ao escritório Gobbo e Guimarães, levantamento topográfico realizado pela empresa Terra Sul; bem como registro fotográfico da frente do imóvel evidenciando que a obra de duplicação já está em frente ao imóvel. O escritório ainda não definiu uma estratégia para com o assunto, relata que busca não levar a discussão da desapropriação para o polo judicial, pois estima um prazo de 10 anos.</t>
  </si>
  <si>
    <t>Associação de Pais e Mestres recebe carta de citação do Tribunal de Justiça do Estado do Paraná. Colégio Santa Maria encaminha para Grasiela, que redireciona para o escritório Gobbo e Guimarães.</t>
  </si>
  <si>
    <t>Grasiela, informa o núcleo de regularizações sobre a carta de citação. Ao passo que solicita ao escritório o envio do relatório com a estratégia a ser adotada para com o caso. Devolutiva informando tratar-se de ação de Desapropriação por utilidade pública, no qual pretende o DER a desapropriação de 3 áreas de propriedade do grupo (ainda em propriedade da APM), no tamanho total de 47.238,02m², para a duplicação de trecho da rodovia PR092, a partir de entroncamento PR-418 (Contorno Norte Curitiba) até o acesso principal de Almirante Tamandaré, lote 2.1A, declarada por meio dos Decretos Estaduais de Utilidade Pública n° 8.277 de 22/11/2017 e n° 1528 de 31/05/19. Oferecido pelo DER como valor de justa indenização o total de R$ 149.744,52 (cento e quarenta e nove mil, setecentos e quarenta e quatro reais e cinquenta e dois centavos), valor este que em tratativas administrativas não foi aceita. O DER ingressou com processo de desapropriação com pedido de imissão na posse, depositando judicialmente o valor de R$ 149.744,52, em análise inicial o MM. Juiz da Vara de Almirante Tamandaré determinou ao avaliador judicial a avalição das áreas desapropriadas, sendo que a liminar de imissão na posse fica condicionada ao depósito do valor indicado pelo avaliador. Avaliador judicial realizou a avalição das 03 (três) áreas, determinando o valor de R$ 472.380,20 (quatrocentos e setenta e dois mil trezentos e oitenta reais e vinte centavos). Foi determinado pelo juiz que o DER complementasse judicialmente o valor no montante apurado pelo avaliador judicial. Complementado o deposito judicial pelo DER foi expedido a carta de citação para apresentação de defesa. Se encontra atualmente depositado judicialmente o valor de R$ 472.380,20 (quatrocentos e setenta e dois mil trezentos e oitenta reais e vinte centavos). O escritório providenciará a defesa no processo de desapropriação por utilidade pública na linha de discussão da apresentação da avaliação feita pelo Grupo no valor de R$ 870.000,00 (oitocentos e setenta mil reais), tendo em vista que a defesa em processos de desapropriação por utilidade pública a defesa fica restrita a vícios no processo de desapropriação ou a concordância ou não dos valores oferecidos a título de justa indenização, podendo requerer a realização de perícia para determinar o valor justo para indenização, portanto não concordaremos com o valor oferecido a justa indenização e iremos juntar o laudo realizado pelo grupo bem como solicitar perícia judicial para apuração dos valores.</t>
  </si>
  <si>
    <t>Grupo foi citado para apresentação da defesa, a qual tem prazo fatal em 28/07/2020.</t>
  </si>
  <si>
    <t>03° Registro de Imóveis de Curitiba</t>
  </si>
  <si>
    <t>Conjunto Residencial Montreal - Apartamento 25</t>
  </si>
  <si>
    <t>Rua dos Palotinos, 116 - Cristo Rei.</t>
  </si>
  <si>
    <t>Em 30/12/2019, ocorreu o registro da transferência de propriedade da ABEC para a UCE, perante o Registro de Imóveis. Em 19/02/2020, consultando a certidão imobiliária ocorreu a transferência da titularidade perante a prefeitura da ABEC para a UCE.</t>
  </si>
  <si>
    <t>Hospital HUC/HMC</t>
  </si>
  <si>
    <t>Avenida São José, 300 - Cristo Rei.</t>
  </si>
  <si>
    <t>06.0.0063.0934.00-2</t>
  </si>
  <si>
    <t>PUCPR_Núcleo de Práticas Jurídicas - NPJ</t>
  </si>
  <si>
    <t>Rua Iapó, 1111 - Prado Velho.</t>
  </si>
  <si>
    <t>Processo de alteração de titularidade  realizado.</t>
  </si>
  <si>
    <t>Proação Fazenda Rio Grande</t>
  </si>
  <si>
    <t>Rua Rio Taquari, 200 - Jd. Iguaçu.</t>
  </si>
  <si>
    <t>Necessária a transferência da APC para ABEC.</t>
  </si>
  <si>
    <t>50.026.0128.001.000</t>
  </si>
  <si>
    <t>50.026.0116.001.000</t>
  </si>
  <si>
    <t>Transferência (compra e venda) entre APC e ABEC.</t>
  </si>
  <si>
    <t>50.026.0092.001.000</t>
  </si>
  <si>
    <t>50.026.0280.001.000</t>
  </si>
  <si>
    <t>50.026.0292.001.000</t>
  </si>
  <si>
    <t>50.026.0304.001.000</t>
  </si>
  <si>
    <t>50.026.0316.001.000</t>
  </si>
  <si>
    <t>50.026.0040.001.000</t>
  </si>
  <si>
    <t>01° Registro de Imóveis de Santos</t>
  </si>
  <si>
    <t>Santos</t>
  </si>
  <si>
    <t>Centro Social Marista Lar Feliz</t>
  </si>
  <si>
    <t>Rua Henrique Porchat 12/22/24 - Vila Nova.</t>
  </si>
  <si>
    <t>1 prédio</t>
  </si>
  <si>
    <t>3300048007800-7</t>
  </si>
  <si>
    <t>Lote</t>
  </si>
  <si>
    <t>Rua Guabirotuba, 268 - Prado Velho.</t>
  </si>
  <si>
    <t>PUCPR_Estacionamento Alternativo C</t>
  </si>
  <si>
    <t>Rua Iapó, 956 - Prado Velho.</t>
  </si>
  <si>
    <t>02° Registro de Imóveis de Pato Branco</t>
  </si>
  <si>
    <t>Itapejara D'Oeste</t>
  </si>
  <si>
    <t>Centro Social Marista Itapejara D'Oeste</t>
  </si>
  <si>
    <t>Rua Marcelino Champagnat esq c/ Fernando Ferrari - Lote 02 - Quadra 55 - Centro.</t>
  </si>
  <si>
    <t>1 - 10105500200010</t>
  </si>
  <si>
    <t>PUCPR_Maquetaria e Refeitório</t>
  </si>
  <si>
    <t>Rua Iapó, 975 - Prado Velho.</t>
  </si>
  <si>
    <t>PUCPR_Estacionamento Alternativo A</t>
  </si>
  <si>
    <t>Rua Iapó, 861 - Prado Velho.</t>
  </si>
  <si>
    <t>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t>
  </si>
  <si>
    <t>O processo passou a tramitar na 05ª Vara Cível, todavia aguardamos despacho inicial concedendo pedido liminar para o cancelamento das averbações.</t>
  </si>
  <si>
    <r>
      <t xml:space="preserve">Foi indeferida a Tutela Antecipada, com o fundamento de que o protesto já está averbado a algum tempo, assim não há </t>
    </r>
    <r>
      <rPr>
        <i/>
        <sz val="8"/>
        <color theme="1"/>
        <rFont val="Calibri Light"/>
        <family val="2"/>
      </rPr>
      <t>periculum in mora</t>
    </r>
    <r>
      <rPr>
        <sz val="8"/>
        <color theme="1"/>
        <rFont val="Calibri Light"/>
        <family val="2"/>
      </rPr>
      <t xml:space="preserve"> ao aguardar a decisão final do processo.
Apresentado Embargos de Declaração do Indeferimento da Tutela Antecipada.</t>
    </r>
  </si>
  <si>
    <t>Apresentado embargos de declaração do indeferimento da tutela antecipada. Juntado o comprovante de custas de citação e aguardando expedição de citação.</t>
  </si>
  <si>
    <t>O juiz, determinou a apresentação de emenda constando o valor do imóvel em discussão, com o devido recolhimento de custas iniciais complementar.</t>
  </si>
  <si>
    <t>Aguardando a decisão preliminar concedendo a liminar.</t>
  </si>
  <si>
    <t>Permanecendo no aguardo da decisão dos embargos e citação do requerido.</t>
  </si>
  <si>
    <t>Rua Iapó, 896 - Prado Velho.</t>
  </si>
  <si>
    <t xml:space="preserve">Curitiba </t>
  </si>
  <si>
    <t>32.0.0007.0126.00-0</t>
  </si>
  <si>
    <t>Registro de Imóveis de Antonina</t>
  </si>
  <si>
    <t>Guaraqueçaba</t>
  </si>
  <si>
    <t>Terreno Vago</t>
  </si>
  <si>
    <t>Rua Ferreira Lopes, s/n - Centro.</t>
  </si>
  <si>
    <t>01010040340001</t>
  </si>
  <si>
    <r>
      <t>Área menor 200,75 m</t>
    </r>
    <r>
      <rPr>
        <vertAlign val="superscript"/>
        <sz val="8"/>
        <color theme="1"/>
        <rFont val="Calibri Light"/>
        <family val="2"/>
      </rPr>
      <t>2</t>
    </r>
    <r>
      <rPr>
        <sz val="8"/>
        <color theme="1"/>
        <rFont val="Calibri Light"/>
        <family val="2"/>
      </rPr>
      <t xml:space="preserve">. Esta matrícula pertence ao município de Guaraqueçaba, sendo assim descartado o procedimento de usucapião. Passará a ser discutido com o município a possibilidade de doação. </t>
    </r>
  </si>
  <si>
    <t xml:space="preserve">Protocolado junto ao Municipio pedido de doação do Imóvel para APC. Em contrapartida, solicitei cópia da escritura da Cessão de Direito para levar a Registro. </t>
  </si>
  <si>
    <t>O retorno do protocolo do município foi uma declaração de que a APC é possuidora do imóvel. A escritura da Cessão de Direito, foi obtida e estava sendo encaminhada para o R.I.</t>
  </si>
  <si>
    <t>Documentos enviados para Registro, aguardando confência do RI.</t>
  </si>
  <si>
    <t>Ainda aguardando conferência do registro</t>
  </si>
  <si>
    <t>Cumprindo exigência do R.I.</t>
  </si>
  <si>
    <t xml:space="preserve">Escritório estará contatando a Prefeitura para que o imóvel seja individualizado e posteriormente transferido a Associação Paranaense de Cultura. </t>
  </si>
  <si>
    <t xml:space="preserve">RI informou não ser possivel registrar as escrituras de Cessão. Verificando possibilidades junto a Prefeitura para que o imóvel seja individualizado e transferido a Associação. </t>
  </si>
  <si>
    <t xml:space="preserve">Verificando possibilidades junto a Prefeitura para que o imóvel seja individualizado e transferido a Associação. </t>
  </si>
  <si>
    <t>Rua Guabirotuba, 283 - Prado Velho.</t>
  </si>
  <si>
    <t>Foi indeferida a Tutela Antecipada, com o fundamento de que o protesto já está averbado a algum tempo, assim não há periculum in mora ao aguardar a decisão final do processo. Apresentado Embargos de Declaração do Indeferimento da Tutela Antecipada.</t>
  </si>
  <si>
    <t>PUCPR _Estacionamento Alternativo B</t>
  </si>
  <si>
    <t>Rua Iapó, 1252 - Prado Velho.</t>
  </si>
  <si>
    <t>Rua Iapó, 1252 - Prado Velho</t>
  </si>
  <si>
    <t>01° Registro de Imóveis de Londrina</t>
  </si>
  <si>
    <t>Londrina</t>
  </si>
  <si>
    <t>Terreno Dom Aquino</t>
  </si>
  <si>
    <t>Rua Dom Aquino s/n.º - Recanto Colonial.</t>
  </si>
  <si>
    <t>06030074100710001</t>
  </si>
  <si>
    <t>Estabelecido contato com Natasha para lavrar a escritura. Foi solicitado o envio da Ata de autorização de compra por parte da ABEC.  Demandado a Crislei da PROJUR.</t>
  </si>
  <si>
    <t>Crislei localizou a Ata da ABEC autorizando a aquisição do imóvel. Encaminhado para Natasha do Cartório Leão. Aguardando ITBI e minuta da escritura para validação.</t>
  </si>
  <si>
    <t>Sem retorno desde a última movimentação, encaminhado nesta data e-mail para Natasha, pedindo providências.</t>
  </si>
  <si>
    <t>Encaminhada minuta da escritura a Natasha, validada pela PROJUR, ficando no aguardo do envio da escritura para assinatura dos irmãos.</t>
  </si>
  <si>
    <t xml:space="preserve">Natasha informa que ainda não solicitaram a matrícula tendo em vista que ainda aguardava a ATA da APC com o registro. Núcleo de Regularizações encaminha mensagem com pedido de providência a PROJUR. Ata disponibilizada e encaminhada a Natasha. Levantada a questão se haverá imunidade do ITBI. </t>
  </si>
  <si>
    <t>Núcleo de regularizações comunica a Natasha que a expectativa quanto a imunidade deo ITBI é de que não seja concedida, dado a ausência de pedido. Natasha informa que já solicitou a guia e que está no aguardo do envio.</t>
  </si>
  <si>
    <t>Núcleo de regularizações encaminha mensagem a Natasha com pedido de atualização de informações. Natasha, responde disponibilizando a minuta para validação e a guia de ITBI para pagamento ou pedido de imunidade. Encaminhado a Procuradoria Jurídica para validação.</t>
  </si>
  <si>
    <t>Registro de Imóveis de Altinópolis</t>
  </si>
  <si>
    <t>Santo Antônio da Alegria</t>
  </si>
  <si>
    <t>Centro Rural Águas da Prata</t>
  </si>
  <si>
    <t>Rua Carlos de Campos, s/n - Caixa Postal 20.</t>
  </si>
  <si>
    <t>Registro de Imóveis de São João</t>
  </si>
  <si>
    <t>São João</t>
  </si>
  <si>
    <t>Terreno  São João</t>
  </si>
  <si>
    <t>Avenida Vieira dos Santos, 483 - Centro.</t>
  </si>
  <si>
    <t>Em 11/03/2020 o escritório apresenta a certidão de registro de imóveis com a alteração da propriedade para UCE. Consultado o site da prefeitura a titularidade também foi alterada.</t>
  </si>
  <si>
    <t>Rua Iapó, 1245 - Prado Velho.</t>
  </si>
  <si>
    <t>1 casa</t>
  </si>
  <si>
    <t>Registro de Imóveis de Iguape</t>
  </si>
  <si>
    <t>Iguape</t>
  </si>
  <si>
    <t>Terreno  Balneário La Plata</t>
  </si>
  <si>
    <t>Lote 02 - Quadra 41 - Balneário Costa Azul.</t>
  </si>
  <si>
    <t>Terreno Balneário Costa Azul</t>
  </si>
  <si>
    <t>Rua R Treis - Juréia.</t>
  </si>
  <si>
    <t>518828</t>
  </si>
  <si>
    <t>51829</t>
  </si>
  <si>
    <t>Residência Universitária Marista - RUM</t>
  </si>
  <si>
    <t>Rua Guabirotuba, nº 158 - Prado Velho.</t>
  </si>
  <si>
    <t>Processo de alteração de titularidade realizado</t>
  </si>
  <si>
    <t>Registro de Imóveis de Caçador</t>
  </si>
  <si>
    <t>Caçador</t>
  </si>
  <si>
    <t>Centro Social Marista - Antigo Juvenato</t>
  </si>
  <si>
    <t>Rua Herculano Coelho de Souza, 1157 - Reunidas.</t>
  </si>
  <si>
    <t>A unificação deste imóvel juntamente aos imóveis das matrículas de n.º 13.582 e 35.291 é uma obrigação contratual da Loteadora D´Agostini. Nesta data o núcleo de regularizações pede informações a gestora do patrimônio imobiliário acerca do assunto. Gestora do Patrimônio Imobiliário informa que no dia 13/03/2020 fará uma reunião com a Loteadora D´Agostini e a Projur - Marista. Pedindo para que ficasse no aguardo de novas informações.</t>
  </si>
  <si>
    <t>Núcleo de regularizações retoma a solicitação de informações junto a gestora do patrimônio imobiliário.</t>
  </si>
  <si>
    <t>Registro de Imóveis de Cajuru</t>
  </si>
  <si>
    <t>Rua Carlos de Campos, s/n - Caixa Postal 20</t>
  </si>
  <si>
    <t>uma casa</t>
  </si>
  <si>
    <t>02° Registro de Imóveis de Londrina</t>
  </si>
  <si>
    <t>Tamarana</t>
  </si>
  <si>
    <t>Sítio de Tamarana</t>
  </si>
  <si>
    <t>O apontamento de regularização para agosto de 2019 diz respeito ao trabalho realizado pelo escritório Gobbo e Guimarães, todavia restava o comparecimento in loco, para certificação. O qual foi realizado pelo Anderson, do setor de facilities, comparecendo no imóvel mediante os elementos para localização do imóvel apontada por GPI, identificando o imóvel como sendo de fato da ABEC porém ocupado por terceiros. Houve contato telefônico com o ocupante e ficamos de retomar contato pessoal, tendo em vista que o mesmo limitou-se a falar por telefone.</t>
  </si>
  <si>
    <t>Prefeitura informou que os lotes solicitados para aquisição deveriam ser alienados separadamente para evitar que os lotes de IF 71.066.024 e 71.080.001 ficassem encravados. Sendo compromissado a oferta de algum lote para permuta. Ofertado o imóvel da Nilo Peçanha e em análise pela Gerência de regularização patrimonial.</t>
  </si>
  <si>
    <t>Manifestação da prefeitura "tendo em vista o pedido de permuta de áreas, solicitamos parecer com relação ao interesse público nas áreas indicadas na cor vermelha, às fls.43, indicações fiscais n.ºs 71.080.001 e 71.080.016, de propriedade do Município, e na área indicada em na cor verde, Indicação Fiscal IF Nº 71.066.043, de propriedade do requerente e ofertada pelo mesmo.
1- Ao SMMA4,
Implantação de unidade de conservação/ equipamento de lazer;
2- Ao IPPUCDPR,
Implantação de equipamento social, de melhorias no sistema viário da região ou de outros projetos."</t>
  </si>
  <si>
    <t>Secretaria de Meio Ambiente e IPPUC ainda não se manifestaram.</t>
  </si>
  <si>
    <t>Secretaria de Meio Ambiente e IPPUC ainda não se manifestaram. Escritório Gobbo e Guimarães também não sinalizou ou comunicou para o Patrimônio Imobiliário providências no sentido de cobrança.</t>
  </si>
  <si>
    <t xml:space="preserve">Município ainda não se manifestou, escritório informou que tem entrado em contato com a Prefeitura com frequência para saber o andamento e em contato mais recente foram informados que o processo está sendo analisado pelo setor de Parques e Praças. Informaram que a responsável pela análise voltou de licença a pouco mais de dois meses e não teve conhecimento desse processo. A mesma ficou de verificar com a pessoa qual a substituiu para dar andamento a nossa solicitação.
Ficou de me posicionar essa semana quanto a isso. </t>
  </si>
  <si>
    <t xml:space="preserve">Aguardando manifestação do município. </t>
  </si>
  <si>
    <t>Registro de Imóveis de Paranaguá</t>
  </si>
  <si>
    <t>Proação Guaraqueçaba</t>
  </si>
  <si>
    <t>Rua Ferreira Lopes, s/n (Beira Mar) - Centro.</t>
  </si>
  <si>
    <t>1.1.03.056.001 ; 1.1.03.056.002 ; 1.1.04.340.001</t>
  </si>
  <si>
    <t>Tendo em vista pertencer a SPU, transformar de ocupação para aforamento.</t>
  </si>
  <si>
    <t>Aguardando análise do protocolo do pedido de Aforamento não oneroso junto ao SPU.</t>
  </si>
  <si>
    <t>Permanecem no aguardo da análise do protocolo do pedido de Aforamento não oneroso junto ao SPU.</t>
  </si>
  <si>
    <t>Paranaguá</t>
  </si>
  <si>
    <t>Antigo Proação Paranaguá</t>
  </si>
  <si>
    <t>Rua General Carneiro - Prado Velho.</t>
  </si>
  <si>
    <t>Terreno Lagoa dos Patos</t>
  </si>
  <si>
    <t>Rua Presidente Kennedy - Centro.</t>
  </si>
  <si>
    <t xml:space="preserve">1 - 10105901220010 </t>
  </si>
  <si>
    <t>Editora FTD - Filial Prédio Comercial</t>
  </si>
  <si>
    <t>Rua João Negrao, nº 2.720 - Prado Velho.</t>
  </si>
  <si>
    <t>A unificação deste imóvel juntamente aos imóveis das matrículas de n.º 9.469 e 35.291 é uma obrigação contratual da Loteadora D´Agostini. Nesta data o núcleo de regularizações pede informações a gestora do patrimônio imobiliário acerca do assunto. Gestora do Patrimônio Imobiliário informa que no dia 13/03/2020 fará uma reunião com a Loteadora D´Agostini e a Projur - Marista. Pedindo para que ficasse no aguardo de novas informações.</t>
  </si>
  <si>
    <t>transferência - cisão II</t>
  </si>
  <si>
    <t>Edifício Dom Manuel D'Elboux - Conjunto 700</t>
  </si>
  <si>
    <t>Rua Doutor Muricy, 926 - Centro.</t>
  </si>
  <si>
    <t>01.0.0002.0018.00-2</t>
  </si>
  <si>
    <t xml:space="preserve">Estabelecido contato com Dr. Umberto e Giceli coordenadora da Ação Social do Paraná. Expondo a necessidade de providenciar a escritura de renúncia. A devolutiva foi no sentido de disposição quanto a assinatura. Demandado a Natasha do Cartório Leão. Solicitou documentos (estatuto, ata de eleição e RG e CPF) para elaboração da minuta da escritura. </t>
  </si>
  <si>
    <t>Ação Social do Paraná, encaminha a documentação.</t>
  </si>
  <si>
    <t>Tabelionato de notas informou que a procuração encaminhada pela Ação Social, não outorga poderes para o fim da lavratura da escritura. Segundo a pessoa em contato da Ação Social, o representante legal está em viagem retornando somente no mês de Julho.</t>
  </si>
  <si>
    <t>Tendo em vista a virada do mês, e-mail encaminhado a Natasha para verificar como seria tomado os próximos passos. Se o contato com a Ação Social do Paraná, seria estabelecido pela Natasha ou por mim. Retorno da Sra. Natasha, informando que a Ação Social do Paraná, não havia retornado. E-mail encaminhado para Ação Social do Paraná. Retorno informaram que foi solicitado a Sra. Natasha, para que verificasse a possibilidade da vice presidente assinar o documento, enviada a solicitação no dia 10.06.2020 sem retorno até a presente data. Entrariam em contato novamente a Sra. Natasha.</t>
  </si>
  <si>
    <t>PUCPR_AFPUC - Associação dos Funcionários - Curitiba</t>
  </si>
  <si>
    <t>Rua Imaculada Conceição, 1062 - Prado Velho.</t>
  </si>
  <si>
    <t>24.0.0024.0164.00-3</t>
  </si>
  <si>
    <t>Rua Iapó</t>
  </si>
  <si>
    <t>3300006069000-1</t>
  </si>
  <si>
    <t>3300006049200-0</t>
  </si>
  <si>
    <t>Protocolado junto ao Municipio interesse de permuta, oferecendo o imóvel referente a matrícula de n.º 15.171. Aguradando manfestação do município.</t>
  </si>
  <si>
    <t>Inativo</t>
  </si>
  <si>
    <t>Residência Nilo Peçanha</t>
  </si>
  <si>
    <t>Rua Nilo Peçanha, nº 3.640 / 3.660 - Pilarzinho / São Lourenço.</t>
  </si>
  <si>
    <t>3300048031400-2</t>
  </si>
  <si>
    <t>Tendo em vista a oferta do imóvel para permuta com o imóvel da prefeitura, limítrofe ao colégio Santa Maria, a retificação deste lote ficou temporariamente suspensa.</t>
  </si>
  <si>
    <t>Regularização suspensa temporariamente, tendo em vista a oferta do imóvel em permuta ao do município estar em andamento.</t>
  </si>
  <si>
    <t>Alinhamento para retomada da regularização. Todavia o responsável técnico encontra-se hospitalizado.</t>
  </si>
  <si>
    <t>Projetos elaborados, coletada a assinatura do representante legal da ABEC e encaminhado para o escritório Gobbo e Guimarães protocolizar na prefeitura.</t>
  </si>
  <si>
    <t xml:space="preserve">Aguardando conferência pelo RI. </t>
  </si>
  <si>
    <t>Aguardando ART do engenheiro Luciano atualizada com a metragem corrigida. ART solicitada ao Rubens. Rubens informou que a ART está à disposição para retirada.</t>
  </si>
  <si>
    <t>Documento protocolado no RI, aguardando conferência.</t>
  </si>
  <si>
    <t>Em 13/12/2019, ocorreu o registro da transferência de propriedade da ABEC para a UCE, perante o Registro de Imóveis. Em 18/06/2020, consultando a certidão imobiliária ocorreu a transferência da titularidade perante a prefeitura da ABEC para a UCE.</t>
  </si>
  <si>
    <t>SGAS 609 - Conjunto A - Asa Sul - Módulos 62/63 30.000m2 - Cidade Nova.</t>
  </si>
  <si>
    <t>0400311x</t>
  </si>
  <si>
    <t>01° Registro de Imóveis de Ji-Paraná</t>
  </si>
  <si>
    <t>Ji Paraná</t>
  </si>
  <si>
    <t>RO</t>
  </si>
  <si>
    <t>Terreno - Loteamento Dom Bosco -  27</t>
  </si>
  <si>
    <t>Rua Rio Jamari</t>
  </si>
  <si>
    <t>FEITO DOAÇÃO, SEM ESCRITURA PÚBLICA</t>
  </si>
  <si>
    <t>Terreno -  35 - Quadra 20</t>
  </si>
  <si>
    <t>Terreno - 05</t>
  </si>
  <si>
    <t>Terreno - 06</t>
  </si>
  <si>
    <t>Terreno - 14</t>
  </si>
  <si>
    <t>Terreno - 18</t>
  </si>
  <si>
    <t>Terreno - Loteamento Dom Bosco - 26</t>
  </si>
  <si>
    <t>Rua Rio Aripoanã</t>
  </si>
  <si>
    <t>Terreno -  29</t>
  </si>
  <si>
    <t>Terreno - 33</t>
  </si>
  <si>
    <t>Terreno -  34</t>
  </si>
  <si>
    <t>Terreno - 35 - Quadra 19</t>
  </si>
  <si>
    <t>Terreno - 36</t>
  </si>
  <si>
    <t>PUCPR_Terreno B</t>
  </si>
  <si>
    <t>Rua Imaculada Conceição, 1155 - Prado Velho.</t>
  </si>
  <si>
    <t>24.0.0037.1386.00-0</t>
  </si>
  <si>
    <t>Registro de Imóveis de Monte Santo de Minas</t>
  </si>
  <si>
    <t>01° Registro de Imóveis de Joaçaba</t>
  </si>
  <si>
    <t>Joaçaba</t>
  </si>
  <si>
    <t>Colégio Marista Frei Rogério</t>
  </si>
  <si>
    <t>Rua Frei Rogério, nº 596 - Centro.</t>
  </si>
  <si>
    <t>Registro de Imóveis de Santa Isabel</t>
  </si>
  <si>
    <t>Santa Isabel</t>
  </si>
  <si>
    <t>Recanto Marista - Colégio Marista Nossa Senhora da Glória</t>
  </si>
  <si>
    <t>Estrada da Biquinha, ref. Rodovia Presidente Dutra, Km 190,5 - Cachoeirinha.</t>
  </si>
  <si>
    <t>Contato com Dr. Orly, requerendo diligência na Sefaz. Tendo em vista a dúvida quanto ao procedimento a ser adotado sobre a Guia de ITCMD.</t>
  </si>
  <si>
    <t>Encaminhar a procuração para o Dr. Orly.</t>
  </si>
  <si>
    <t>Tendo em vista a situação de teletrabalho a minuta foi disponibilizada via e-mail para a Fabiana (secretaria) que estava trabalhando no prédio administrativo, para que ela pudesse coletar assinatura do representante legal da ABEC.</t>
  </si>
  <si>
    <t>Consulta realizada junto a gestora do patrimônio imobiliário se por ventura a secretaria havia retornado com o documento. Sem retorno.</t>
  </si>
  <si>
    <t>Gustavo Loesch, gerente de serviços da PMBCS formaliza/registra a Grasiela Silveira, gerente de patrimônio imobiliário, autorização para pagamento do ITCMD.</t>
  </si>
  <si>
    <t>Emitida a guia do ITCMD e encaminhada a Grasiela, em cópia Josiane, Leandro, Manoel e Gustavo. Aguardando comprovante de pagamento, para continuidade no processo.</t>
  </si>
  <si>
    <t>Tendo em vista o vencimento da guia encaminhada anteriormente sem o respectivo pagamento, nesta data foi reemitida a guia e encaminhada para pagamento.</t>
  </si>
  <si>
    <t>Questionado a Josiane sobre a programação de pagamento.</t>
  </si>
  <si>
    <t>Rua Francisco Alves, 377 - Jardim Jóquei Club.</t>
  </si>
  <si>
    <t>05020009103500001</t>
  </si>
  <si>
    <t>Chácara  Londrina</t>
  </si>
  <si>
    <t>05020009104000001</t>
  </si>
  <si>
    <t>05020009104500001</t>
  </si>
  <si>
    <t>05020009105000001</t>
  </si>
  <si>
    <t>05020009105500001</t>
  </si>
  <si>
    <t>05020009106000001</t>
  </si>
  <si>
    <t>Arquivo Central</t>
  </si>
  <si>
    <t>Rua Antônio Grocoske, 45 - Prado Velho.</t>
  </si>
  <si>
    <t>Registro de Imóveis de Capinzal</t>
  </si>
  <si>
    <t>Piratuba</t>
  </si>
  <si>
    <t>Apartamento Residencial 201</t>
  </si>
  <si>
    <t>Rua João Ritter - Edif Valfiori</t>
  </si>
  <si>
    <t>01010060182008</t>
  </si>
  <si>
    <t>Escritório de advocacia Gobbo e Guimarães encaminha a certidão com o registro da cisão concretizado.</t>
  </si>
  <si>
    <t>Apartamento Residencial 204</t>
  </si>
  <si>
    <t>01010060182011</t>
  </si>
  <si>
    <t>Colônia Erval - Lageado Leãozinho - Linha Duas Casas - Glória.</t>
  </si>
  <si>
    <t>Elaboração de material gráfico preliminar baseado na matrícula, para facilitar levantamento de campo. Confecção dos marcos e chapas para demarcação a campo. Em processo de finalização, programada conclusão para junho de 2020.</t>
  </si>
  <si>
    <t>Registro de Imóveis de Almirante Tamandaré</t>
  </si>
  <si>
    <t>Rua Cinfrônio de Andrade, nº 200 - Botiatuba</t>
  </si>
  <si>
    <t>Em 20/02/2020 ocorreu o registro da cisão. Todavia a certidão foi encaminhada somente em 17/03/2020. Como o número de fevereiro já estava consolidado. A regularização foi computada em março.</t>
  </si>
  <si>
    <t>Rua Rockefeller, 1679 - Rebouças.</t>
  </si>
  <si>
    <t>24.0.0025.0296.00-7</t>
  </si>
  <si>
    <t>Terreno - 24,75</t>
  </si>
  <si>
    <t>Rua Ir. Celestino Delpine e Rua Ir. Leão Magno - Amizade</t>
  </si>
  <si>
    <t>Chácara Taramelli</t>
  </si>
  <si>
    <t>Rua Serra Verde, 250 - Bandeirantes.</t>
  </si>
  <si>
    <t>05020006101630001</t>
  </si>
  <si>
    <t>24.0.0023.0100.00-2</t>
  </si>
  <si>
    <t xml:space="preserve">Documentos com o tabelionato para conslusão da Ata Notarial. Tabelionato pede que seja efetuado registro fotográfico com devidas demarcações. Promovido o registro fotográfico, tendo em vista a demarcação. Aguardando análise do tabelionato. </t>
  </si>
  <si>
    <t>Tabelionato efetuou novo registro fotográfico. Escritório está fazendo busca das matrículas dos confrontantes (apenas o dos fundos).</t>
  </si>
  <si>
    <t>Escritório solicitou 02 testemunhas para participação no processo e por conseguinte finalização da Ata Notarial. Sugestionado pela gestora do patrimônio a Dra. Indiuara. Todavia ainda falta uma pessoa.</t>
  </si>
  <si>
    <t>No aguardo da indicação de outra pessoa para testemunhar no caso.</t>
  </si>
  <si>
    <t>Conforme posição de andamentos anteriores, a advogada do Grupo Marista, Dra. Indiuara, já havia se prontificado em ser uma das testemunhas, porém até o presente momento não foi indicada outra pessoa que possa ser testemunha.</t>
  </si>
  <si>
    <t>Escritório verificou e alinhou junto ao tabelionato a possibilidade de a outra testemunha ser um confrontante. Escritório estará promovendo aproximação no intuito de convencer o confrontante a testemunhar.</t>
  </si>
  <si>
    <t>Encaminhado e-mail ao escritório no intuito de verificar evolução quanto ao assunto, pois até o presente momento não havia ocorrido nenhum retorno.</t>
  </si>
  <si>
    <t xml:space="preserve">Informação em relatório é de que está sendo tentado contato com o confrontante para coleta de dados como testemunha. Todavia por e-mail a informação é de que não estão conseguindo contato e estão buscando alternativa com o tabelionato. </t>
  </si>
  <si>
    <t>Tabelionato informou que será possível indicar um funcionário com menos tempo de casa e que nesse caso, apenas declara-se o tempo em que este funcionário está na empresa e que nesse período o funcionário tem conhecimento do uso do imóvel pelo Grupo. O escritório passa a ficar no aguardo quanto a indicação de mais uma testemunha para o processo.</t>
  </si>
  <si>
    <t>Escritório está no aguardo da manifestação da testemunha (Sr. Guilherme Matyniak). O qual já havia se colocado à disposição.</t>
  </si>
  <si>
    <t>Colégio Marista Pio XII</t>
  </si>
  <si>
    <t>Rua Rodrigues Albes, nº 701 - Jd. Carvalho</t>
  </si>
  <si>
    <t>27251</t>
  </si>
  <si>
    <t>PUCPR_Curitiba</t>
  </si>
  <si>
    <t>24.0.0037.1056.00-9</t>
  </si>
  <si>
    <t>Última parcela do pagamento é em 20/12/2021.</t>
  </si>
  <si>
    <t>PUCPR_Tecnoparque - Antiga CIA Providência</t>
  </si>
  <si>
    <t>Rua Imaculada Conceição, 1.430 - Prado Velho.</t>
  </si>
  <si>
    <t>PUCPR_Garagem/Fisioterapia/Gráfica</t>
  </si>
  <si>
    <t>Rua Salgado Filho, 519 - Prado Velho.</t>
  </si>
  <si>
    <t>01° Registro de Imóveis de Criciúma</t>
  </si>
  <si>
    <t>Criciúma</t>
  </si>
  <si>
    <t>Terreno - Próximo Colégio Marista</t>
  </si>
  <si>
    <t>Rua Antonio de Lucca, nº 334 - Pio Corrêa.</t>
  </si>
  <si>
    <t>Mediante o de acordo da gerente de Patrimônio Imobiliário, considerando que não há mais o que ser feito neste caso, o mesmo foi considerado como regularizado.</t>
  </si>
  <si>
    <t>FC</t>
  </si>
  <si>
    <t>32.0.0007.0350.00-4</t>
  </si>
  <si>
    <t>06° Registro de Imóveis de São Paulo</t>
  </si>
  <si>
    <t>São Paulo</t>
  </si>
  <si>
    <t>Colégio Marista Nossa Senhora da Glória</t>
  </si>
  <si>
    <t>Rua Justo Azambuja, 121 / 185 / 229 - Cambuci</t>
  </si>
  <si>
    <t>0040670008-7</t>
  </si>
  <si>
    <t>03° Registro de Imóveis de Cascavel</t>
  </si>
  <si>
    <t>Cascavel</t>
  </si>
  <si>
    <t>Rua Corbélia, nº 1.967 - Periolo.</t>
  </si>
  <si>
    <t>Apesar de a data da regularização ser considerada em Março, pois a certidão foi disponibilizada pelo escritório Gobbo e Guimarães em 17/03/2020. A regularização ocorreu de fato em 19/02/2020, todavia como o numero de fevereiro já estava consolidado (apresentado inclusive para a Província), por esta razão a contagem ficou em Março.</t>
  </si>
  <si>
    <t>Está sendo tomada providência de apuração de área remanescente do imóvel limítrofe denominado Recanto, tendo em vista o processo de desapropriação do DNIT, ocorrido no passado. Entretanto a utilização do imóvel por parte do DNIT, excedeu a área do Recanto, avançando também para a área do Centro Social. Razão pela qual está sendo regularizada neste momento. Foi contratado escritório de arquitetura local para condução do processo. O qual nesta data foi mantido contato para atualização do assunto. Será encaminhado nos próximos dias o mapa, memorial descritivo e ART para coleta de assinatura do representante legal da UCE para protocolo junto ao DNIT, nossa responsabilidade, seja para uma desapropriação amigável ou para uma doação.</t>
  </si>
  <si>
    <t>Rua Justo Azambuja, 121 / 185 / 229 - Cambuci.</t>
  </si>
  <si>
    <t>Terreno Padres Maristas</t>
  </si>
  <si>
    <t>Rua Guabirotuba, 325 - Prado Velho.</t>
  </si>
  <si>
    <t>Registro de Imóveis de Dourados</t>
  </si>
  <si>
    <t>Dourados</t>
  </si>
  <si>
    <t>MS</t>
  </si>
  <si>
    <t>Terreno - Dourados</t>
  </si>
  <si>
    <t>Avenida Marcelino Pires, s/n - Centro.</t>
  </si>
  <si>
    <t>00.01.03.02.171.000</t>
  </si>
  <si>
    <t>Vendido</t>
  </si>
  <si>
    <t>Colombo</t>
  </si>
  <si>
    <t>Terreno - 3</t>
  </si>
  <si>
    <t>Rua da Papoula - Roseira.</t>
  </si>
  <si>
    <t>03.04.026.0158.001</t>
  </si>
  <si>
    <t>Apresentada a especificação de provas, sendo encaminhado a conclusão no dia 29/07/2019. Em decisão o juiz determinou a intimação do município para que se manifeste sobre o interesse no feito, tendo em vista que o imóvel foi objeto de doação. Aguardamos a manifestação do município.</t>
  </si>
  <si>
    <t>Sem movimentação processual desde a última atualização até o presente momento.</t>
  </si>
  <si>
    <t xml:space="preserve">O município se manifestou nos autos informando que não possui interesse no lote em questão, e não se opõe ao pedido de usucapião. Aguardamos a decisão, todavia autos concluso desde 18/12/2019 (recesso forense). </t>
  </si>
  <si>
    <t>Decisão saneadora do processo indeferindo a preliminar de impossibilidade jurídica do pedido, no qual informamos que a APC não cumpriu com o encargo da doação e o imóvel reverteu ao Município, assim como o imóvel pertence ao Município incabível a Ação de Usucapião. Recurso de agravo de instrumento, para o tribunal o qual ainda não foi julgado. Caso o recurso não seja favorável a APC, a condenação será no sentido de pagamento de honorários advocatícios e o deferimento do usucapião aos autores. Comcomitante há uma audiência de instrução para o dia 11 de agosto. Podendo haver o entendimento do juiz de julgando improcedente os pedidos dos autores.</t>
  </si>
  <si>
    <t>Interposto Agravo de Instrumento da rejeição da preliminar de impossibilidade jurídica do pedido. Aguardando julgamento do Agravo de Instrumento.</t>
  </si>
  <si>
    <t>Protocolado manifestação quanto as taxas de IPTU e outras taxas em aberto, tendo em vista o caráter propter – rem das taxas, no qual as taxas são objeto do imóvel, assim caso haja decretação da usucapião necessária a condenação dos usucapientes ao pagamento de tais taxas em aberto, tendo em vista que a APC nunca tomou posse do imóvel.</t>
  </si>
  <si>
    <t>Terreno - 2</t>
  </si>
  <si>
    <t>03.04.026.0171.001</t>
  </si>
  <si>
    <t>O andamento deste imóvel está descrito no andamento da matrícula de n.º 26.006 por se tratar de uma ação judicial que envolve também aquele imóvel.</t>
  </si>
  <si>
    <t>Terreno - 1</t>
  </si>
  <si>
    <t>03.04.026.0183.001</t>
  </si>
  <si>
    <t>Chácara Scheffer</t>
  </si>
  <si>
    <t>Rua Serra Japuira, 600 - Messiânico.</t>
  </si>
  <si>
    <t>05020009410900001</t>
  </si>
  <si>
    <t>04° Registro de Imóveis de Curitiba</t>
  </si>
  <si>
    <t>Comercial - Prédio Tupy</t>
  </si>
  <si>
    <t>Avenida Sen. Salgado Filho, nº 1476 / 1474 - Guabirotuba.</t>
  </si>
  <si>
    <t>2300081012400-2 e 2300081028600-1</t>
  </si>
  <si>
    <t>Gestora do setor de Patrimônio Imobiliário estabelece contato com a Copema Engenharia e Construções Ltda, para tratar da baixa de hipoteca.</t>
  </si>
  <si>
    <t>Gestora do setor de Patrimônio Imobiliário cobra uma posição quanto a evolução da baixa da hipoteca.</t>
  </si>
  <si>
    <t>Ainda sem um retorno por parte do escritório encaminhado e-mail no sentido de acompanhamento do assunto.</t>
  </si>
  <si>
    <t>Rua Henrique Porchat, 22 - Vila Nova.</t>
  </si>
  <si>
    <t>Registro de Imóveis de Campo Largo</t>
  </si>
  <si>
    <t>Campo Largo</t>
  </si>
  <si>
    <t>Estrada Figueiredo, s/n - Cercadinho.</t>
  </si>
  <si>
    <t>Não tem inscrição</t>
  </si>
  <si>
    <t>Protocolado recurso para que seja deferida a desafetação das APP´s.</t>
  </si>
  <si>
    <t>GIT (Grupo Interinstitucional de Trabalho) emitiu parecer em 03/12/2019 deferindo a desafetação de Zona de Preservação de Fundo de Vale. O processo agora será encaminhado para o Conselho Gestor dos Mananciais. Todavia, ainda será preciso encaminhar ao município de Campo Largo, para obtenção da autorização de corte. Cabe ainda pontuar que o processo como um todo será modificado um decreto estadual.</t>
  </si>
  <si>
    <t>Após deferimento no Conselho Gestor dos Mananciais, Rubens, protocolou com base no referido deferimento novo pedido na prefeitura de Campo Largo. Processo perante a prefeitura foi deferido, estando para ser expedida a certidão.</t>
  </si>
  <si>
    <t xml:space="preserve">Apesar de a empresa EccoAmbiental ter encaminhado o parecer do GIT e da prefeitura em 16/01/2020, autorizando o corte e com a desafetação das supostas nascentes. Está sendo computada a regularização no mês de Março. </t>
  </si>
  <si>
    <t>Hospital Nossa Senhora da Luz</t>
  </si>
  <si>
    <t>Avenida Marechal Floriano Peixoto, 2.659 - Prado Velho.</t>
  </si>
  <si>
    <t>Retirada do processo, face o pedido da prefeitura para doação de área, tendo em vista o atingimento viário.</t>
  </si>
  <si>
    <t>Não se aplica</t>
  </si>
  <si>
    <t>Protocolado recurso para que não ocorra a doação.</t>
  </si>
  <si>
    <t>Notificação à ISCMC do direito de preferência. Com prazo de 15 dias (10.09.2019), para manifestação do interesse ou não de aquisição da parte da APC. Não havendo interesse segue o registro da escritura.</t>
  </si>
  <si>
    <t>Reunião do Conselho Municipal de Urbanismo, para tratar do recurso. Sendo provido pela liberação da doação, ou seja não será necessário a doação.</t>
  </si>
  <si>
    <t>Ante a ausência de manifestação da ISCMC, a PROJUR Marista, consentiu em darmos seguimento no registro da escritura. Demandado a Natasha para dar prosseguimento.</t>
  </si>
  <si>
    <t>Após provimento do CMU, houve novas exigências por parte do setor de análise e parcelamento do solo (revalidar o parecer da CAPC; para esclarecer divergências constatadas na testada da Av. Marechal, entre a matrícula e a planta de retificação; comprovação da representatividade; matrícula atualizada, certidões simplificadas, breve relato).</t>
  </si>
  <si>
    <t>CAPC solicita 1- A planta do terreno com a nova metragem, após a aprovação da subdivisão;
2- Alvará de Restauro atualizado, com projeto elaborado conforme o estabelecido no Decreto 543/2012, contemplando todas as edificações cadastradas como Unidade de Interesse de Preservação e as ampliações que forem passíveis de aprovação.</t>
  </si>
  <si>
    <t>Prefeitura identificou erro de digitação na planta, situação já superada e fim da análise prevista para 10/12/2019.</t>
  </si>
  <si>
    <t>01. Esclarecer quanto a divergência constatada ente prancha contendo a retificação, e respectiva matrícula retificada. Sendo que na planta retificada, a testada para a rua Rockefeller possui 355,02m enquanto que na matrícula está com 346,81m.
- " Se o registro ou a averbação, for omissa, imprecisa, ou não exprimir a verdade, a retificação será feita pelo Oficial do Registro de Imóveis competente, a requerimento do interessado, por meio do procedimento administrativo previsto no art. 213, facultado ao interessado requerer a retificação por meio de procedimento judicial."
02. Atender integralmente as solicitações efetuadas na prancha vistada em 07/10/2019 .
03. Retornar para nova análise.</t>
  </si>
  <si>
    <t>O protocolo perante a prefeitura teve movimentação, contudo teve novo parecer identificando nova inconsistência nas metragens da planta. Sendo necessária providências corretivas, da parte do responsável técnico.  O mesmo já possui ciência, todavia promoverá a correção em 20/01.</t>
  </si>
  <si>
    <t>O responsável técnico Rafael Vargas, corrigiu as inconsistências relatadas no relatório apresentado anteriormente e encaminhou para o escritório Gobbo e Guimarães. Também durante este período foram apresentados para pagamento pelo Grupo, o Termo de Responsabilidade Técnica, o documento de arrecadação do ISS e a taxa da prefeitura para desmembramento. Ainda a certidão imobiliária do imóvel não foi expedida com o status negativa, tendo em vista que encontrava-se em aberto a taxa de coleta de lixo. Entretanto quanto a esse aspecto já encontrava-se em andamento o protocolo perante a prefeitura de lançamento indevido da taxa, tendo em vista a existência de contrato de prestação de serviço com particular. Até a data de fechamento deste report referidos pagamentos não haviam sido processados. A priori após superado os pagamentos e apresentados os comprovantes o protocolo encaminhará para a fase de conclusão.</t>
  </si>
  <si>
    <t>Topógrafo disponibilizada o projeto para assinatura dos proprietários. Documento assinado pelo representante da APC e encaminhado para a procuradoria juridica da Pro-saude em São Paulo. De lá encaminhado para o Rio de Janeiro, local que o provedor despacha. No dia 13/03/2020 o documento estava assinado e a disposição para retirada em Curitiba. Na mesma data o escritório Gobbo e Guimarães retira a documentação da ISCMC e protocola na Prefeitura. Análise  com devolutiva por parte da prefeitura  programado para o dia 14/04/2020.</t>
  </si>
  <si>
    <t>Prefeitura não deu andamento no processo, tendo em vista a seguinte situação, um dos formulários foi preenchido, erroneamente, ao invés de o proprietário estar preenchido como o nome das empresas APC e ISCMC, foi preenchido com o nome dos representantes legais. Isto posto a documentação foi assinada pelo representante legal da APC e encaminhada para assinatura do representante legal da ISCMC. Documento foi devolvido pela ISCMC, encaminhado para o escritório Gobbo e Guimarães e novamente protocolizado na prefeitura. Aguarda-se a reanálise.</t>
  </si>
  <si>
    <t>Projeto aprovado. Aguardando liberação da retirada pela PMC para protocolar processo junto ao RI.</t>
  </si>
  <si>
    <t xml:space="preserve">Aguardando escritura de divisão amigável para entrada no RI. Ocorreu a definição entre o Dr. Giuliano e a Grasiela que a escritura seria lavrada no tabelionato do Barreirinha. </t>
  </si>
  <si>
    <t xml:space="preserve">Dr. Giuliano, encaminha a minuta da escritura. A ISCMC por sua vez ficou de encaminhar a documentação institucional para complemento da minuta. </t>
  </si>
  <si>
    <t>Procuradoria jurídica encaminha ao setor de patrimônio imobiliário, na pessoa de Grasiela a minuta validada, porém com dois apontamentos para eventuais correções. Grasiela, encaminha ao núcleo de regularizações para continuidade.</t>
  </si>
  <si>
    <t>Núcleo de regularizações encaminha a minuta ao escritório para esclarecimento e providências.</t>
  </si>
  <si>
    <t xml:space="preserve">Tabelionato devolveu a minuta da escritura ponderando que o artigo do estatuto informado não outorgava poderes para o representante legal da ABEC assinar isoladamente, razão pela qual estavam inseridos os nomes dos outros irmãos na minuta. Foi informado o artigo adequado, superando a questão. Entretanto ficou pendente a apresentação da ATA de autorização de subdivisão. A qual foi solicitada a PROJUR. </t>
  </si>
  <si>
    <t>0040670006-0</t>
  </si>
  <si>
    <t>PUCPR_Hospital Veterinário - Curitiba</t>
  </si>
  <si>
    <t>Rua Rockefeller, 1.311, 1.325 e 1.337 - Rebouças.</t>
  </si>
  <si>
    <t>comércio  + 3 barracões</t>
  </si>
  <si>
    <t>2400003029200-4</t>
  </si>
  <si>
    <t>01° Registro de Imóveis de São José dos Pinhais</t>
  </si>
  <si>
    <t>São José dos Pinhais</t>
  </si>
  <si>
    <t>Terreno_ Antigo Campus  PUC_São José</t>
  </si>
  <si>
    <t>Margens Rodovia BR-376 - Cumbica.</t>
  </si>
  <si>
    <t xml:space="preserve">O autor veio aos autos e informou estar com dificuldade de localizar os coproprietários faltantes, solicitando a dilação de prazo, a fim de encontrar todos os faltantes. O autor novamente compareceu aos autos informando que a citação dos demais proprietários deverá ocorrer em nome dos herdeiros devido ao falecimento, apresentou os dados e endereço. Aguardamos determinação do juiz para a expedição e posterior citação dos coproprietários faltantes, e posterior decisão saneadora. </t>
  </si>
  <si>
    <t>Ainda aguardando a determinação do juiz. Contudo, foi recebida a informação de licença maternidade da juíza. Sendo assim aguardando a indicação de novo juiz substituto para a vara.</t>
  </si>
  <si>
    <t>Ainda no aguardo da nomeação de novo juiz para a vara.</t>
  </si>
  <si>
    <t>Processo judicial, em que foi reiterado especificação de provas, reforçando a necessidade de prova pericial. Aguardando decisão saneadora. Em decisão o juiz considerou a alegação de ausência de citação de todos os coproprietários, e determinou a intimação do autor para a emenda a inicial com a inclusão de todos os nomeados na matrícula. Aguardamos cumprimento por parte do autor, e posterior citação dos coproprietários faltantes, e posterior decisão saneadora.</t>
  </si>
  <si>
    <t>Determinado pelo Juiz aos autores a apresentação de certidões de óbito e providenciar a busca de inventário. Aguardando cumprimento do prazo dos autores.</t>
  </si>
  <si>
    <t>Juntada de Certidão de óbito pelos autores, aguardando decisão do Juiz.</t>
  </si>
  <si>
    <t>Sem alteração do último andamento para a data atual.</t>
  </si>
  <si>
    <t>Bertioga</t>
  </si>
  <si>
    <t>Colônia de Férias - Bertioga</t>
  </si>
  <si>
    <t>Rod. Dr. Manoel Hyppolito do Rego - Jd. Indaiá.</t>
  </si>
  <si>
    <t>Tramitando o pedido de atualização cadastral do novo RIP 29650100099-09, bem como enviado requerimento para certidão de emplacamento emitida pela PM Bertioga.</t>
  </si>
  <si>
    <t>Será realizado o requerimento de aforamento não oneroso junto ao SPU.</t>
  </si>
  <si>
    <t>Liberado o acesso ao cadastro do novo RIP 29650100099-09, mas devido a pandemia do SARS COV 2 - COVID 19 a Secretaria de Patrimônio da União, continua em trabalho remoto, não sendo possível requerer o interior teor do processo para encaminhamento ao munícipio de Bertioga para requerer a nova certidão de emplacamento. Foram realizados vários contatos por telefone e enviado e-mail, mas ainda sem resposta.</t>
  </si>
  <si>
    <t>Ainda faltam dados no novo cadastro do RIP ativo RIP 29650100099-09 é preciso o interior teor do processo, para requerer a nova certidão de emplacamento. A SPU continua em trabalho remoto. O último contato com a servidora não tinha acesso a computador na sua residencia.</t>
  </si>
  <si>
    <t>Proação</t>
  </si>
  <si>
    <t>Núcleo de Regularizações, informa a gerente de Patrimônio Imobiliário sobre a irregularidade em aberto. A gerente de Patrimônio Imobiliário, direciona o assunto a gerente da Procuradoria Jurídica, solicitando atualização.</t>
  </si>
  <si>
    <t>Este caso foi ativado para inserir as providências quanto a situação do cadastro tendo em vista a entrega da obrigação ter sido feita em nome da APC e também para acompanhar o caso da transferência da propriedade, tendo em vista a desapropriação do município de Tijucas do Sul. Razão pela qual foi demandado ao Alaor a emissão de certidão para certificar se por ventura o município havia tomado alguma providência neste sentido.</t>
  </si>
  <si>
    <t>Tendo em vista ausência de manifestação acerca da atualização. Núcleo de Regularizações, toma providência reforçando o pedido diretamente a gerente da Procuradoría Jurídica.</t>
  </si>
  <si>
    <t>3300006002200-1</t>
  </si>
  <si>
    <t>Administração de patrimônio da Mitra Diocesana de Paranaguá, autoriza o serviço jurídico da Condovel, empresa responsável pela administração das salas comerciais objeto da permuta. 19/08_ Escritura em fase de análise e aguardando apresentação de CND's</t>
  </si>
  <si>
    <t>Condovel recebe a documentação correta da Mitra para notificação dos locatários, tendo em vista os mesmos não terem desocupado as salas amigavelmente.</t>
  </si>
  <si>
    <t>Tendo em vista a ausência de notícias, encaminhado e-mail para a Condovel pedindo informações a respeito de possíveis evoluções.</t>
  </si>
  <si>
    <t xml:space="preserve">Empresa Condovel, reestabelece contato informando que estão de posse das chaves. Questionado a Diocese mediante o avanço do assunto se podemos avançar com a permuta. Encaminhado mensagem a Natasha para verificar quais documentos estavam pendentes para prosseguir com o assunto. </t>
  </si>
  <si>
    <t>Minuta da Escritura de Permuta em andamento e aguardando retorno das CND's das partes, bem como Imunidade de ITBI</t>
  </si>
  <si>
    <t>Registro de Imóveis de Ubatuba</t>
  </si>
  <si>
    <t>Ubatuba</t>
  </si>
  <si>
    <t>Terreno  Ubatuba - 2</t>
  </si>
  <si>
    <t>Estrada Almada, s/n - Almada.</t>
  </si>
  <si>
    <t>06001070-3</t>
  </si>
  <si>
    <t>Terreno Ubatuba - 1</t>
  </si>
  <si>
    <t>Residência Marista - Santa Mônica</t>
  </si>
  <si>
    <t>Avenida Israel, nº 54 - Jd. Santa Mônica.</t>
  </si>
  <si>
    <t>3300006051600-8</t>
  </si>
  <si>
    <t>Casa do Escoteiro</t>
  </si>
  <si>
    <t>Rua Mal. Deodoro, nº 159 - Centro.</t>
  </si>
  <si>
    <t>O núcleo de regularizações havia se proposto em reestabelecer contato com o Grupo de Escoteiro, tendo em vista o êxito alcançado anteriormente com o assunto  situação fiscal do imóvel, para negociar eventual permuta do imóvel, tendo em vista a cláusula de inalienabilidade gravada na matrícula. Todavia foi informado oralmente pela gerente de Patrimônio Imobiliário, que o representante legal da UCE (Ir. Délcio), conduzirá pessoalmente a negociação.</t>
  </si>
  <si>
    <t>0040670187-3</t>
  </si>
  <si>
    <t>4062</t>
  </si>
  <si>
    <t>A unificação deste imóvel juntamente aos imóveis das matrículas de n.º 9.469 e 13.582 é uma obrigação contratual da Loteadora D´Agostini. Nesta data o núcleo de regularizações pede informações a gestora do patrimônio imobiliário acerca do assunto. Gestora do Patrimônio Imobiliário informa que no dia 13/03/2020 fará uma reunião com a Loteadora D´Agostini e a Projur - Marista. Pedindo para que ficasse no aguardo de novas informações.</t>
  </si>
  <si>
    <t>Rua Rodrigues Albes, nº 701 - Jd. Carvalho.</t>
  </si>
  <si>
    <t>Registro de Imóveis de Guaratuba</t>
  </si>
  <si>
    <t>Guaratuba</t>
  </si>
  <si>
    <t>Proação Guaratuba</t>
  </si>
  <si>
    <t>Rua do Campo - Caieiras.</t>
  </si>
  <si>
    <t>02° Registro de Imóveis de Recife</t>
  </si>
  <si>
    <t>Recife</t>
  </si>
  <si>
    <t>PE</t>
  </si>
  <si>
    <t>Editora FTD - Filal  Recife</t>
  </si>
  <si>
    <t>Rua Barão de Igarassú, nº 35 - Santo Amaro.</t>
  </si>
  <si>
    <t>Residência Marista de Itapejara D'oeste</t>
  </si>
  <si>
    <t>Rua Marcelino Champagnat, 308 - Centro.</t>
  </si>
  <si>
    <t xml:space="preserve">1 - 10104901700010 </t>
  </si>
  <si>
    <t>Processo sem evolução.</t>
  </si>
  <si>
    <t>1 - 10104901800010</t>
  </si>
  <si>
    <t xml:space="preserve">1 - 10104901900010 </t>
  </si>
  <si>
    <t xml:space="preserve">1 - 10104902000010 </t>
  </si>
  <si>
    <t>1 - 10104902100010</t>
  </si>
  <si>
    <t>Registro de Imóveis de São José</t>
  </si>
  <si>
    <t>São José</t>
  </si>
  <si>
    <t>Centro Comercial Campinas - Loja 07</t>
  </si>
  <si>
    <t>Avenida Presidente Kennedy, 698 - Centro.</t>
  </si>
  <si>
    <t>Centro Comercial Campinas - Garagem 09</t>
  </si>
  <si>
    <t>Registro de Imóveis de Chapecó</t>
  </si>
  <si>
    <t>Chapecó</t>
  </si>
  <si>
    <t>Colégio Marista São Francisco</t>
  </si>
  <si>
    <t>Rua Marechal Floriano Peixoto – L, 550 - Centro.</t>
  </si>
  <si>
    <t>000051.000001.000000.0000.01</t>
  </si>
  <si>
    <t>Chácara Rodeio Chato</t>
  </si>
  <si>
    <t>Rod. SC 480, Km 4 - Rodeio Chato.</t>
  </si>
  <si>
    <t>Esta matrícula integra o imóvel em questão, todavia a linha de raciocínio estabelecida pelo escritório é de que somente será tomada providência quando finalizada a regularização da matrícula 40.125.</t>
  </si>
  <si>
    <t>Ainda no aguardo de retorno da solicitação de cancelamento, já protocolizada.</t>
  </si>
  <si>
    <t>Tendo em vista que a regularização da matrícula de n.º 40.125 ainda não evoluiu, até a data de fechamento deste relatório esta regularização não apresentou evolução.</t>
  </si>
  <si>
    <t>Ainda aguardando a finalização da regularização da matrícula 40.125.</t>
  </si>
  <si>
    <t>Aguardando retorno da solicitação de cancelamento do CAR, o qual trabalha apenas por e-mail, e que não tem dado retorno, possivelmente em decorrência das restrições promovidas pela pandemia.</t>
  </si>
  <si>
    <t>Aguardando retorno da solicitação de cancelamento do CAR.</t>
  </si>
  <si>
    <t xml:space="preserve">Segundo informações, toda a equipe foi alterada, inclusive o endereço de e-mail passou por alteração, e somente agora conseguiram redirecionar o endereço antigo para o novo endereço de e-mail. Em contato com integrante da nova equipe, repassou a lista de documentos que precisa para a solicitação de cancelamento. Sendo informado que trata-se de uma solicitação já em andamento e que a solicitação prestava-se para pedido de informações da evolução do pedido. Ainda sem retorno. </t>
  </si>
  <si>
    <t>Será resolvido primeiramente a pendência da Matrícula 40.125, para na sequencia regularziarmos este caso, ainda pendente a regularização da incorporação da Nutron pela Cargil.</t>
  </si>
  <si>
    <t>Residência Marista Chapecó</t>
  </si>
  <si>
    <t>Rua Curitiba, nº 98 - Centro.</t>
  </si>
  <si>
    <t>000050.000098.000000.0000.01</t>
  </si>
  <si>
    <t>Deferido o cancelamento do INCRA, promovendo o cancelamento do CAR, isto em atendimento a exigência do R.I.</t>
  </si>
  <si>
    <t>A Diretoria da Cargill aprovou o Levantamento e o memorial da Retificação enviado, estamos aguardando a anuência formal, bem como as informações do procurador, para finalizar o novo requerimeto de retificação da matrícula 40.125 e na escritura de divisão Amigável, para coletarmos as assinaturas dos proprietário no requerimento completo. Em paralelo já foi protocolizado o requerimento de cancelamento do CAR, aguardando a análise do órgão.</t>
  </si>
  <si>
    <t>01° Registro de Imóveis de Toledo</t>
  </si>
  <si>
    <t>Toledo</t>
  </si>
  <si>
    <t>PUCPR_Toledo</t>
  </si>
  <si>
    <t>Rua Guarani, 4190 - Jardim Coopagro.</t>
  </si>
  <si>
    <t>A pessoa com quem falei, me passou novamente a lista de documentos que precisa para a solicitação de cancelamento. Informei que trata-se de uma solicitação já em andamento, e que eu estava solicitando informações da evolução do pedido. </t>
  </si>
  <si>
    <t>Registro de Imóveis de Matinhos</t>
  </si>
  <si>
    <t>Matinhos</t>
  </si>
  <si>
    <t>PUCPR_AFPUC - Associação dos Funcionários - Matinhos</t>
  </si>
  <si>
    <t>Rua Índia, S/N (Ref. AFPUC - Rua África, nº 89) - Balneário Albatroz</t>
  </si>
  <si>
    <t>Rua Índia, S/N (Ref. AFPUC - Rua África, nº 89) - Balneário Albatroz.</t>
  </si>
  <si>
    <t>Doação de parte do imóvel para a prefeitura. Encaminhado MOU a prefeitura, aguardando retorno. Também foi contratado para entrega um laudo de uso e ocupação de solo cujo prazo a ser entregue será em 15/12.</t>
  </si>
  <si>
    <t>Residência de Veraneio Guaratuba</t>
  </si>
  <si>
    <t>Avenida dos Navegantes, 21 - Coroados.</t>
  </si>
  <si>
    <t>Considerando o entendimento da contabilidade e da procuradoria jurídica, aguarda-se o parecer para que seja considerado como regular.</t>
  </si>
  <si>
    <t>PUCPR_Hospital Veterinário - Toledo</t>
  </si>
  <si>
    <t>Avenida Maripá, s/n - Jardim Coopagro.</t>
  </si>
  <si>
    <t>05020006102060001</t>
  </si>
  <si>
    <t>04° Registro de Imóveis de Belo Horizonte</t>
  </si>
  <si>
    <t>Belo Horizonte</t>
  </si>
  <si>
    <t>MG</t>
  </si>
  <si>
    <t>Editora FTD -  Filial Belo Horizonte</t>
  </si>
  <si>
    <t>Rua Ilacir Pereira Lima, nº 35 - Cidade Nova.</t>
  </si>
  <si>
    <t>386051.028.001-5</t>
  </si>
  <si>
    <t>Rua do Campo - Caieiras</t>
  </si>
  <si>
    <t>Lote 33</t>
  </si>
  <si>
    <t>5030301303400001</t>
  </si>
  <si>
    <t>Procuradoria jurídica encaminha ao setor de patrimônio imobiliário notificação extrajudicial para encaminhamento a prefeitura de Londrina, para que se abstenha de cobrar tributos da ABEC tendo em vista a doação (ainda que sem o ato público).</t>
  </si>
  <si>
    <t>Despachante local Alfredo Canezin, protocola a notificação na prefeitura.</t>
  </si>
  <si>
    <t>Alfredo Canezin encaminha movimentação processual, que teve por despacho a sugestão do encaminhamento do processo a secretaria municipal de educação.</t>
  </si>
  <si>
    <t>Reestabelecido contato com Sr. Alfredo Canezin, para averiguar se porventura teria ocorrido movimentação processual. Todavia informado que não teve movimentação desde o dia 10/06.</t>
  </si>
  <si>
    <t>Houve solicitação de complementação do Memorial descritivo pela Cargill, o responsável técnico engenheiro Idacir está providenciando, aprovaram o requerimento, informaram que estão providenciando procuração para a Luciana gerente da unidade, asssinar os documentos pela Cargill. A minuta da Escritura de divisão amigável está sendo elaborada, mas ainda precisamos da confirmação sobre o procurador da Cargill. Na sequencia, enviaremos à família Almeida.</t>
  </si>
  <si>
    <t>VEND_Proação</t>
  </si>
  <si>
    <t>01° Registro de Imóveis de Cascavel</t>
  </si>
  <si>
    <t>Rua Medianeira, s/nº - Cataratas.</t>
  </si>
  <si>
    <t>0241030P030P0300</t>
  </si>
  <si>
    <t>Tendo em vista a necessidade advinda do Ofício de Registro de Imóveis, o qual prenotou a averbação da cisão, não aceitando os documentos particulares, sendo solicitado a escritura pública de cisão. O tabelionato por sua vez fez objeção pelo fato de não ter sido apurado o remanescente da matrícula em detrimento a desapropriação. Por esta razão foi contratado um escritório local, para o atendimento da demanda. A medição in loco já foi realizada, bem como os trabalhos de escritório.</t>
  </si>
  <si>
    <t>Está sendo tomada providência por parte do Registro de Imóveis, análise para posteriormente estando tudo em conformidade ser entregue da matrícula corrigida.</t>
  </si>
  <si>
    <t>Colégio Marista de Cascavel</t>
  </si>
  <si>
    <t>Rua Paraná, nº 2.680 - Centro.</t>
  </si>
  <si>
    <t>00010RES00II0300</t>
  </si>
  <si>
    <t>01° Registro de Imóveis de Florianópolis</t>
  </si>
  <si>
    <t>Edifício Comercial Saint James - Garagem 13</t>
  </si>
  <si>
    <t>Rua Presidente Coutinho, nº 311 - Centro.</t>
  </si>
  <si>
    <t>Edifício Comercial Saint James - Garagem 23</t>
  </si>
  <si>
    <t>Edifício Comercial Saint James - Sala 401</t>
  </si>
  <si>
    <t>Edifício Comercial Saint James - Sala 402</t>
  </si>
  <si>
    <t>Edifício Comercial Saint James - Sala 403</t>
  </si>
  <si>
    <t>Edifício Comercial Saint James - Sala 404</t>
  </si>
  <si>
    <t>Edifício Comercial Saint James - Sala 405</t>
  </si>
  <si>
    <t>Edifício Comercial Saint James - Sala 406</t>
  </si>
  <si>
    <t>Edifício Comercial Saint James - Sala 407</t>
  </si>
  <si>
    <t>Edifício Comercial Saint James - Sala 408</t>
  </si>
  <si>
    <t>Edifício Comercial Maxim's - Centro Executivo - Garagem 11</t>
  </si>
  <si>
    <t>Avenida Rio Branco, nº 354 - Centro.</t>
  </si>
  <si>
    <t>Edifício Comercial Maxim's - Centro Executivo - Garagem 12</t>
  </si>
  <si>
    <t>Edifício Comercial Maxim's - Centro Executivo - Garagem 20</t>
  </si>
  <si>
    <t>Edifício Comercial Maxim's - Centro Executivo- Garagem 21</t>
  </si>
  <si>
    <t>Edifício Comercial Maxim's - Centro Executivo - Garagem 22</t>
  </si>
  <si>
    <t>Edifício Comercial Maxim's - Centro Executivo - Garagem 23</t>
  </si>
  <si>
    <t>Edifício Comercial Maxim's - Centro Executivo - Garagem 24</t>
  </si>
  <si>
    <t>Edifício Comercial Maxim's - Centro Executivo - Garagem 25</t>
  </si>
  <si>
    <t>Edifício Comercial Maxim's - Centro Executivo - Garagem 26</t>
  </si>
  <si>
    <t>Edifício Comercial Maxim's - Centro Executivo- Garagem 27</t>
  </si>
  <si>
    <t>Edifício Comercial Maxim's - Centro Executivo - Garagem 28</t>
  </si>
  <si>
    <t>Edifício Comercial Maxim's - Centro Executivo- Sala 101</t>
  </si>
  <si>
    <t>Edifício Comercial Maxim's - Centro Executivo - Sala 102</t>
  </si>
  <si>
    <t>Edifício Comercial Maxim's - Centro Executivo - Sala 103</t>
  </si>
  <si>
    <t>Edifício Comercial Maxim's - Centro Executivo - Sala 104</t>
  </si>
  <si>
    <t>Edifício Comercial Maxim's - Centro Executivo - Sala 105</t>
  </si>
  <si>
    <t>Edifício Comercial Maxim's - Centro Executivo - Sala 1006</t>
  </si>
  <si>
    <t>Edifício Comercial Maxim's - Centro Executivo - Sala 1007</t>
  </si>
  <si>
    <t>Edifício Comercial Maxim's - Centro Executivo - Sala 1008</t>
  </si>
  <si>
    <t>Edifício Comercial Maxim's - Centro Executivo- Sala 1009</t>
  </si>
  <si>
    <t>Edifício Comercial Maxim's - Centro Executivo - Sala 1010</t>
  </si>
  <si>
    <t>Edifício Comercial Maxim's - Centro Executivo - Sala 1106</t>
  </si>
  <si>
    <t>Edifício Comercial Maxim's - Centro Executivo - Sala 1107</t>
  </si>
  <si>
    <t>Edifício Comercial Maxim's - Centro Executivo - Sala 1108</t>
  </si>
  <si>
    <t>Edifício Comercial Maxim's - Centro Executivo - Sala 1109</t>
  </si>
  <si>
    <t>Edifício Comercial Maxim's - Centro Executivo - Sala 1110</t>
  </si>
  <si>
    <t>Edifício Comercial Saint James - Garagem 14</t>
  </si>
  <si>
    <t>Terreno Guaratuba - Antigo Projeto Guará</t>
  </si>
  <si>
    <t>Rua Camboriú - Jardim Eliana.</t>
  </si>
  <si>
    <t>05020009410600001</t>
  </si>
  <si>
    <t>Aguardando resposta do novo ofício enviado ao Governo do Estado do PR, com protocolo realizado em</t>
  </si>
  <si>
    <t>05020009411200001</t>
  </si>
  <si>
    <t>05020009411500001</t>
  </si>
  <si>
    <t>05020009410300001</t>
  </si>
  <si>
    <t>FEGA - Fazenda Experimental Gralha Azul - Área Externa</t>
  </si>
  <si>
    <t>Lotes 05 e 09, CAPOCU  - Tatu Branco</t>
  </si>
  <si>
    <t>Ainda aguardando o processo de sobrepartilha.</t>
  </si>
  <si>
    <t>Ainda aguardando o andamento do processo de sobrepartilha.</t>
  </si>
  <si>
    <t>Trabalho de levantamento topográfico entregue, entretanto o Registro de Imóveis, pediu para incluir a servidão de passagem, alterar o nome do inventário do Sr. João Claudino para o inventariante e excluir a área de usucapião. Rubens informa que já incluiu a servidão de passagem; bem como excluiu a área de usucapião. Estamos no aguardo da Lais obter da advogada da família concluir o processo de sobrepartilha de bens referente ao espólio do Sr. João Claudino Ferreira, para inserir os nomes dos inventariantes.</t>
  </si>
  <si>
    <t xml:space="preserve">Ainda aguardando o andamento do processo de sobrepartilha. Realizado contato com engenheiro que realizou o levantamento topográfico da área usucapida para entender a diferença de áreas encontradas pelo engenheiro Rubens, o mesmo se recusou a enviar o material, pedindo para que fosse estabelecido contato com a Advogada do caso, Dra. Lizane. Esta por sua vez informa que ha divergência nas áreas totais do imóvel de marícula 47.941. Conversei com o Rubens que sugeriu uma reunião com os propietários para verificar tais divergências. Está sendo organizada a agenda. Em contrapartida está sendo verificado junto ao RI, uma forma de regularizar apenas a área pertencente ao Grupo. </t>
  </si>
  <si>
    <t>Escritório estabeleceu contato com o núcleo de regularizações buscando adotar o procedimento pró-diviso para tanto necessita que o responsável técnico elabore um projeto individualizado do lote. Situação relatada ao engenheiro o qual ficou de verificar junto aos demais proprietários.</t>
  </si>
  <si>
    <t>Sem evolução no que diz respeito ao processo de sobrepartilha.</t>
  </si>
  <si>
    <t>Cobrança da área de Infra-Estrutura quanto ao Manifesto de Transporte de Resíduo e Anotação de Responsabilidade Técnica. Trabalho de campo (levantamento topográfico) realizado, pendente o informar ao engenheiro a titularidade dos confrontantes, para constar no trabalho.</t>
  </si>
  <si>
    <t>3300048002200-8</t>
  </si>
  <si>
    <t>Chácara Harry Prochet</t>
  </si>
  <si>
    <t>Avenida Harry Prochet, 400 - Jardim Mediterrâneo.</t>
  </si>
  <si>
    <t>Foi protocolizado o plano de recuperação de áreas degradadas. Desde a data em questão tem sido realizado o acampanhamento deste protocolo, o qual não teve nenhuma solicitação do MP tampouco do órgão competente até o fechamento do relatório.</t>
  </si>
  <si>
    <t>Ainda dentro do prazo prorrogado pelo Ministério Público.</t>
  </si>
  <si>
    <t>Está em fase de elaboração do PRAD, pela empresa Eccoambiental. O fim do prazo para protocolo junto ao Ministério Público é 01/11/2019.</t>
  </si>
  <si>
    <t>Retorno do Ministério Público quanto ao decorrer do prazo para análise, 90 dias a contar de 01/01/2020, portanto fim do prazo em 31/03/2020.
Grasiela, informou que na próxima semana estará em Londrina, com a Indiuara e se prontificou a comparecer no Ministério Público e cobrar.</t>
  </si>
  <si>
    <t>Aguarda-se o envio da proposta de execução do PRAD, por parte da empresa EccoAmbiental, que por sua vez aguarda reestabelecimento de contato por parte do MP.</t>
  </si>
  <si>
    <t>Agendado para este mês um contato com a Secretaria Municipal do Ambiente e Ministério Público, para encaminhamento de cronograma de implantação do Plano de Recuperação de Áreas Degradadas e dilação de prazo para execução das atividades.</t>
  </si>
  <si>
    <t xml:space="preserve">Conseguimos contato com uma das herdeiras dos demais proprietários que informou que pelo conhecimento que ela tem, o imóvel havia sido vendido ao Grupo Marista. Estamos efetuando buscas no tabelionato para confirmar se existe escritura de compra e venda. </t>
  </si>
  <si>
    <t>Buscas não conclusivas para confirmação da existência da venda da outra parte do lote. Verificando possibilidades para sequência.</t>
  </si>
  <si>
    <t>Diante do esgotamento das buscas, a estratégia a ser adota será o pedido de usucapião.</t>
  </si>
  <si>
    <t>Necessária correção do NIRF e a baixa do pacto comissório. Aguardando definição do Irmão.</t>
  </si>
  <si>
    <t>Muito embora o tipo de regularização descrito seja retificação, a estratégia adota para a regularização, inicia pela usucapião, para que o Grupo (APC) possa ter a propriedade da área remanescente da matrícula e por conseguinte seja realizada a retificação da área. Providênciando a ata para Usucapião.</t>
  </si>
  <si>
    <t xml:space="preserve">Realizando estudo das matrículas anteriores, para identificar se houve erro material na abertura da matrícula. </t>
  </si>
  <si>
    <t>Confimado que não houve erro material. Seguindo com a ação de usupião.</t>
  </si>
  <si>
    <t>561290</t>
  </si>
  <si>
    <t>Processo de aprovação do memorial descritivo junto a Cargill; bem como a elaboração da procuração para a Luciana e a escritura de divisão amigável não tiveram avanço do último relatório para o atual.</t>
  </si>
  <si>
    <t>Ocorreu reunião com Dr. Bruno Orloski, Grasiela e Ir. Délcio para deliberação quanto ao assunto. Foi decidido pela  notificação extrajudicial, mesmo podendo haver por parte da Cargill, o mal recepcionamento migrando assim o caso para o pólo judicial.</t>
  </si>
  <si>
    <t>A notificação foi realizada. Na resposta a solicitação de algumas alterações no aditiivo do memorial descritivo e no requerimento. Estamos alinhando com as advogadas da Cargill as alterações para enviarmos à família Almeida.</t>
  </si>
  <si>
    <t>Realinhamento dos pedidos de alterações no aditiivo do memorial descritivo e no requerimento, após nova aprovação pelas Cargill as alterações para enviarmos à família Almeida.</t>
  </si>
  <si>
    <t xml:space="preserve">Alinhamos com a Cargill para encerrar as alterações no aditivo do memorial descritivo e no requerimento nesta semana, para envio a família Almeida. </t>
  </si>
  <si>
    <t>Finalizadas as alterações com a Cargill, está sendo alinhado as assinaturas com os herdeiros da família Almeida. Ainda, está sendo verificado com o tabelionato para a escritura de divisão amigável ser realizada de forma eletrônica, porque há herdeiros da família Almeida que moram fora de Chapecó.</t>
  </si>
  <si>
    <t>Lote 34</t>
  </si>
  <si>
    <t>5030301102700001</t>
  </si>
  <si>
    <t>0040670009-5</t>
  </si>
  <si>
    <t>Residência Marista - Apartamento</t>
  </si>
  <si>
    <t>036.038.0261-6</t>
  </si>
  <si>
    <t>Residência Marista de Cascavel</t>
  </si>
  <si>
    <t>Rua João Pessoa, nº 61 - Edifício Porto Seguro.</t>
  </si>
  <si>
    <t>02° Registro de Imóveis de Florianópolis</t>
  </si>
  <si>
    <t>Recanto Marista Champagnat</t>
  </si>
  <si>
    <t>Rua Sertão do Assopro, s/nº CEP 88062-002 - Morro da Lagoa.</t>
  </si>
  <si>
    <t>Edifício Comercial Mirage Tower - Garagem 01 - A</t>
  </si>
  <si>
    <t>Rua Padre Marcelino Champagnat, 100 - Jd. Atlântico.</t>
  </si>
  <si>
    <t>Edifício Comercial Mirage Tower - Garagem 02 - A</t>
  </si>
  <si>
    <t>Edifício Comercial  Mirage Tower - Garagem 09 - A</t>
  </si>
  <si>
    <t>Avenida Rio Branco, nº 333 - Centro.</t>
  </si>
  <si>
    <t>Edifício Comercial  Mirage Tower - Garagem 10 - A</t>
  </si>
  <si>
    <t>Edifício Comercial  Mirage Tower - Garagem 11 - A</t>
  </si>
  <si>
    <t>Edifício Comercial  Mirage Tower - Garagem 15 - B</t>
  </si>
  <si>
    <t>Edifício Comercial  Mirage Tower - Garagem 22 - A</t>
  </si>
  <si>
    <t>Edifício Comercial  Mirage Tower - Garagem 23 - A</t>
  </si>
  <si>
    <t>Edifício Comercial  Mirage Tower - Garagem 24 - A</t>
  </si>
  <si>
    <t>Edifício Comercial  Mirage Tower - Garagem 25 - A</t>
  </si>
  <si>
    <t>Edifício Comercial  Mirage Tower - Garagem 27 - A</t>
  </si>
  <si>
    <t>Edifício Comercial  Mirage Tower - Sala 501</t>
  </si>
  <si>
    <t>Edifício Comercial  Mirage Tower - Sala 502</t>
  </si>
  <si>
    <t>Edifício Comercial  Mirage Tower - Sala 503</t>
  </si>
  <si>
    <t>Edifício Comercial  Mirage Tower - Sala 504</t>
  </si>
  <si>
    <t>Edifício Comercial  Mirage Tower - Sala 505</t>
  </si>
  <si>
    <t>Edifício Comercial  Mirage Tower - Sala 506</t>
  </si>
  <si>
    <t>Edifício Comercial  Mirage Tower - Sala 507</t>
  </si>
  <si>
    <t>Edifício Comercial  Mirage Tower - Sala 508</t>
  </si>
  <si>
    <t>Edifício Comercial  Mirage Tower - Sala 601</t>
  </si>
  <si>
    <t>Edifício Comercial  Mirage Tower - Sala 602</t>
  </si>
  <si>
    <t>Edifício Comercial  Mirage Tower - Sala 603</t>
  </si>
  <si>
    <t>Edifício Comercial  Mirage Tower - Sala 604</t>
  </si>
  <si>
    <t>Edifício Comercial  Mirage Tower - Sala 605</t>
  </si>
  <si>
    <t>Edifício Comercial  Mirage Tower - Sala 606</t>
  </si>
  <si>
    <t>Edifício Comercial  Mirage Tower - Sala 607</t>
  </si>
  <si>
    <t>Edifício Comercial  Mirage Tower - Sala 608</t>
  </si>
  <si>
    <t>Edifício Comercial  Mirage Tower - Sala 701</t>
  </si>
  <si>
    <t>Edifício Comercial  Mirage Tower - Sala 702</t>
  </si>
  <si>
    <t>Edifício Comercial  Mirage Tower - Sala 703</t>
  </si>
  <si>
    <t>Edifício Comercial  Mirage Tower - Sala 704</t>
  </si>
  <si>
    <t>Edifício Comercial  Mirage Tower - Sala 705</t>
  </si>
  <si>
    <t>Edifício Comercial  Mirage Tower - Sala 706</t>
  </si>
  <si>
    <t>Edifício Comercial  Mirage Tower - Sala 707</t>
  </si>
  <si>
    <t>Edifício Comercial  Mirage Tower - Sala 708</t>
  </si>
  <si>
    <t>Flat - Londrina</t>
  </si>
  <si>
    <t>Rua Goiás, 877 - Centro.</t>
  </si>
  <si>
    <t>01030016100390155</t>
  </si>
  <si>
    <t>Chácara Zaniollo</t>
  </si>
  <si>
    <t>Rua Antônio Zaramela, 200 - Zaniolo.</t>
  </si>
  <si>
    <t>417432</t>
  </si>
  <si>
    <t>Peticionado nos autos informando do fato ocorrido com Renato Festugato, GAECO no início de novembro. Todo o processo com a Arbitac está suspenso.</t>
  </si>
  <si>
    <t>PUCPR _Londrina</t>
  </si>
  <si>
    <t>Av. Jockey Club, 485 - Hípica.</t>
  </si>
  <si>
    <t>05020008338180001</t>
  </si>
  <si>
    <t>Centro de Formação Champagnat</t>
  </si>
  <si>
    <t>Rua Evaldo Schaffer, nº 493 - Jd. Atlântico.</t>
  </si>
  <si>
    <t>Terreno - Loteamento Vila Marista</t>
  </si>
  <si>
    <t>Atualização da circunscrição</t>
  </si>
  <si>
    <t>Rua Evaldo Schaffer, nº 493 - Jd. Atlântico, Florianópolis/SC</t>
  </si>
  <si>
    <t xml:space="preserve">O Requerimento ainda não foi assinado pelos proprietários da família Almeida estão com dificuldades em razão da Pandemia, há herdeiros que moram em cidade fora de Chapecó. </t>
  </si>
  <si>
    <t>03° Registro de Imóveis de Fortaleza</t>
  </si>
  <si>
    <t>Fortaleza</t>
  </si>
  <si>
    <t>CE</t>
  </si>
  <si>
    <t>Terreno - Fortaleza</t>
  </si>
  <si>
    <t>Avenida João Pessoa, 3200 - Damas.</t>
  </si>
  <si>
    <t>492339-1</t>
  </si>
  <si>
    <t>Aguardando despacho do juiz para levantar parte do valor depositado pelo CEPEP judicialmente, bem como aguardando nova audiencia.</t>
  </si>
  <si>
    <t>Decisão do Juiz revogando a remessa dos autos a Curitiba/PR com a fundamentação de que a contestação apresentada pela ABEC foi intempestiva assim aplicando a revelia, sendo que os efeitos da revelia é a prorrogação da competência. Determinou a expedição de alvará dos valores depositado e após retornem – se conclusos para sentença.</t>
  </si>
  <si>
    <t>Apresentado Embargos de Declaração, tendo em vista que a decisão de transferência dos valores depositados para a conta da ABEC foi errada. Intimação do autor para contrarrazões dos Embargos de Declaração. Aguardado decisão do Juiz dos embargos de declaração.</t>
  </si>
  <si>
    <t xml:space="preserve">Na ação de consignação de pagamento, os embargos de declaração foram aceitos para determinar a transferência dos valores incontroversos no valor de R$ 296.511,42 para a conta da ABEC. Aguardando transferência de valores e após a transferência a conclusão do processo para sentença. Expedido Alvará para transferência dos valores para a conta da ABEC. Na ação de revisional de contrato de locação, ocorreu audiência de conciliação sem êxito, juiz determinou a intimação do autor para contestar o pedido da reconvenção de despejo. </t>
  </si>
  <si>
    <t>Terreno - 137 - passeio público</t>
  </si>
  <si>
    <t>Vendido matricula 48.792</t>
  </si>
  <si>
    <t>561665</t>
  </si>
  <si>
    <t>Chácara Zaniollo - Terreno invadido</t>
  </si>
  <si>
    <t>Rua Sebastião Antônio Foggiatto s/nº - Zaniollo.</t>
  </si>
  <si>
    <t>418471</t>
  </si>
  <si>
    <t>O responsável técnico Luis entregou o levantamento topográfico. Neste período ocorreram as seguintes reuniões, a primeira com o Irmão Lino, o Irmão Délcio, Dr. Bruno Orloski, Grasiela e Dickson para apresentação do assunto, aja vista a necessidade do presidente compreender pormenorizadamente e por conseguinte apresentar aos conselheiros, tendo em vista que a regularização culminará em a APC abrir mão da propriedade do imóvel, considerando que a metodologia a ser empregada será a REURB e considerando ainda que os posseiros que lá se encontram, já possuem preenchidos os requisitos para aquisição por meio da usucapião. O comentário do presidente foi no sentido de buscar ao menos empenhar a tentativa de obter recurso financeiro de cada posseiro a título simbólico pela "aquisição" do imóvel. A segunda reunião esteve presente Ir. Délcio, Dr. Bruno Orloski e Grasiela, foi deliberado para que em relação a tentativa de obtenção de recurso financeiro não fosse mais empenhada nenhuma tentativa, mas para dar seguimento da forma proposta. Por fim em 18/02/2020 reunião com Dr. Giuliano Gobbo, Grasiela, Dickson a deliberação foi no sentido de encerrar a regularização da seguinte forma, emissão de um parecer do escritório Gobbo e Guimarães com os acontecimentos e caso futuramente os posseiros venham a acionar a APC judicialmente para a aquisição por meio de usucapião a instituição consentirá.</t>
  </si>
  <si>
    <t>Colégio Marista de Cascavel (Academia)</t>
  </si>
  <si>
    <t>Rua João Pessoa, s/nº - Centro.</t>
  </si>
  <si>
    <t>0001003400060000
0001003400060001</t>
  </si>
  <si>
    <t>Edifício Comercial Trindade Center - Loja 01 - Térreo</t>
  </si>
  <si>
    <t>Rua Lauro Linhares, nº 2.123 - Trindade.</t>
  </si>
  <si>
    <t>Edifício Comercial Trindade Center - Loja 02 - Térreo</t>
  </si>
  <si>
    <t>Edifício Comercial Trindade Center - Loja 16 - Térreo</t>
  </si>
  <si>
    <t>Edifício Comercial Trindade Center - Loja 17 - Térreo</t>
  </si>
  <si>
    <t>Edifício Comercial Trindade Center - Loja 24 - Térreo</t>
  </si>
  <si>
    <t>Edifício Comercial Trindade Center - Loja 25 - Térreo</t>
  </si>
  <si>
    <t>Edifício Comercial Trindade Center - Loja 26 - Térreo</t>
  </si>
  <si>
    <t>Edifício Comercial Trindade Center - Loja 35 - Térreo</t>
  </si>
  <si>
    <t>Edifício Comercial Trindade Center - Loja 36 - 4º Andar</t>
  </si>
  <si>
    <t>Edifício Comercial Trindade Center - Loja 37 - 4º Andar</t>
  </si>
  <si>
    <t>Edifício Comercial Trindade Center - Loja 38 - 4º Andar</t>
  </si>
  <si>
    <t>Edifício Comercial Trindade Center - Loja 44 - 4º Andar</t>
  </si>
  <si>
    <t>Edifício Comercial Trindade Center - Loja 45 - 4º Andar</t>
  </si>
  <si>
    <t>Edifício Comercial Trindade Center - Quiosque 02</t>
  </si>
  <si>
    <t>Edifício Comercial Trindade Center - Quiosque 10 - 4º Andar</t>
  </si>
  <si>
    <t>Edifício Comercial Trindade Center - Sala 406 - 09º Andar</t>
  </si>
  <si>
    <t>Edifício Comercial Trindade Center - Sala 601 - 11º Andar</t>
  </si>
  <si>
    <t>Edifício Comercial Trindade Center - Sala 602 - 11º Andar</t>
  </si>
  <si>
    <t>Edifício Comercial Trindade Center - Sala 603 - 11º Andar</t>
  </si>
  <si>
    <t>Edifício Comercial Trindade Center - Sala 604 - 11º Andar</t>
  </si>
  <si>
    <t>Edifício Comercial Trindade Center - Sala 605 - 11º Andar</t>
  </si>
  <si>
    <t>Edifício Comercial Trindade Center - Sala 606 - 11º Andar</t>
  </si>
  <si>
    <t>Edifício Comercial Trindade Center - Sala 607 - 11º Andar</t>
  </si>
  <si>
    <t>Edifício Comercial Trindade Center - Sala 608 - 11º Andar</t>
  </si>
  <si>
    <t>Edifício Residêncial Champagnat - Apartamento 101</t>
  </si>
  <si>
    <t>Rua Prof. Simão José Hess, nº 191 - Trindade.</t>
  </si>
  <si>
    <t>Edifício Residêncial Champagnat - Apartamento 401</t>
  </si>
  <si>
    <t>Edifício Residêncial Champagnat - Apartamento 402</t>
  </si>
  <si>
    <t>Edifício Residêncial Champagnat - Apartamento 403</t>
  </si>
  <si>
    <t>Edifício Residêncial Champagnat - Apartamento 404</t>
  </si>
  <si>
    <t>Edifício Residêncial Champagnat - Apartamento 405</t>
  </si>
  <si>
    <t>Edifício Residêncial Champagnat - Apartamento 501</t>
  </si>
  <si>
    <t>Edifício Residêncial Champagnat - Apartamento 502</t>
  </si>
  <si>
    <t>Edifício Residêncial Champagnat - Apartamento 503</t>
  </si>
  <si>
    <t>Edifício Residêncial Champagnat - Apartamento 504</t>
  </si>
  <si>
    <t>Edifício Residêncial Champagnat - Apartamento 505</t>
  </si>
  <si>
    <t>Edifício Residêncial Champagnat - Apartamento 1202</t>
  </si>
  <si>
    <t>Edifício Residêncial Champagnat - Garagem 08</t>
  </si>
  <si>
    <t>Edifício Residêncial Champagnat - Garagem 09</t>
  </si>
  <si>
    <t>Edifício Residêncial Champagnat - Garagem 18</t>
  </si>
  <si>
    <t>Edifício Residêncial Champagnat - Garagem 19</t>
  </si>
  <si>
    <t>Edifício Residêncial Champagnat - Garagem 20</t>
  </si>
  <si>
    <t>Edifício Residêncial Champagnat - Garagem 21</t>
  </si>
  <si>
    <t>Edifício Residêncial Champagnat - Garagem 22</t>
  </si>
  <si>
    <t>Edifício Residêncial Champagnat - Garagem 23</t>
  </si>
  <si>
    <t>Edifício Residêncial Champagnat - Garagem 24</t>
  </si>
  <si>
    <t>Edifício Residêncial Champagnat - Garagem 53</t>
  </si>
  <si>
    <t>Edifício Residêncial Champagnat - Garagem 61</t>
  </si>
  <si>
    <t>Edifício Residêncial Champagnat - Garagem 62</t>
  </si>
  <si>
    <t>Edifício Residêncial Champagnat - Garagem 63</t>
  </si>
  <si>
    <t>Edifício Residêncial Champagnat - Garagem 64</t>
  </si>
  <si>
    <t>Edifício Residêncial Champagnat - Garagem 65</t>
  </si>
  <si>
    <t>Edifício Residêncial Champagnat - Garagem 66</t>
  </si>
  <si>
    <t>Edifício Residêncial Champagnat - Garagem 67</t>
  </si>
  <si>
    <t>Edifício Residêncial Champagnat - Garagem 68</t>
  </si>
  <si>
    <t>Edifício Residêncial Champagnat - Garagem 69</t>
  </si>
  <si>
    <t>Edifício Residêncial Champagnat - Garagem 70</t>
  </si>
  <si>
    <t>913529</t>
  </si>
  <si>
    <t>4.212.,27</t>
  </si>
  <si>
    <t>Contato estabelecido com Natasha, informando a necessidade de se retomar a escritura de dação em pagamento da APC para a ABEC, tendo em vista que o processo de cisão esteja evoluindo e isto para que não ocorra eventuais prejuizos.</t>
  </si>
  <si>
    <t>Escritório encaminha a matrícula do imóvel com o registro da cisão, transferindo a propriedade da ABEC para a UCE, sem que a escritura de dação em pagamento da APC para a ABEC tenha sido registrada. A questão foi levantada junto ao escritório, o qual ficou de averiguar junto ao Ofício de Registro de Imóveis.</t>
  </si>
  <si>
    <t>O retorno do Ofício do Registro de Imóveis ao escritório, confirmou que o documento de Cisão por si só não substitui a transferência do imóvel e que devido a isso, houve mesmo equivoco do cartório em efetuar o registro da Cisão. Sendo assim, será preciso seguir com a escritura de transferência do Imóvel da APC para ABEC, para posteriormente cancelar o Ato e efetuar o Registro de maneira correta.</t>
  </si>
  <si>
    <t>Reencaminhado mensagem a Natasha informando sobre a necessidade de retomada do assunto.</t>
  </si>
  <si>
    <t>06° Registro de Imóveis de Curitiba</t>
  </si>
  <si>
    <t>Colégio Marista Paranaense</t>
  </si>
  <si>
    <t>Rua Bispo Dom José, 2674 - Seminário.</t>
  </si>
  <si>
    <t>Terreno - 79</t>
  </si>
  <si>
    <t>Rua Ir. Celestino Delpine e Rua Ir. Leão Magno - Amizade.</t>
  </si>
  <si>
    <t>Avenida dos Expedicionários, nº 1900 - Gleba Cafesal - Fazenda Palhano.</t>
  </si>
  <si>
    <t>Iniciado o processo de georreferenciamento do imóvel, com o trabalho de campo já realizado. Agora estão sendo preparadas as peças gráficas.</t>
  </si>
  <si>
    <t>Sem alteração do status anterior para o atual.</t>
  </si>
  <si>
    <t>Verificando registros dominiais dos confrontantes.</t>
  </si>
  <si>
    <t>Residência Provincial Marista</t>
  </si>
  <si>
    <t>2300101031802-6</t>
  </si>
  <si>
    <t>Sem movimentação até a data de fechamento de relatório para este período.</t>
  </si>
  <si>
    <t>Reconsideração quanto ao valor proposto dos R$ 80.000,00 sendo aceita pela parte autora.</t>
  </si>
  <si>
    <t>Grasiela, comunica verbalmente ao Manoel que o pagamento deverá ser feito pela PMBCS.</t>
  </si>
  <si>
    <t>Solicitado ao Manoel uma posição quanto ao pagamento. Devolutiva de que para processar o pagamento necessitam de um documento formalizando o acordo, despacho, contrato, etc.</t>
  </si>
  <si>
    <t>Ocorreu reunião com a Sra. Ivone, suas filhas, Dra. Tarciane, Dr. Dilor, Grasiela e Dickson, inicialmente para esta ocasião aguardava-se também o comparecimento do responsável técnico Luiz Thomaz, contratado à época para demarcação do lote. Para esta ocasião a outra parte aguardava a evolução quanto ao acordo homologado em juízo, para pagamento da diferença de área da matrícula de n.º 94.909. Todavia referida evolução não ocorreu. Por conseguinte a presidência do grupo ofertou a importância de R$ 15.000,00. Aguardando-se a devolutiva da outra parte.</t>
  </si>
  <si>
    <t>Rua Frã Angélico, nº 127 - Guabirotuba.</t>
  </si>
  <si>
    <t>Após audiência ocorrida em 27/09, foi enviada proposta para a sra. Ivone ofertando a compra por parte da ABEC no valor de R$ 30 mil reais. Recebimento da contraproposta por e-mail da advogada da sra. Ivone informando que a contra proposta para venda do lote de 5.61m é de R$ 120 mil reais. ABEC envia tréplica de proposta no valor de R$ 80.000,00 não sendo aceita pela outra parte.</t>
  </si>
  <si>
    <t>Permanece o aguardo da manifestação da parte da Sra. Silvane quanto ao valor proposto pelo muro.</t>
  </si>
  <si>
    <t>Conforme informação verbal da gestora do setor de patrimônio imobiliário em 22/04/2020, permanecemos no aguardo quanto a situação de aquisição de parte do lote ou derrubada do muro, tendo em vista que o topógrafo da Sra. Ivone não entregou as peças técnicas para a mesma.</t>
  </si>
  <si>
    <t>Conforme posicionamento verbal repassado pela gerente de Patrimônio Imobiliário, via Microsoft Teams, sem andamento tendo em vista que o novo topógrafo da Sra. Ivone ainda não apresentou a peça técnica.</t>
  </si>
  <si>
    <t>Escritório se manifesta no sentido de que está aguardando o encaminhamento do levantamento topográfico por parte do Grupo Marista. O que já tinha ocorrido anteriormente. Isto posto, sem evolução desde o último relatório.</t>
  </si>
  <si>
    <t>Agendamento para o dia 24/07/2020 comparecimento no registro de imóveis para solicitação de certidão e planta para posteriormente protocolizar junto a Prefeitura.</t>
  </si>
  <si>
    <t>02° Registro de Imóveis de Fortaleza</t>
  </si>
  <si>
    <t>Editora FTD - Filial Fortaleza</t>
  </si>
  <si>
    <t>Av. Luciano Carneiro, 841 - Fátima.</t>
  </si>
  <si>
    <t>029323-7</t>
  </si>
  <si>
    <t>Processo judicial de imunidade de ITBI em andamento.</t>
  </si>
  <si>
    <t>Registro da escritura.</t>
  </si>
  <si>
    <t>Residência Marista de Brasilia</t>
  </si>
  <si>
    <t>Lote 1, Q.1 4/3 SHIS - Conjunto 11 - Casa 01 - Lago Sul.</t>
  </si>
  <si>
    <t>Rua Padre Marcelino Champagnat, nº 130 - Zona 2.</t>
  </si>
  <si>
    <t>2300101036800-1</t>
  </si>
  <si>
    <t>Aguardando desdobramento do processo. Audiência de instrução e julgamento foi reafirmado o acordo e devidamente homologado definindo que a Sra. Ivone irá doar a área invadida pelo avanço do muro para a ABEC.</t>
  </si>
  <si>
    <t>Escritório altera a estratégia do assunto a qual vinha sendo seguida. Sendo elaborado um projeto para cadastramento do lote perante a prefeitura. Coleta a assinatura dos co-proprietários. Em 16/03/2020 Alaor disponibiliza no escritório Gobbo e Guimarães o projeto assinado, para protocolo perante a prefeitura.</t>
  </si>
  <si>
    <t>Em contato com escritório, Dr. Eduardo que assumiu o caso tendo em vista a saída do Dr. Dilor, pediu para que fosse encaminhada a peça técnica para continuidade do assunto. No entanto o Alaor já havia encaminhado referido documento.</t>
  </si>
  <si>
    <t>Este caso tramita em conjunto com o da matrícula de n.º 66.220 o qual neste período não teve andamento.</t>
  </si>
  <si>
    <t>Colégio Marista São Luis</t>
  </si>
  <si>
    <t>Rua Marechal Deodoro da Fonseca, nº 520 - Centro.</t>
  </si>
  <si>
    <t>Rua Haiti, nº 280 / 330 - Pq. Das Nações.</t>
  </si>
  <si>
    <t>00061261011000-0</t>
  </si>
  <si>
    <t>14° Registro de Imóveis de São Paulo</t>
  </si>
  <si>
    <t>Colégio Marista Arquiodicesano</t>
  </si>
  <si>
    <t>Rua Domingos de Moraes, 2565 - Vila Mariana.</t>
  </si>
  <si>
    <t>col. Arquidiocesano</t>
  </si>
  <si>
    <t>0420770021-8</t>
  </si>
  <si>
    <t>Lais do escritório Gobbo e Guimarães, encaminha exigência do Registro de Imóveis, para atendimento por parte do Grupo Marista. Tendo em vista que o contido na exigência se trata de atividade fora do escopo contratado junto ao escritório.</t>
  </si>
  <si>
    <t>Anderson, inicia o processo de contratação, orçamento, alinhamento de escopos.</t>
  </si>
  <si>
    <t xml:space="preserve">Anderson, informa que a empresa vencedora do processo de contratação, foi homologada e encaminha a minuta contratual para validação. </t>
  </si>
  <si>
    <t>Empresa já realizou medição in loco, está tomando providências junto ao R.I.</t>
  </si>
  <si>
    <t>CMC - Centro Marista  Champagnat</t>
  </si>
  <si>
    <t>Avenida Sen. Salgado Filho, nº 1.651 - Guabirotuba.</t>
  </si>
  <si>
    <t>2300075030000-2</t>
  </si>
  <si>
    <t>Registro de Imóveis de Valparaíso de Goiás</t>
  </si>
  <si>
    <t>Valparaíso de Goiás</t>
  </si>
  <si>
    <t>Terreno - 21</t>
  </si>
  <si>
    <t>Rua Amazonas, s/n - Zona 2.</t>
  </si>
  <si>
    <t>11920002500021000</t>
  </si>
  <si>
    <t>O imóvel encontrava-se na circunscrição de Luziânia, havendo a necessidade da abertura da matrícula no Ofício de Registro de Imóveis de Valparaíso de Goiás desde 27/11/2002. Situação que foi regularizada nesta oportunidade.</t>
  </si>
  <si>
    <t>Terreno - 22</t>
  </si>
  <si>
    <t>11920002500022000</t>
  </si>
  <si>
    <t>Terreno - 23</t>
  </si>
  <si>
    <t>11920002500023000</t>
  </si>
  <si>
    <t>Terreno - 24</t>
  </si>
  <si>
    <t>11920002500024000</t>
  </si>
  <si>
    <t>Terreno - 26</t>
  </si>
  <si>
    <t>11920002500025000</t>
  </si>
  <si>
    <t>Terreno - 25</t>
  </si>
  <si>
    <t>11920002500026000</t>
  </si>
  <si>
    <t>Terreno - 27</t>
  </si>
  <si>
    <t>11920002500027000</t>
  </si>
  <si>
    <t>Terreno - 28</t>
  </si>
  <si>
    <t>11920002500028000</t>
  </si>
  <si>
    <t>01° Registro de Imóveis de Joinville</t>
  </si>
  <si>
    <t>Terreno Benjamin Constant</t>
  </si>
  <si>
    <t>Rua Benjamin Constant - América.</t>
  </si>
  <si>
    <t>1320425311760000</t>
  </si>
  <si>
    <t>Carta de Adjudicação apresentada para registro. Entregue a certidão de imunidade.</t>
  </si>
  <si>
    <t>Exigência solicitou a assinatura de declaração dos demais proprietários (Maria Helena Colin Schroeder, Ricardo Colin Schroeder, Renata Schroeder de Lacerda e Luiz Neves de Lacerda), os representantes da família informaram que poderão assinar somente em janeiro, por motivo de viagem.</t>
  </si>
  <si>
    <t>Ainda aguardando os proprietários anteriores assinarem a declaração.</t>
  </si>
  <si>
    <t>Os outros proprietários (Maria Helena Colin Schroeder, Ricardo Colin Schroeder, Renata Schroeder de Lacerda e Luiz Neves de Lacerda), assinaram a declaração, a qual já foi encaminhada para o Registro de Imóveis para conferência. Anexo foi enviada a carta de adjudicação e solicitado ainda o auto de adjudicação, sendo realizado cópia na íntegra do processo e disponibilizado ao R.I.</t>
  </si>
  <si>
    <t>Aguardando o juiz expedir a nova carta de adjudicação o fim do prazo é 22.09.2019.</t>
  </si>
  <si>
    <t>Carta de adjudicação expedida. Atualmente está sendo tramitada a imunidade do ITBI junto ao município.</t>
  </si>
  <si>
    <t>Analise realizada, por parte do RI solicitado apresentação de nova Carta de Adjudicação com a descrição completa do imóvel e o valor, ainda mesmo com a apresentação de Declaração dos demais cooproprietários, estão solicitando a intimação nos autos e complementação das custas, iremos conversar com o Ofícial para dispensar as exigênciais.</t>
  </si>
  <si>
    <t xml:space="preserve">O oficial não aceitou a dispensa, peticionaremos para pedir a complementação pelo Juízo da Carta de Adjudicação, bem com determinação de registro da Carta de Adjudiciação, visto que todos os proprietários estão cientes, inclusive assinaram declaração expressa. </t>
  </si>
  <si>
    <t xml:space="preserve">Agilizando a conclusão para despachar sobre a complementação pelo Juízo da Carta de Adjudicação, bem com determinação de registro da Carta de Adjudicação, visto que todos os proprietários estão cientes, inclusive assinaram declaração expressa. </t>
  </si>
  <si>
    <t>Ainda não houve a complementação, entretando conforme orientado pelo chefe de gabinete, será solicitado a expedicão de nova carta de adjudicação para que seja suprida a necessidade da assinatura dos demais herdeiros.</t>
  </si>
  <si>
    <t>Aguardando nova Carta de Adjudicação com a complementação solicitada pelo RI de Joinville.</t>
  </si>
  <si>
    <t>Rua A - Residencial Ecológico Orleans - fundos da Rua Helmut Strelow</t>
  </si>
  <si>
    <t>1320425378170000</t>
  </si>
  <si>
    <t>Assinatura da escritura entre Schroeder Empreendimentos Ltda e a Associação Brasileira de Educação e Cultura.</t>
  </si>
  <si>
    <t>01° Registro de Imóveis de Ribeirão Preto</t>
  </si>
  <si>
    <t>Ribeirão Preto</t>
  </si>
  <si>
    <t>Centro Social Marista Ir. Rui</t>
  </si>
  <si>
    <t>Rua Júlio Ribeiro, 3.451 - Zona 2.</t>
  </si>
  <si>
    <t>Rua Bernardino de Campos, 550 - Setor Central.</t>
  </si>
  <si>
    <t>O escritório encaminha o documento que comprova a transferência da titularidade perante a Prefeitura.</t>
  </si>
  <si>
    <t>Avenida Tiradentes, Jardim dos Bancários</t>
  </si>
  <si>
    <t>03040008504950001 ; 03040008503870001 ; 03040008504350001 ; 03040008505190001 ; 03040008504710001 ; 03040008504830001 ; 03040008503990001 ;  03040008504110001 ; 03040008505070001</t>
  </si>
  <si>
    <t>Ocorreu nesta data a unificação das matrículas de n.° 4.465, 6.207, 10.587, 10.821, 15.336, 44.957, 45.146, 49.751, 49.752 e transcrições de n.º 11.304, 11.679 e 15.190 desta forma encerrando-as.</t>
  </si>
  <si>
    <t>Centro Rural Aurora</t>
  </si>
  <si>
    <t>Estrada S. Carlos, s/n - Linha Simonetto</t>
  </si>
  <si>
    <t>Terreno BR 101</t>
  </si>
  <si>
    <t>BR 101 - São marcos.</t>
  </si>
  <si>
    <t>09.23.44.29.2480.0000</t>
  </si>
  <si>
    <t>Autorização de corte.</t>
  </si>
  <si>
    <t>Aguardando manifestação da CAF, aja vista a manifestação da secretaria de agricultura e meio ambiente.</t>
  </si>
  <si>
    <t>Prefeitura de Joinville se manifesta no seguinte sentido: o processo somente poderá ser analisado pela Secretaria Municipal após celebrado Termo de delegação específico junto ao IMA, para análise do pedido de supressão de vegetação. Considerando o Termo de Delegação de Atribuição de Gestão Florestal celebrado entre
o Instituto do Meio Ambiente de Santa Catarina - IMA e o Município, o qual limita a Autorização de Supressão limitado até 3,0 ha de área de corte; Considerando que a área de corte solicitada para o empreendimento em tela está estimada em 72.750,10 m² (7,2 ha). Ressalta-se que já foi solicitado junto ao IMA o referido termo.</t>
  </si>
  <si>
    <t>Núcleo de regularizações questiona a assessoria CAF, sobre o andamento do assunto. Por sua vez a CAF, estabeleceu contato com o Instituto do Meio Ambiente de Santa Catarina, sobre o termo de delegação. Assunto encaminhado internamente, sendo informado que o termo foi elaborado dentro do prazo previsto e enviado a SAMA para análise e coleta de assinatura do Prefeito Municipal, porém, após algum tempo foi devolvido solicitando adequação em uma das cláusulas, então encaminhado a Projur do IMA para análise e adequações. No dia 15/07 reenviamos o Termo para SAMA, para análise e coleta de assinaturas e estão aguardando a devolução do mesmo assinado para coleta da assinatura do Presidente do IMA, e a partir daí o Termo entra em vigor.</t>
  </si>
  <si>
    <t>0040670186-5</t>
  </si>
  <si>
    <t>04° Registro de Imóveis de São Paulo</t>
  </si>
  <si>
    <t>Editora FTD - Estacionamento</t>
  </si>
  <si>
    <t>Rua Rui Barbosa 78 / 82 / 88 / 112 / 124 - Bela Vista.</t>
  </si>
  <si>
    <t>0090050102-2</t>
  </si>
  <si>
    <t>Vitacon</t>
  </si>
  <si>
    <t>Residência Marista Ribeirão Preto</t>
  </si>
  <si>
    <t>Rua Cerqueira César, 1070 - Setor Central.</t>
  </si>
  <si>
    <t>A transmissão perante o registro de imóveis ocorreu em 08/04/2020 e nesta data o escritório encaminha o documento que comprova a transferência da titularidade perante a Prefeitura.</t>
  </si>
  <si>
    <t>01° Registro de Imóveis de Goiania</t>
  </si>
  <si>
    <t>Goiânia</t>
  </si>
  <si>
    <t>Avenida 85 - Lote 13 - Quadra D-12-A - Setor Marista.</t>
  </si>
  <si>
    <t>30213400980002</t>
  </si>
  <si>
    <t>53.28.047.0980.001-704</t>
  </si>
  <si>
    <t>Realizada a exigência pelo Cartório.</t>
  </si>
  <si>
    <t>Resolvendo os pontos da qualificação negativa.</t>
  </si>
  <si>
    <t>Foram enviadas as informações disponíveis ao tabelionato para retificar a Ata Notarial, como a inclusão da certidão de confrontantes do município de Florianópolis.</t>
  </si>
  <si>
    <t>Contato com Dayana, solicitou a indicação das 03 testemunhas. Conversado com Grasiela (já definido Pedro Paulo, Grasiela) e ficou de conversar com o Ir. Délcio sobre a terceira pessoa ser o Ir. Hermes.</t>
  </si>
  <si>
    <t>Contato com Grasiela, comunicou que está aguardando o retorno de férias do Ir. Lino para verificar se o mesmo pode substituir o Ir. Hermes.</t>
  </si>
  <si>
    <t>Mediante a dificuldade de identificação dos confrontantes, o escritório acordou com o Registro de Imóveis de apresentar requerimento para notificação do Estado de SC sobre a possibilidade da área do confrontante não localizado ser considerada como àreas devolutas, e conjunto com o memorial descritivo e o levantamento topográfico alterado, solicitadas as alterações ao Luiz (técnico).</t>
  </si>
  <si>
    <t>Tendo em vista a diferença existente entre a área da escritura e a área medida em 2019 pelo topógrafo. A gestão solicitou o comparecimento no imóvel. Em 19/03/2020 comperecerá no imóvel o Irmão Lino; o responsável técnico Luis da Transição Topografia e Dickson para verificar o marco. Caso referido marco seja considerado no levantamento a área será diminuida ainda mais.</t>
  </si>
  <si>
    <t>Não conseguimos contato neste mês com os funcionários da Floram, mas as últimas informações foram de que os estudos ainda continuam, que a decisão será postergado por mais alguns meses. O escritório aguarda informações sobre o novo levantamento da área total do Recanto, que diz respeito a questão apresentada no último andamento. Os documentos históricos enviados pelo Patrimonio foram analisados, mas não foi possível verificar nenhum documento que pudesse ser útil na Usucapiao, apenas comprovam que houve aprovações de diversos projetos para as construções, mas não sobre como foi adquirida a posse.</t>
  </si>
  <si>
    <t>O escritório aguarda manifestação por parte do Grupo Marista quanto a definição da área. Informado ao escritório que pela situação do Covid o comparecimento no imóvel foi suspenso pela gestora e pelo irmão. Reiterada a questão a gestora e no aguardo de uma posição.</t>
  </si>
  <si>
    <t>O escritório permanece no aguardo da disponibilização do levantamento topográfico e memorial por parte do Grupo Marista. Situação que ficou prejudicada tendo em vista a visita planejada para a definição quanto a área.</t>
  </si>
  <si>
    <t>O escritório permanece no aguardo da disponibilização do levantamento topográfico e memorial por parte do Grupo Marista, tendo em vista que o trâmite será na esfera judicial. Situação que ficou prejudicada tendo em vista a visita planejada para a definição quanto a área. Não tivemos novas informações sobre estudos pela Floram sobre a REVIS, continuam não atendendo os telefones. A Associação de moradores impugnou a validade das audiências públicas e ainda estão aguardando resposta.</t>
  </si>
  <si>
    <t>Rua Guabirotuba, 258 - Prado Velho.</t>
  </si>
  <si>
    <t>Processo de alteração de titularidade realizado.</t>
  </si>
  <si>
    <t xml:space="preserve">Segundo trocas de e-mails, os FUNREJUS estão pagos, aguardando assinatura da escritura. </t>
  </si>
  <si>
    <t xml:space="preserve">Aguardando finalização da Ata Notarial </t>
  </si>
  <si>
    <t xml:space="preserve">peticionamos junto ao processo solitando manifetação por parte do Municipio, tendo em vista o não andamento.  </t>
  </si>
  <si>
    <t xml:space="preserve">Nova exigência do RI solicitando documento de Representatividade do Irmão Délcio. Solicitado o documento para a Crislei. Aguardando. </t>
  </si>
  <si>
    <t xml:space="preserve">Aguardando o envio das plantas pela empresa GenGeo </t>
  </si>
  <si>
    <t xml:space="preserve">Aguardando novo levantamento topográfico apenas da área das APC para seguir com a Prodiviso. </t>
  </si>
  <si>
    <t xml:space="preserve">Imóvel em processo de Usucapião </t>
  </si>
  <si>
    <t>Protocolado junto ao RI processo de subdivisão e escritura de divisão amigável para Registro</t>
  </si>
  <si>
    <t>Realizada a visita pelo topógrafo, aguardando a entrega da nova planta.</t>
  </si>
  <si>
    <t>Requerimento protocolizado junto ao RI de Chapecó, recebemos a exigência para cumprimento. Prinicipais pontas que precisamos apresentar: Escritura de Divisão amigável, requerimento solicitando a atualização do perímetro, esclarecimentos sobre a anuencia do munícipio de Chapecó, a procuração da Cargill deve ser regularizada, comprovação da incorporação da Cargill, cópia do termo de inventariante da família Almeida, certidão de Casamento de Maria Almeida,  estado civil de Neiva, a Cargill tera que assinar o memorial antigo.</t>
  </si>
  <si>
    <t xml:space="preserve">Enviado escritura para Registro por correspondência </t>
  </si>
  <si>
    <t>Residência Marista de São José dos Pinhais</t>
  </si>
  <si>
    <t>Rua Zacarias Alves Pereira, nº 1.011 - Jardim Aristocrata.</t>
  </si>
  <si>
    <t>Protocolado escritura junto ao RI. Aguardando conferência</t>
  </si>
  <si>
    <t>419494</t>
  </si>
  <si>
    <t xml:space="preserve">Cumprindo exigências do RI </t>
  </si>
  <si>
    <t>Processo em análise pela SMMA</t>
  </si>
  <si>
    <t>Recebemos a exigência do Regsitro de Imovel, solicitando alterações no requerimento pela Cargill e familia Almeda, copia de docucmentos. Estamos alinhando com os demais coproprietrios</t>
  </si>
  <si>
    <t>Solicitamos os documentos à Cargill e família Almeida, realizada reunião com o RI e o topógrafo está fazendo plantas complementares sobre as ruas, as anuência do municipio nas plantas não froam suficientes para o RI.</t>
  </si>
  <si>
    <t>Recebemos a nova planta e memorial, solicitamos algumas adaptações, de acordo com a certidão da prefeitura.</t>
  </si>
  <si>
    <t>Realizado permuta com a Mitra. Registro efetivado em 30/11/20</t>
  </si>
  <si>
    <t>Título apto a registro/ Aguardando RI concluir</t>
  </si>
  <si>
    <t xml:space="preserve">Processo encaminhado para o Departamento analise do IPPUC. Tramitando dentro da prefeitura. </t>
  </si>
  <si>
    <t xml:space="preserve">Nova exigência do RI solicitando documento de Representatividade do Irmão Délcio. Conversei com a Grasi que ficou de verificar a possibilidade de fazermos uma ata.  Aguardando. </t>
  </si>
  <si>
    <t>Cumprimos as exigência em relação a família Almeida e os documentos sobre a Prefeitura de Chapecó e fizmos o protocolo no dia 23/12/2020. Tivemos o retorno do RI com a exigência de alteração a parte da planta em relação a alteração de confrontantes.</t>
  </si>
  <si>
    <t>Estamos em contato para alteração a Ata Notarial.</t>
  </si>
  <si>
    <t>enviado documentos para cumprimento de exigência</t>
  </si>
  <si>
    <t>Cumprindo exigências do RI</t>
  </si>
  <si>
    <t xml:space="preserve">temos imunidade - enviado para Natasha providênciar escritura.  </t>
  </si>
  <si>
    <t>Registro concluído - enviado e-mail para a Grasi com as matrículas atualizadas</t>
  </si>
  <si>
    <t>Rua Zacarias Alves Pereira, nº 1.011</t>
  </si>
  <si>
    <t>Pedido matrículas atualizadas</t>
  </si>
  <si>
    <t xml:space="preserve">1° RI de Florianópolis </t>
  </si>
  <si>
    <t>Solicitado imunidade para Prefeitura e enviado para analise do RI</t>
  </si>
  <si>
    <t xml:space="preserve">ABEC </t>
  </si>
  <si>
    <t xml:space="preserve">Caçador </t>
  </si>
  <si>
    <t>Imóvel vendido</t>
  </si>
  <si>
    <t>Demos reentrada no RI</t>
  </si>
  <si>
    <t xml:space="preserve">Retirados documentos no Leão para cumprimento da exigência </t>
  </si>
  <si>
    <t>Natasha enviou Escritura de Estremação. Agendado horário com o Registrador para segunda dia 22/02</t>
  </si>
  <si>
    <t>Retificação de área/usucapião judicial</t>
  </si>
  <si>
    <t xml:space="preserve">Processo encaminhado para o Setor Jurídico, aguardando contrato. </t>
  </si>
  <si>
    <t xml:space="preserve">Prefeitura não aceitou imóvel oferecido para a Permuta. Grasi está levantando novo imóvel para ofertar. </t>
  </si>
  <si>
    <t>Usucapião extrajudicial</t>
  </si>
  <si>
    <t xml:space="preserve">Enviado novas Atas para o cartório </t>
  </si>
  <si>
    <t>Radio Lúmen - Pilarzinho - APC</t>
  </si>
  <si>
    <t>32.0.0007.0106.00-5</t>
  </si>
  <si>
    <t>32.0.0007.0318.00-2</t>
  </si>
  <si>
    <t>Radio Lúmen - Pilarzinho</t>
  </si>
  <si>
    <t>32.0.0007.0066.00-1</t>
  </si>
  <si>
    <t>32.0.0007.0398.00-5</t>
  </si>
  <si>
    <t xml:space="preserve">Barreirinha enviou lista de pendências para registro da escritura. Providênciando. </t>
  </si>
  <si>
    <t xml:space="preserve">Aguardando RI se manifestar ao e-mail enviado pelo Gustavo. </t>
  </si>
  <si>
    <t xml:space="preserve">A empresa Gengeo concluiu novo topográfico e enviou plantas para assinatura do Irmão. </t>
  </si>
  <si>
    <t xml:space="preserve">Fiz uma reunião com o RI tirar duvidas sobre escritura. Seguir com o Registro junto ao Leão. </t>
  </si>
  <si>
    <t>Aguardando documento da Cargill e alinhando o necessário para a Escritura de Divisão Amigável.</t>
  </si>
  <si>
    <t>Realizada reunião para alinhamento sobre a regulaização da areá, ainda não recebemos o levantamentos e memorial com a area total do imóvei, para darmos na Usucapiaõ. Solicitada a elaboração de parecer.</t>
  </si>
  <si>
    <t>Demos entrada no Registro da Escritura. Aguardando conferência do RI</t>
  </si>
  <si>
    <t>Cumprindo exigência do RI</t>
  </si>
  <si>
    <t xml:space="preserve">saiu a imunidade de ITBI. Dando sequência no registro. Verificando o cumprimento das demais exigências. </t>
  </si>
  <si>
    <t>Demos entrada no Registro da Escritura</t>
  </si>
  <si>
    <t>Minuta da Escritura amigável aprovada pela UCE e Famáilia Almeida. Realizada reunião com a Cargill/Idacir para explicação do Novo Memorial e sobre a Escritura de Divisão Amigável no dia 15/04,, prometeram responder essa semana. Requerimento de Alteração de Perímentro aprovado e assinado pelas partes.</t>
  </si>
  <si>
    <t>iniciamos a busca de registros junto aos Ris para anexar a ATA</t>
  </si>
  <si>
    <t xml:space="preserve">Demos reentrada no processo e estamos aguardando devolutiva do RI </t>
  </si>
  <si>
    <t xml:space="preserve">Enviado e-mail para a Advogada do Sr. Carlos Eduardo solicitando documentos pertinentes ao imóvel para conclusão da Ata Notarial. </t>
  </si>
  <si>
    <t xml:space="preserve">Aguardando levantamento unificação dos demais lotes para sequência  </t>
  </si>
  <si>
    <t>Aguardando levantamento unificação para cumprimento de exigência do RI</t>
  </si>
  <si>
    <t>Plantas assinadas e enviadas a Gengeo para entrada de aprovação do Municipio</t>
  </si>
  <si>
    <t xml:space="preserve">Contrata empresa para levantamento topográfico </t>
  </si>
  <si>
    <t>DE</t>
  </si>
  <si>
    <t>matrícula encerrada, abert. 30417 ABEC</t>
  </si>
  <si>
    <t xml:space="preserve">Escritura de divisão amigável registrada </t>
  </si>
  <si>
    <t>Aberta em 5/5/21 a matrícula 236.265 em substituição a Transcrição 89394</t>
  </si>
  <si>
    <t>Lavrada a escritura de compra para ABEC</t>
  </si>
  <si>
    <t>Aguardando baixa de gravame para proceder com a transferencia do imóvel</t>
  </si>
  <si>
    <t>Cancelamento do pacto comissório.</t>
  </si>
  <si>
    <t>Vendido - MAR/21 Candido Gimenez</t>
  </si>
  <si>
    <t>03013936</t>
  </si>
  <si>
    <t>Lote 09</t>
  </si>
  <si>
    <t>Lote 11</t>
  </si>
  <si>
    <t>Lote 12</t>
  </si>
  <si>
    <t>Lote 13</t>
  </si>
  <si>
    <t>Movimentação</t>
  </si>
  <si>
    <t>Venda</t>
  </si>
  <si>
    <t>Em transição/judicial</t>
  </si>
  <si>
    <t>venda com pagto parcelado</t>
  </si>
  <si>
    <t xml:space="preserve">Venda em escrituração </t>
  </si>
  <si>
    <t>Doaçao em escrituração</t>
  </si>
  <si>
    <t>Transcrição encerrada</t>
  </si>
  <si>
    <t>N/A</t>
  </si>
  <si>
    <t>Permutado</t>
  </si>
  <si>
    <t>Divisão amigável</t>
  </si>
  <si>
    <t>Municipio Tijucas do Sul</t>
  </si>
  <si>
    <t>Decreto baixado em março/2019</t>
  </si>
  <si>
    <t>Imbróglios Jurídicos</t>
  </si>
  <si>
    <t>Transferências: RI, PM</t>
  </si>
  <si>
    <t>Pendente atualização do cadastro da PM em decorrência da cisão, tranf. em stand by devido a ação declaratória.</t>
  </si>
  <si>
    <t>Utilização</t>
  </si>
  <si>
    <t>Próprio</t>
  </si>
  <si>
    <t>Vago</t>
  </si>
  <si>
    <t>Antigo PUC Idiomas</t>
  </si>
  <si>
    <t>Locatária FTD</t>
  </si>
  <si>
    <t>Antigo PUCPR _Agência e PUC Web</t>
  </si>
  <si>
    <t>Cessão não onerosa ABEC</t>
  </si>
  <si>
    <t>Locatária Irmãs</t>
  </si>
  <si>
    <t>Lote ao lado Pão da vovó</t>
  </si>
  <si>
    <t>Cessão não onerosa APC</t>
  </si>
  <si>
    <t>Antigo Centro Social Marista Propulsão</t>
  </si>
  <si>
    <t>Locado à terceiros</t>
  </si>
  <si>
    <t xml:space="preserve">Antigo PUCPR_HotMilk </t>
  </si>
  <si>
    <t>Imóvel recebimento em doação, cuja escritura nunca fora lavrada e portanto considerado perdido.</t>
  </si>
  <si>
    <t>Comodato para Escoteiros</t>
  </si>
  <si>
    <t>Aguardando manifestação da Presidencia.</t>
  </si>
  <si>
    <t>Locado Ibagy</t>
  </si>
  <si>
    <t>SPE</t>
  </si>
  <si>
    <t>Implantação de Loeamento em parceria com Dagostini</t>
  </si>
  <si>
    <t>Cessão não onerosa Abec</t>
  </si>
  <si>
    <t>Compra e venda APC/ABEC em 2010, não transferido por questoes municipais. Imóvel será vendido em nome da APC.</t>
  </si>
  <si>
    <t>Ocupado por terceiros</t>
  </si>
  <si>
    <t>Ocupação irregular</t>
  </si>
  <si>
    <t>Colégio Marista de Cricíuma</t>
  </si>
  <si>
    <t>Comodato para terceiros</t>
  </si>
  <si>
    <t>Locado à APC</t>
  </si>
  <si>
    <t>Arrendado Marcos</t>
  </si>
  <si>
    <t>Arrendado Carlos Luciano</t>
  </si>
  <si>
    <t>Locado Cibraco</t>
  </si>
  <si>
    <t>Usucapião Terceiros</t>
  </si>
  <si>
    <t>Chácara Verpa - Terreno Menor</t>
  </si>
  <si>
    <t>Arrendado Flávio Fonseca</t>
  </si>
  <si>
    <t>Decreto de desapropiação da área n°  40.607/21. Indenização em negociação com esc. Terceirizado Menezes Niegbuhr adv. Associados.</t>
  </si>
  <si>
    <t xml:space="preserve">O pedido de usucapião proposto pelos invasores foi julgado procedente em 1a. Instância. </t>
  </si>
  <si>
    <t>Cumprindo exigencias do RI</t>
  </si>
  <si>
    <t>Escritura rerratificada em 01/06/21 para atender exigência do RI. Protocolada em 08/06/21.</t>
  </si>
  <si>
    <t>Fornecidas todos as informações ao cartório para finalização da Ata.</t>
  </si>
  <si>
    <t>Descrição BI</t>
  </si>
  <si>
    <t>Centro Social Marista Marcelino Champagnat</t>
  </si>
  <si>
    <t>Colégio Marista de Ribeirão Preto</t>
  </si>
  <si>
    <t>Antigo Centro Social Marista Dourados</t>
  </si>
  <si>
    <t>CEDIN - Centro Marista de Defesa da Infância</t>
  </si>
  <si>
    <t>Escola Ecológica Marcelino Champagnat</t>
  </si>
  <si>
    <t>Recanto Marista Santa Maria</t>
  </si>
  <si>
    <t>Colégio Marista de Brasília Ensino Infantil e Fundamental</t>
  </si>
  <si>
    <t>Colégio Marista de Brasília Ensino Médio</t>
  </si>
  <si>
    <t>Recanto Colégio Marista Paranaense</t>
  </si>
  <si>
    <t>Recanto Colégio Marista de Cascavel</t>
  </si>
  <si>
    <t>Lumen - Centro de Comunicação</t>
  </si>
  <si>
    <t>Colégio Marista de Goiânia</t>
  </si>
  <si>
    <t>Recanto Colégio Marista Pio XII</t>
  </si>
  <si>
    <t>Centro de Formação Marista de Jaraguá</t>
  </si>
  <si>
    <t>Recanto Colégio Marista Frei Rogério</t>
  </si>
  <si>
    <t>Recanto Colégio Marista de Londrina</t>
  </si>
  <si>
    <t>Colégio Marista de Londrina</t>
  </si>
  <si>
    <t>Colégio Marista de Maringá</t>
  </si>
  <si>
    <t xml:space="preserve">Colégio Marista Pio XII </t>
  </si>
  <si>
    <t>Centro Social Marista Santa Mônica</t>
  </si>
  <si>
    <t>03° Registro de Imóveis de Ponta Grossa</t>
  </si>
  <si>
    <t>01° Registro de Imóveis de São Paulo</t>
  </si>
  <si>
    <t>Ofertado novo imóvel para permuta. Entregue CVCO Parcial.</t>
  </si>
  <si>
    <t xml:space="preserve">Solicitada anuência do Município </t>
  </si>
  <si>
    <t>Imóvel recebido em doação, cuja escritura nunca fora lavrada e portanto considerado perdido.</t>
  </si>
  <si>
    <t xml:space="preserve">Retirado plantas para correção na planilha </t>
  </si>
  <si>
    <t>Solicitado a Advogada dos outros proprietários documentos pessoais dos mesmos para a conclusão da escritura.</t>
  </si>
  <si>
    <t xml:space="preserve">Providênciando documentos solicitados pelo municipio </t>
  </si>
  <si>
    <t>Solicitadas novas procurações pela tabelionato, já providenciada pela UCE, aguardando a procuração da Cargill.</t>
  </si>
  <si>
    <t>Ainda aguardando a confecção de novo Levatamento topográfico pela UCE. Solicitado o cancelamento do Cadastro do CCIR junto ao INCRA.</t>
  </si>
  <si>
    <t>Agência PUC prédio 1</t>
  </si>
  <si>
    <t>Agência PUC - Prédio 2</t>
  </si>
  <si>
    <t>Centro Social Marista Propulsão - ABEC</t>
  </si>
  <si>
    <t>PUC idiomas</t>
  </si>
  <si>
    <t>Centro Marista de Defesa da Infância</t>
  </si>
  <si>
    <t>Centro Marista Marcelino Champagnat</t>
  </si>
  <si>
    <t>Colégio Marista de Brasília EM</t>
  </si>
  <si>
    <t>Colégio Marista de Brasília EI EF</t>
  </si>
  <si>
    <t>DI-Refeitório-Maquetaria</t>
  </si>
  <si>
    <t>Escritório Administrativo(DI/DSC) - Igrejinha</t>
  </si>
  <si>
    <t>Hospital Veterinário PUCPR</t>
  </si>
  <si>
    <t>LABCOM</t>
  </si>
  <si>
    <t>NPJ - Câmpus Curitiba</t>
  </si>
  <si>
    <t>PRO-AÇÃO FAZENDA RIO GRANDE</t>
  </si>
  <si>
    <t>PUCPR CAMPUS LONDRINA</t>
  </si>
  <si>
    <t>PUCPR CAMPUS CURITIBA</t>
  </si>
  <si>
    <t>Almoxarifado/Clínica de fisioterapia/Manutenção</t>
  </si>
  <si>
    <t>PUCPR CAMPUS TOLEDO</t>
  </si>
  <si>
    <t>Tecnoparque</t>
  </si>
  <si>
    <t>PUCPR CAMPUS SÃO JOSÉ DOS PINHAIS</t>
  </si>
  <si>
    <t>HNSL - Hospital Psiquiátrico Nossa Senhora da Luz</t>
  </si>
  <si>
    <t xml:space="preserve">FEGA - Fazenda Experimental Gralha Azul </t>
  </si>
  <si>
    <t>Centro Social Marista Dourados</t>
  </si>
  <si>
    <t>Escritura registrada de acordo com a Cisão - proprietária UCE.</t>
  </si>
  <si>
    <t>Encaminhado doctos para inicio do processo de cisão</t>
  </si>
  <si>
    <t>Encaminhado doctos para inicio do processo de cisão.</t>
  </si>
  <si>
    <t>Regularização de titularidade</t>
  </si>
  <si>
    <t>Verificado que imóvel pertencia a APC e foi realizado o registro de cisão da ABEC para UCE. Ncessário retificar a matrícula para registrar a passagem da APC para ABEC.</t>
  </si>
  <si>
    <t>Doaçãoo em escrituração</t>
  </si>
  <si>
    <t>Encaminhado doctos para protocolo no 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</si>
</sst>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R$&quot;\ * #,##0.00_-;\-&quot;R$&quot;\ * #,##0.00_-;_-&quot;R$&quot;\ * &quot;-&quot;??_-;_-@_-"/>
    <numFmt numFmtId="43" formatCode="_-* #,##0.00_-;\-* #,##0.00_-;_-* &quot;-&quot;??_-;_-@_-"/>
    <numFmt numFmtId="164" formatCode="&quot;R$&quot;#,##0.00;[Red]\-&quot;R$&quot;#,##0.00"/>
  </numFmts>
  <fonts count="32" x14ac:knownFonts="1">
    <font>
      <sz val="9"/>
      <color theme="1" tint="0.34998626667073579"/>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9"/>
      <color theme="1" tint="0.34998626667073579"/>
      <name val="Century Gothic"/>
      <family val="2"/>
      <scheme val="minor"/>
    </font>
    <font>
      <sz val="10"/>
      <color theme="4"/>
      <name val="Playbill"/>
      <family val="5"/>
    </font>
    <font>
      <sz val="30"/>
      <color theme="4"/>
      <name val="Century Gothic"/>
      <family val="2"/>
      <scheme val="major"/>
    </font>
    <font>
      <sz val="10"/>
      <color theme="3"/>
      <name val="Century Gothic"/>
      <family val="2"/>
      <scheme val="minor"/>
    </font>
    <font>
      <sz val="11"/>
      <color rgb="FF000000"/>
      <name val="Calibri"/>
      <family val="2"/>
    </font>
    <font>
      <sz val="10"/>
      <name val="Arial"/>
      <family val="2"/>
    </font>
    <font>
      <sz val="8"/>
      <name val="Century Gothic"/>
      <family val="2"/>
      <scheme val="minor"/>
    </font>
    <font>
      <b/>
      <sz val="9"/>
      <color theme="1"/>
      <name val="Century Gothic"/>
      <family val="2"/>
      <scheme val="minor"/>
    </font>
    <font>
      <b/>
      <sz val="9"/>
      <color theme="1" tint="0.34998626667073579"/>
      <name val="Century Gothic"/>
      <family val="2"/>
      <scheme val="minor"/>
    </font>
    <font>
      <sz val="8"/>
      <color theme="1"/>
      <name val="Calibri Light"/>
      <family val="2"/>
    </font>
    <font>
      <b/>
      <sz val="8"/>
      <color theme="1"/>
      <name val="Calibri Light"/>
      <family val="2"/>
    </font>
    <font>
      <sz val="8"/>
      <color theme="1"/>
      <name val="Century Gothic"/>
      <family val="2"/>
      <scheme val="minor"/>
    </font>
    <font>
      <sz val="8"/>
      <color rgb="FFFF0000"/>
      <name val="Century Gothic"/>
      <family val="2"/>
      <scheme val="minor"/>
    </font>
    <font>
      <i/>
      <sz val="8"/>
      <color theme="1"/>
      <name val="Calibri Light"/>
      <family val="2"/>
    </font>
    <font>
      <vertAlign val="superscript"/>
      <sz val="8"/>
      <color theme="1"/>
      <name val="Calibri Light"/>
      <family val="2"/>
    </font>
    <font>
      <sz val="8"/>
      <color theme="1" tint="0.34998626667073579"/>
      <name val="Arial"/>
      <family val="2"/>
    </font>
    <font>
      <sz val="8"/>
      <color theme="0"/>
      <name val="Century Gothic"/>
      <family val="2"/>
      <scheme val="minor"/>
    </font>
    <font>
      <sz val="8"/>
      <color theme="1" tint="0.34998626667073579"/>
      <name val="Century Gothic"/>
      <family val="2"/>
      <scheme val="minor"/>
    </font>
    <font>
      <sz val="8"/>
      <color rgb="FF000000"/>
      <name val="Century Gothic"/>
      <family val="2"/>
      <scheme val="minor"/>
    </font>
    <font>
      <b/>
      <sz val="9"/>
      <color theme="2"/>
      <name val="Century Gothic"/>
      <family val="2"/>
      <scheme val="minor"/>
    </font>
    <font>
      <b/>
      <sz val="8"/>
      <color theme="1"/>
      <name val="Calibri"/>
      <family val="2"/>
    </font>
    <font>
      <sz val="8"/>
      <name val="Calibri Light"/>
      <family val="2"/>
    </font>
    <font>
      <sz val="8"/>
      <color theme="1" tint="0.34998626667073579"/>
      <name val="Calibri Light"/>
      <family val="2"/>
    </font>
  </fonts>
  <fills count="6">
    <fill>
      <patternFill patternType="none"/>
    </fill>
    <fill>
      <patternFill patternType="gray125"/>
    </fill>
    <fill>
      <patternFill patternType="solid">
        <fgColor theme="4" tint="0.79998168889431442"/>
        <bgColor theme="4" tint="0.79998168889431442"/>
      </patternFill>
    </fill>
    <fill>
      <patternFill patternType="solid">
        <fgColor theme="5" tint="0.79998168889431442"/>
        <bgColor theme="5" tint="0.79998168889431442"/>
      </patternFill>
    </fill>
    <fill>
      <patternFill patternType="solid">
        <fgColor theme="5" tint="-0.499984740745262"/>
        <bgColor indexed="64"/>
      </patternFill>
    </fill>
    <fill>
      <patternFill patternType="solid">
        <fgColor rgb="FFFFFF00"/>
        <bgColor indexed="64"/>
      </patternFill>
    </fill>
  </fills>
  <borders count="9">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hair">
        <color auto="1"/>
      </right>
      <top/>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right/>
      <top/>
      <bottom style="thin">
        <color theme="4" tint="0.39997558519241921"/>
      </bottom>
      <diagonal/>
    </border>
    <border>
      <left style="hair">
        <color theme="1"/>
      </left>
      <right style="hair">
        <color theme="1"/>
      </right>
      <top/>
      <bottom/>
      <diagonal/>
    </border>
    <border>
      <left style="hair">
        <color indexed="64"/>
      </left>
      <right style="hair">
        <color indexed="64"/>
      </right>
      <top/>
      <bottom style="hair">
        <color indexed="64"/>
      </bottom>
      <diagonal/>
    </border>
  </borders>
  <cellStyleXfs count="27">
    <xf numFmtId="0" fontId="0" fillId="0" borderId="0">
      <alignment vertical="center"/>
    </xf>
    <xf numFmtId="0" fontId="11" fillId="0" borderId="0" applyNumberFormat="0" applyFill="0" applyBorder="0" applyAlignment="0" applyProtection="0"/>
    <xf numFmtId="0" fontId="9" fillId="0" borderId="0" applyNumberFormat="0" applyFont="0" applyFill="0" applyBorder="0" applyProtection="0">
      <alignment horizontal="left" indent="1"/>
    </xf>
    <xf numFmtId="0" fontId="10" fillId="0" borderId="0" applyNumberFormat="0" applyFill="0" applyBorder="0" applyProtection="0">
      <alignment horizontal="left" vertical="center"/>
    </xf>
    <xf numFmtId="0" fontId="12" fillId="0" borderId="0">
      <alignment vertical="center"/>
    </xf>
    <xf numFmtId="0" fontId="8" fillId="0" borderId="0"/>
    <xf numFmtId="9" fontId="8" fillId="0" borderId="0" applyFont="0" applyFill="0" applyBorder="0" applyAlignment="0" applyProtection="0"/>
    <xf numFmtId="0" fontId="13" fillId="0" borderId="0"/>
    <xf numFmtId="0" fontId="8" fillId="0" borderId="0"/>
    <xf numFmtId="0" fontId="7" fillId="0" borderId="0"/>
    <xf numFmtId="0" fontId="6" fillId="0" borderId="0"/>
    <xf numFmtId="9" fontId="5" fillId="0" borderId="0" applyFont="0" applyFill="0" applyBorder="0" applyAlignment="0" applyProtection="0"/>
    <xf numFmtId="0" fontId="4" fillId="0" borderId="0"/>
    <xf numFmtId="43" fontId="4" fillId="0" borderId="0" applyFont="0" applyFill="0" applyBorder="0" applyAlignment="0" applyProtection="0"/>
    <xf numFmtId="9" fontId="3"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9" fillId="0" borderId="0">
      <alignment vertical="center"/>
    </xf>
    <xf numFmtId="44" fontId="9" fillId="0" borderId="0" applyFont="0" applyFill="0" applyBorder="0" applyAlignment="0" applyProtection="0"/>
    <xf numFmtId="0" fontId="11" fillId="0" borderId="0" applyNumberFormat="0" applyFill="0" applyBorder="0" applyAlignment="0" applyProtection="0"/>
    <xf numFmtId="0" fontId="14" fillId="0" borderId="0"/>
    <xf numFmtId="9" fontId="14" fillId="0" borderId="0" applyFont="0" applyFill="0" applyBorder="0" applyAlignment="0" applyProtection="0"/>
    <xf numFmtId="43" fontId="14" fillId="0" borderId="0" applyFont="0" applyFill="0" applyBorder="0" applyAlignment="0" applyProtection="0"/>
    <xf numFmtId="44" fontId="14" fillId="0" borderId="0" applyFont="0" applyFill="0" applyBorder="0" applyAlignment="0" applyProtection="0"/>
    <xf numFmtId="43" fontId="9" fillId="0" borderId="0" applyFont="0" applyFill="0" applyBorder="0" applyAlignment="0" applyProtection="0"/>
  </cellStyleXfs>
  <cellXfs count="104">
    <xf numFmtId="0" fontId="0" fillId="0" borderId="0" xfId="0">
      <alignment vertical="center"/>
    </xf>
    <xf numFmtId="0" fontId="0" fillId="0" borderId="0" xfId="0" applyAlignment="1">
      <alignment horizontal="center" vertical="center"/>
    </xf>
    <xf numFmtId="0" fontId="0" fillId="0" borderId="0" xfId="0" pivotButton="1" applyAlignment="1">
      <alignment horizontal="center" vertical="center"/>
    </xf>
    <xf numFmtId="0" fontId="17" fillId="0" borderId="0" xfId="0" applyFont="1" applyAlignment="1">
      <alignment horizontal="center" vertical="center"/>
    </xf>
    <xf numFmtId="0" fontId="16" fillId="2" borderId="6" xfId="0" applyFont="1" applyFill="1" applyBorder="1" applyAlignment="1">
      <alignment horizontal="center" vertical="center"/>
    </xf>
    <xf numFmtId="14" fontId="0" fillId="0" borderId="0" xfId="0" applyNumberFormat="1">
      <alignment vertical="center"/>
    </xf>
    <xf numFmtId="164" fontId="18" fillId="0" borderId="3" xfId="15" applyNumberFormat="1" applyFont="1" applyFill="1" applyBorder="1" applyAlignment="1">
      <alignment horizontal="center" vertical="top"/>
    </xf>
    <xf numFmtId="0" fontId="19" fillId="0" borderId="2" xfId="15" applyFont="1" applyFill="1" applyBorder="1" applyAlignment="1">
      <alignment horizontal="center" vertical="top"/>
    </xf>
    <xf numFmtId="0" fontId="18" fillId="0" borderId="2" xfId="15" applyFont="1" applyFill="1" applyBorder="1" applyAlignment="1">
      <alignment horizontal="center" vertical="top"/>
    </xf>
    <xf numFmtId="164" fontId="19" fillId="0" borderId="2" xfId="15" applyNumberFormat="1" applyFont="1" applyFill="1" applyBorder="1" applyAlignment="1">
      <alignment horizontal="center" vertical="top"/>
    </xf>
    <xf numFmtId="14" fontId="19" fillId="0" borderId="2" xfId="15" applyNumberFormat="1" applyFont="1" applyFill="1" applyBorder="1" applyAlignment="1">
      <alignment horizontal="center" vertical="top"/>
    </xf>
    <xf numFmtId="0" fontId="18" fillId="0" borderId="4" xfId="15" applyFont="1" applyFill="1" applyBorder="1" applyAlignment="1">
      <alignment horizontal="left" vertical="top"/>
    </xf>
    <xf numFmtId="0" fontId="18" fillId="0" borderId="4" xfId="15" applyFont="1" applyFill="1" applyBorder="1" applyAlignment="1">
      <alignment horizontal="center" vertical="top"/>
    </xf>
    <xf numFmtId="14" fontId="18" fillId="0" borderId="4" xfId="15" applyNumberFormat="1" applyFont="1" applyFill="1" applyBorder="1" applyAlignment="1">
      <alignment horizontal="center" vertical="top"/>
    </xf>
    <xf numFmtId="0" fontId="18" fillId="0" borderId="4" xfId="15" applyNumberFormat="1" applyFont="1" applyFill="1" applyBorder="1" applyAlignment="1">
      <alignment horizontal="left" vertical="top"/>
    </xf>
    <xf numFmtId="0" fontId="18" fillId="0" borderId="4" xfId="15" applyNumberFormat="1" applyFont="1" applyFill="1" applyBorder="1" applyAlignment="1">
      <alignment horizontal="center" vertical="top"/>
    </xf>
    <xf numFmtId="0" fontId="18" fillId="0" borderId="5" xfId="15" applyFont="1" applyFill="1" applyBorder="1" applyAlignment="1">
      <alignment horizontal="left" vertical="top"/>
    </xf>
    <xf numFmtId="14" fontId="18" fillId="0" borderId="5" xfId="15" applyNumberFormat="1" applyFont="1" applyFill="1" applyBorder="1" applyAlignment="1">
      <alignment horizontal="center" vertical="top"/>
    </xf>
    <xf numFmtId="0" fontId="18" fillId="0" borderId="5" xfId="15" applyFont="1" applyFill="1" applyBorder="1" applyAlignment="1">
      <alignment horizontal="center" vertical="top"/>
    </xf>
    <xf numFmtId="0" fontId="18" fillId="0" borderId="5" xfId="15" applyNumberFormat="1" applyFont="1" applyFill="1" applyBorder="1" applyAlignment="1">
      <alignment horizontal="left" vertical="top"/>
    </xf>
    <xf numFmtId="0" fontId="20" fillId="0" borderId="1" xfId="15" applyFont="1" applyFill="1" applyBorder="1" applyAlignment="1"/>
    <xf numFmtId="0" fontId="15" fillId="0" borderId="1" xfId="15" applyFont="1" applyFill="1" applyBorder="1" applyAlignment="1"/>
    <xf numFmtId="0" fontId="20" fillId="0" borderId="0" xfId="15" applyFont="1" applyFill="1" applyAlignment="1">
      <alignment horizontal="center" vertical="top"/>
    </xf>
    <xf numFmtId="0" fontId="21" fillId="0" borderId="0" xfId="15" applyFont="1" applyFill="1" applyAlignment="1">
      <alignment horizontal="left" vertical="top"/>
    </xf>
    <xf numFmtId="0" fontId="20" fillId="0" borderId="0" xfId="15" applyFont="1" applyFill="1" applyAlignment="1"/>
    <xf numFmtId="0" fontId="15" fillId="0" borderId="0" xfId="15" applyFont="1" applyFill="1" applyAlignment="1"/>
    <xf numFmtId="14" fontId="20" fillId="0" borderId="0" xfId="15" applyNumberFormat="1" applyFont="1" applyFill="1" applyAlignment="1">
      <alignment horizontal="left" vertical="top"/>
    </xf>
    <xf numFmtId="0" fontId="20" fillId="0" borderId="0" xfId="15" applyFont="1" applyFill="1" applyAlignment="1">
      <alignment horizontal="left"/>
    </xf>
    <xf numFmtId="0" fontId="25" fillId="0" borderId="0" xfId="15" applyFont="1" applyFill="1" applyAlignment="1">
      <alignment horizontal="center" vertical="center"/>
    </xf>
    <xf numFmtId="0" fontId="26" fillId="0" borderId="0" xfId="0" applyFont="1" applyFill="1" applyAlignment="1">
      <alignment horizontal="center" vertical="center"/>
    </xf>
    <xf numFmtId="0" fontId="26" fillId="0" borderId="0" xfId="0" applyFont="1" applyFill="1" applyAlignment="1">
      <alignment vertical="center"/>
    </xf>
    <xf numFmtId="0" fontId="25" fillId="0" borderId="0" xfId="15" applyFont="1" applyFill="1" applyAlignment="1">
      <alignment horizontal="left" vertical="center"/>
    </xf>
    <xf numFmtId="0" fontId="25" fillId="0" borderId="0" xfId="15" applyFont="1" applyFill="1" applyAlignment="1">
      <alignment horizontal="center"/>
    </xf>
    <xf numFmtId="0" fontId="27" fillId="0" borderId="0" xfId="15" applyFont="1" applyFill="1" applyAlignment="1">
      <alignment horizontal="left" vertical="center"/>
    </xf>
    <xf numFmtId="0" fontId="18" fillId="0" borderId="5" xfId="15" applyNumberFormat="1" applyFont="1" applyFill="1" applyBorder="1" applyAlignment="1">
      <alignment horizontal="center" vertical="top"/>
    </xf>
    <xf numFmtId="0" fontId="0" fillId="0" borderId="0" xfId="0" pivotButton="1">
      <alignment vertical="center"/>
    </xf>
    <xf numFmtId="0" fontId="0" fillId="0" borderId="0" xfId="0" applyFont="1" applyAlignment="1">
      <alignment horizontal="left" vertical="center"/>
    </xf>
    <xf numFmtId="0" fontId="0" fillId="0" borderId="0" xfId="0" pivotButton="1" applyFont="1" applyAlignment="1">
      <alignment horizontal="left" vertical="center"/>
    </xf>
    <xf numFmtId="14" fontId="0" fillId="0" borderId="0" xfId="0" applyNumberFormat="1" applyFont="1" applyAlignment="1">
      <alignment horizontal="left" vertical="center"/>
    </xf>
    <xf numFmtId="0" fontId="0" fillId="0" borderId="0" xfId="0" applyAlignment="1">
      <alignment horizontal="right" vertical="center"/>
    </xf>
    <xf numFmtId="0" fontId="25" fillId="0" borderId="0" xfId="15" applyFont="1" applyFill="1" applyAlignment="1">
      <alignment horizontal="center" vertical="top"/>
    </xf>
    <xf numFmtId="0" fontId="0" fillId="0" borderId="0" xfId="0" applyFont="1" applyAlignment="1">
      <alignment vertical="center"/>
    </xf>
    <xf numFmtId="0" fontId="0" fillId="0" borderId="0" xfId="0" pivotButton="1" applyFont="1" applyAlignment="1">
      <alignment vertical="center"/>
    </xf>
    <xf numFmtId="0" fontId="0" fillId="0" borderId="0" xfId="0" applyAlignment="1">
      <alignment vertical="center"/>
    </xf>
    <xf numFmtId="14" fontId="0" fillId="0" borderId="0" xfId="0" applyNumberFormat="1" applyFont="1" applyAlignment="1">
      <alignment vertical="center"/>
    </xf>
    <xf numFmtId="164" fontId="18" fillId="0" borderId="3" xfId="15" applyNumberFormat="1" applyFont="1" applyFill="1" applyBorder="1" applyAlignment="1">
      <alignment horizontal="left" vertical="top"/>
    </xf>
    <xf numFmtId="4" fontId="18" fillId="0" borderId="4" xfId="15" applyNumberFormat="1" applyFont="1" applyFill="1" applyBorder="1" applyAlignment="1">
      <alignment horizontal="center" vertical="top"/>
    </xf>
    <xf numFmtId="0" fontId="30" fillId="0" borderId="1" xfId="15" applyFont="1" applyBorder="1" applyAlignment="1">
      <alignment horizontal="center" vertical="center" wrapText="1"/>
    </xf>
    <xf numFmtId="0" fontId="18" fillId="0" borderId="4" xfId="15" applyFont="1" applyFill="1" applyBorder="1" applyAlignment="1">
      <alignment horizontal="center" vertical="center"/>
    </xf>
    <xf numFmtId="0" fontId="18" fillId="0" borderId="4" xfId="15" applyFont="1" applyFill="1" applyBorder="1" applyAlignment="1">
      <alignment horizontal="left" vertical="center"/>
    </xf>
    <xf numFmtId="0" fontId="18" fillId="0" borderId="4" xfId="15" applyNumberFormat="1" applyFont="1" applyFill="1" applyBorder="1" applyAlignment="1">
      <alignment horizontal="center" vertical="center"/>
    </xf>
    <xf numFmtId="14" fontId="20" fillId="0" borderId="0" xfId="15" applyNumberFormat="1" applyFont="1" applyFill="1" applyAlignment="1">
      <alignment horizontal="left" vertical="center"/>
    </xf>
    <xf numFmtId="0" fontId="20" fillId="0" borderId="0" xfId="15" applyFont="1" applyFill="1" applyAlignment="1">
      <alignment vertical="center"/>
    </xf>
    <xf numFmtId="0" fontId="20" fillId="0" borderId="0" xfId="15" applyFont="1" applyFill="1" applyAlignment="1">
      <alignment horizontal="left" vertical="center"/>
    </xf>
    <xf numFmtId="3" fontId="18" fillId="0" borderId="4" xfId="15" applyNumberFormat="1" applyFont="1" applyFill="1" applyBorder="1" applyAlignment="1">
      <alignment horizontal="center" vertical="top"/>
    </xf>
    <xf numFmtId="0" fontId="15" fillId="0" borderId="0" xfId="15" applyFont="1" applyFill="1" applyAlignment="1">
      <alignment horizontal="center" vertical="center"/>
    </xf>
    <xf numFmtId="1" fontId="18" fillId="0" borderId="4" xfId="15" applyNumberFormat="1" applyFont="1" applyFill="1" applyBorder="1" applyAlignment="1">
      <alignment horizontal="center" vertical="top"/>
    </xf>
    <xf numFmtId="4" fontId="18" fillId="0" borderId="4" xfId="15" applyNumberFormat="1" applyFont="1" applyFill="1" applyBorder="1" applyAlignment="1">
      <alignment horizontal="right" vertical="top"/>
    </xf>
    <xf numFmtId="43" fontId="18" fillId="0" borderId="4" xfId="26" applyFont="1" applyFill="1" applyBorder="1" applyAlignment="1">
      <alignment horizontal="right" vertical="top"/>
    </xf>
    <xf numFmtId="0" fontId="18" fillId="0" borderId="4" xfId="15" applyFont="1" applyFill="1" applyBorder="1" applyAlignment="1">
      <alignment horizontal="right" vertical="top"/>
    </xf>
    <xf numFmtId="2" fontId="18" fillId="0" borderId="4" xfId="15" applyNumberFormat="1" applyFont="1" applyFill="1" applyBorder="1" applyAlignment="1">
      <alignment horizontal="right" vertical="top"/>
    </xf>
    <xf numFmtId="0" fontId="18" fillId="0" borderId="4" xfId="15" applyNumberFormat="1" applyFont="1" applyFill="1" applyBorder="1" applyAlignment="1">
      <alignment horizontal="right" vertical="top"/>
    </xf>
    <xf numFmtId="3" fontId="18" fillId="0" borderId="4" xfId="15" applyNumberFormat="1" applyFont="1" applyFill="1" applyBorder="1" applyAlignment="1">
      <alignment horizontal="right" vertical="top"/>
    </xf>
    <xf numFmtId="0" fontId="18" fillId="0" borderId="5" xfId="15" applyFont="1" applyFill="1" applyBorder="1" applyAlignment="1">
      <alignment horizontal="right" vertical="top"/>
    </xf>
    <xf numFmtId="43" fontId="18" fillId="0" borderId="5" xfId="26" applyFont="1" applyFill="1" applyBorder="1" applyAlignment="1">
      <alignment horizontal="right" vertical="top"/>
    </xf>
    <xf numFmtId="4" fontId="18" fillId="0" borderId="5" xfId="15" applyNumberFormat="1" applyFont="1" applyFill="1" applyBorder="1" applyAlignment="1">
      <alignment horizontal="right" vertical="top"/>
    </xf>
    <xf numFmtId="4" fontId="18" fillId="0" borderId="5" xfId="15" applyNumberFormat="1" applyFont="1" applyFill="1" applyBorder="1" applyAlignment="1">
      <alignment horizontal="right" vertical="center"/>
    </xf>
    <xf numFmtId="0" fontId="18" fillId="0" borderId="5" xfId="15" applyNumberFormat="1" applyFont="1" applyFill="1" applyBorder="1" applyAlignment="1">
      <alignment horizontal="right" vertical="top"/>
    </xf>
    <xf numFmtId="4" fontId="25" fillId="0" borderId="0" xfId="15" applyNumberFormat="1" applyFont="1" applyFill="1" applyAlignment="1">
      <alignment horizontal="right" vertical="center"/>
    </xf>
    <xf numFmtId="43" fontId="19" fillId="0" borderId="2" xfId="26" applyFont="1" applyFill="1" applyBorder="1" applyAlignment="1">
      <alignment horizontal="right" vertical="top"/>
    </xf>
    <xf numFmtId="43" fontId="25" fillId="0" borderId="0" xfId="26" applyFont="1" applyFill="1" applyAlignment="1">
      <alignment horizontal="right" vertical="center"/>
    </xf>
    <xf numFmtId="4" fontId="18" fillId="0" borderId="4" xfId="15" applyNumberFormat="1" applyFont="1" applyFill="1" applyBorder="1" applyAlignment="1">
      <alignment horizontal="left" vertical="top"/>
    </xf>
    <xf numFmtId="0" fontId="15" fillId="0" borderId="0" xfId="15" applyFont="1" applyFill="1" applyAlignment="1">
      <alignment horizontal="left"/>
    </xf>
    <xf numFmtId="14" fontId="15" fillId="0" borderId="0" xfId="15" applyNumberFormat="1" applyFont="1" applyFill="1" applyAlignment="1">
      <alignment horizontal="left" vertical="top"/>
    </xf>
    <xf numFmtId="0" fontId="18" fillId="0" borderId="7" xfId="15" applyFont="1" applyFill="1" applyBorder="1" applyAlignment="1">
      <alignment horizontal="center" vertical="top"/>
    </xf>
    <xf numFmtId="0" fontId="18" fillId="0" borderId="0" xfId="15" applyNumberFormat="1" applyFont="1" applyFill="1" applyAlignment="1">
      <alignment horizontal="left"/>
    </xf>
    <xf numFmtId="0" fontId="19" fillId="0" borderId="8" xfId="15" applyNumberFormat="1" applyFont="1" applyFill="1" applyBorder="1" applyAlignment="1">
      <alignment horizontal="center" vertical="top"/>
    </xf>
    <xf numFmtId="0" fontId="19" fillId="0" borderId="5" xfId="15" applyFont="1" applyFill="1" applyBorder="1" applyAlignment="1">
      <alignment horizontal="center" vertical="top"/>
    </xf>
    <xf numFmtId="0" fontId="18" fillId="0" borderId="0" xfId="15" applyNumberFormat="1" applyFont="1" applyFill="1" applyBorder="1" applyAlignment="1">
      <alignment horizontal="left"/>
    </xf>
    <xf numFmtId="1" fontId="18" fillId="0" borderId="5" xfId="15" applyNumberFormat="1" applyFont="1" applyFill="1" applyBorder="1" applyAlignment="1">
      <alignment horizontal="center" vertical="top"/>
    </xf>
    <xf numFmtId="0" fontId="20" fillId="0" borderId="0" xfId="15" applyFont="1"/>
    <xf numFmtId="0" fontId="18" fillId="0" borderId="0" xfId="15" applyFont="1" applyAlignment="1">
      <alignment horizontal="left"/>
    </xf>
    <xf numFmtId="14" fontId="18" fillId="0" borderId="4" xfId="15" applyNumberFormat="1" applyFont="1" applyBorder="1" applyAlignment="1">
      <alignment horizontal="center" vertical="top"/>
    </xf>
    <xf numFmtId="0" fontId="18" fillId="0" borderId="4" xfId="15" applyFont="1" applyBorder="1" applyAlignment="1">
      <alignment horizontal="right" vertical="top"/>
    </xf>
    <xf numFmtId="4" fontId="18" fillId="0" borderId="4" xfId="15" applyNumberFormat="1" applyFont="1" applyBorder="1" applyAlignment="1">
      <alignment horizontal="right" vertical="top"/>
    </xf>
    <xf numFmtId="0" fontId="18" fillId="0" borderId="4" xfId="15" applyFont="1" applyBorder="1" applyAlignment="1">
      <alignment horizontal="left" vertical="top"/>
    </xf>
    <xf numFmtId="0" fontId="18" fillId="0" borderId="4" xfId="15" applyFont="1" applyBorder="1" applyAlignment="1">
      <alignment horizontal="center" vertical="top"/>
    </xf>
    <xf numFmtId="0" fontId="19" fillId="0" borderId="2" xfId="15" applyFont="1" applyFill="1" applyBorder="1" applyAlignment="1">
      <alignment horizontal="left" vertical="top"/>
    </xf>
    <xf numFmtId="0" fontId="2" fillId="0" borderId="0" xfId="15" applyFill="1"/>
    <xf numFmtId="0" fontId="31" fillId="0" borderId="0" xfId="0" applyFont="1" applyAlignment="1"/>
    <xf numFmtId="0" fontId="31" fillId="0" borderId="0" xfId="0" applyFont="1" applyFill="1" applyAlignment="1">
      <alignment horizontal="left" vertical="center"/>
    </xf>
    <xf numFmtId="0" fontId="18" fillId="3" borderId="4" xfId="15" applyNumberFormat="1" applyFont="1" applyFill="1" applyBorder="1" applyAlignment="1">
      <alignment horizontal="center" vertical="top"/>
    </xf>
    <xf numFmtId="49" fontId="18" fillId="0" borderId="4" xfId="15" applyNumberFormat="1" applyFont="1" applyFill="1" applyBorder="1" applyAlignment="1">
      <alignment horizontal="center" vertical="top"/>
    </xf>
    <xf numFmtId="0" fontId="18" fillId="0" borderId="7" xfId="15" applyNumberFormat="1" applyFont="1" applyFill="1" applyBorder="1" applyAlignment="1">
      <alignment horizontal="center" vertical="top"/>
    </xf>
    <xf numFmtId="0" fontId="18" fillId="0" borderId="5" xfId="15" applyFont="1" applyFill="1" applyBorder="1" applyAlignment="1">
      <alignment horizontal="center" vertical="center"/>
    </xf>
    <xf numFmtId="0" fontId="24" fillId="0" borderId="4" xfId="0" applyFont="1" applyFill="1" applyBorder="1" applyAlignment="1">
      <alignment horizontal="center" vertical="center"/>
    </xf>
    <xf numFmtId="0" fontId="18" fillId="0" borderId="4" xfId="0" applyFont="1" applyFill="1" applyBorder="1" applyAlignment="1">
      <alignment horizontal="center" vertical="top"/>
    </xf>
    <xf numFmtId="0" fontId="18" fillId="0" borderId="0" xfId="15" applyFont="1" applyFill="1" applyBorder="1" applyAlignment="1">
      <alignment horizontal="center" vertical="top"/>
    </xf>
    <xf numFmtId="0" fontId="18" fillId="0" borderId="5" xfId="0" applyFont="1" applyFill="1" applyBorder="1" applyAlignment="1">
      <alignment horizontal="center" vertical="top"/>
    </xf>
    <xf numFmtId="0" fontId="18" fillId="0" borderId="4" xfId="15" applyFont="1" applyBorder="1" applyAlignment="1">
      <alignment horizontal="center" vertical="center" wrapText="1"/>
    </xf>
    <xf numFmtId="14" fontId="18" fillId="0" borderId="5" xfId="15" applyNumberFormat="1" applyFont="1" applyFill="1" applyBorder="1" applyAlignment="1">
      <alignment horizontal="center" vertical="center"/>
    </xf>
    <xf numFmtId="0" fontId="18" fillId="0" borderId="5" xfId="15" applyNumberFormat="1" applyFont="1" applyFill="1" applyBorder="1" applyAlignment="1">
      <alignment horizontal="center" vertical="center"/>
    </xf>
    <xf numFmtId="0" fontId="28" fillId="4" borderId="0" xfId="0" applyFont="1" applyFill="1" applyAlignment="1">
      <alignment horizontal="center" vertical="center"/>
    </xf>
    <xf numFmtId="0" fontId="0" fillId="5" borderId="0" xfId="0" applyFill="1" applyAlignment="1">
      <alignment horizontal="center" vertical="center"/>
    </xf>
  </cellXfs>
  <cellStyles count="27">
    <cellStyle name="Chart" xfId="3" xr:uid="{00000000-0005-0000-0000-000000000000}"/>
    <cellStyle name="Indent" xfId="2" xr:uid="{00000000-0005-0000-0000-000002000000}"/>
    <cellStyle name="Moeda 2" xfId="20" xr:uid="{5A0126F7-FD01-4985-9AD0-D9618DF2EAC1}"/>
    <cellStyle name="Moeda 3" xfId="25" xr:uid="{B068C0D4-A65D-406C-BF3D-56350B902357}"/>
    <cellStyle name="Normal" xfId="0" builtinId="0" customBuiltin="1"/>
    <cellStyle name="Normal 2" xfId="4" xr:uid="{00000000-0005-0000-0000-000005000000}"/>
    <cellStyle name="Normal 2 2" xfId="7" xr:uid="{7FFA318E-5634-4F57-BBB4-0E780C40FBA5}"/>
    <cellStyle name="Normal 2 3" xfId="19" xr:uid="{0DA212FB-8802-4DB2-93AA-E32FC9EC84B9}"/>
    <cellStyle name="Normal 3" xfId="5" xr:uid="{8015C545-B5E2-484B-9D35-A7235B1CEB22}"/>
    <cellStyle name="Normal 4" xfId="8" xr:uid="{27643175-E2BD-461C-ACBB-1F2FE354B207}"/>
    <cellStyle name="Normal 4 2" xfId="15" xr:uid="{E55B395C-90A2-4F57-B8F7-1BC271F9CCE8}"/>
    <cellStyle name="Normal 5" xfId="9" xr:uid="{F4FAB47D-132C-4ED0-BE5B-31FD1BFBBCC6}"/>
    <cellStyle name="Normal 6" xfId="10" xr:uid="{552C7CB4-A55E-4884-B50C-A3A51F7F43EC}"/>
    <cellStyle name="Normal 7" xfId="12" xr:uid="{FE099B17-4359-4E33-96B7-532765B536B4}"/>
    <cellStyle name="Normal 8" xfId="22" xr:uid="{63383616-9C06-44A2-B09D-CAC7B7BD3045}"/>
    <cellStyle name="Porcentagem 2" xfId="6" xr:uid="{3808513E-18A1-421F-B686-5FE3383CE2F1}"/>
    <cellStyle name="Porcentagem 2 2" xfId="11" xr:uid="{67657B94-AA71-4947-BC55-C2E41A465E65}"/>
    <cellStyle name="Porcentagem 3" xfId="14" xr:uid="{80D4F3AF-229C-40A0-AEDF-0860765B6308}"/>
    <cellStyle name="Porcentagem 4" xfId="17" xr:uid="{BA385042-1656-46E2-8FE4-20A71C831C33}"/>
    <cellStyle name="Porcentagem 5" xfId="18" xr:uid="{EB8EC645-3EF1-48D5-A008-1D39863BDA23}"/>
    <cellStyle name="Porcentagem 6" xfId="23" xr:uid="{8E1E09A2-06E9-4F3F-AFA8-F665B54AD133}"/>
    <cellStyle name="Título 1" xfId="1" builtinId="16" customBuiltin="1"/>
    <cellStyle name="Título 1 2" xfId="21" xr:uid="{01DB7492-1ACD-4C1C-BCD2-EA25321B61FA}"/>
    <cellStyle name="Vírgula" xfId="26" builtinId="3"/>
    <cellStyle name="Vírgula 2" xfId="13" xr:uid="{E269D3C9-C06D-4A49-9701-FBE04E3BDE2D}"/>
    <cellStyle name="Vírgula 3" xfId="16" xr:uid="{C04A297F-4625-43C5-A713-1EEF7EE84DE3}"/>
    <cellStyle name="Vírgula 4" xfId="24" xr:uid="{1C81B409-3E67-4E13-9680-F9BF1569BB6D}"/>
  </cellStyles>
  <dxfs count="1865">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Light"/>
        <family val="2"/>
        <scheme val="none"/>
      </font>
      <numFmt numFmtId="19" formatCode="dd/mm/yyyy"/>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indent="0" justifyLastLine="0" shrinkToFit="0" readingOrder="0"/>
    </dxf>
    <dxf>
      <font>
        <b/>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wrapText="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alignment horizontal="center" textRotation="0" wrapText="0" indent="0" justifyLastLine="0" shrinkToFit="0" readingOrder="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righ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right" vertical="top" textRotation="0" wrapText="0" indent="0" justifyLastLine="0" shrinkToFit="0" readingOrder="0"/>
      <border diagonalUp="0" diagonalDown="0" outline="0">
        <left style="hair">
          <color theme="1"/>
        </left>
        <right style="hair">
          <color theme="1"/>
        </right>
        <top style="hair">
          <color theme="1"/>
        </top>
        <bottom/>
      </border>
      <protection locked="1" hidden="0"/>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dxf>
    <dxf>
      <font>
        <b val="0"/>
        <i val="0"/>
        <strike val="0"/>
        <condense val="0"/>
        <extend val="0"/>
        <outline val="0"/>
        <shadow val="0"/>
        <u val="none"/>
        <vertAlign val="baseline"/>
        <sz val="8"/>
        <color theme="1"/>
        <name val="Calibri Light"/>
        <family val="2"/>
        <scheme val="none"/>
      </font>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style="hair">
          <color theme="1"/>
        </bottom>
      </border>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dxf>
    <dxf>
      <font>
        <b val="0"/>
        <i val="0"/>
        <strike val="0"/>
        <condense val="0"/>
        <extend val="0"/>
        <outline val="0"/>
        <shadow val="0"/>
        <u val="none"/>
        <vertAlign val="baseline"/>
        <sz val="8"/>
        <color theme="1"/>
        <name val="Calibri Light"/>
        <family val="2"/>
        <scheme val="none"/>
      </font>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style="hair">
          <color theme="1"/>
        </bottom>
      </border>
    </dxf>
    <dxf>
      <font>
        <strike val="0"/>
        <outline val="0"/>
        <shadow val="0"/>
        <u val="none"/>
        <vertAlign val="baseline"/>
        <sz val="8"/>
        <name val="Calibri Light"/>
        <family val="2"/>
        <scheme val="none"/>
      </font>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border>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border>
    </dxf>
    <dxf>
      <font>
        <b val="0"/>
        <i val="0"/>
        <strike val="0"/>
        <condense val="0"/>
        <extend val="0"/>
        <outline val="0"/>
        <shadow val="0"/>
        <u val="none"/>
        <vertAlign val="baseline"/>
        <sz val="8"/>
        <color theme="1"/>
        <name val="Calibri Light"/>
        <family val="2"/>
        <scheme val="none"/>
      </font>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style="hair">
          <color theme="1"/>
        </bottom>
      </border>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border>
    </dxf>
    <dxf>
      <font>
        <b val="0"/>
        <i val="0"/>
        <strike val="0"/>
        <condense val="0"/>
        <extend val="0"/>
        <outline val="0"/>
        <shadow val="0"/>
        <u val="none"/>
        <vertAlign val="baseline"/>
        <sz val="8"/>
        <color theme="1"/>
        <name val="Calibri Light"/>
        <family val="2"/>
        <scheme val="none"/>
      </font>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style="hair">
          <color theme="1"/>
        </bottom>
      </border>
    </dxf>
    <dxf>
      <font>
        <b val="0"/>
        <i val="0"/>
        <strike val="0"/>
        <condense val="0"/>
        <extend val="0"/>
        <outline val="0"/>
        <shadow val="0"/>
        <u val="none"/>
        <vertAlign val="baseline"/>
        <sz val="8"/>
        <color theme="1"/>
        <name val="Calibri Light"/>
        <family val="2"/>
        <scheme val="none"/>
      </font>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border>
    </dxf>
    <dxf>
      <font>
        <b val="0"/>
        <i val="0"/>
        <strike val="0"/>
        <condense val="0"/>
        <extend val="0"/>
        <outline val="0"/>
        <shadow val="0"/>
        <u val="none"/>
        <vertAlign val="baseline"/>
        <sz val="8"/>
        <color theme="1"/>
        <name val="Calibri Light"/>
        <family val="2"/>
        <scheme val="none"/>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hair">
          <color theme="1"/>
        </left>
        <right style="hair">
          <color theme="1"/>
        </right>
        <top style="hair">
          <color theme="1"/>
        </top>
        <bottom/>
      </border>
    </dxf>
    <dxf>
      <font>
        <b val="0"/>
        <i val="0"/>
        <strike val="0"/>
        <condense val="0"/>
        <extend val="0"/>
        <outline val="0"/>
        <shadow val="0"/>
        <u val="none"/>
        <vertAlign val="baseline"/>
        <sz val="8"/>
        <color theme="1"/>
        <name val="Calibri Light"/>
        <family val="2"/>
        <scheme val="none"/>
      </font>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border>
    </dxf>
    <dxf>
      <font>
        <b val="0"/>
        <i val="0"/>
        <strike val="0"/>
        <condense val="0"/>
        <extend val="0"/>
        <outline val="0"/>
        <shadow val="0"/>
        <u val="none"/>
        <vertAlign val="baseline"/>
        <sz val="8"/>
        <color theme="1"/>
        <name val="Calibri Light"/>
        <family val="2"/>
        <scheme val="none"/>
      </font>
      <fill>
        <patternFill patternType="none">
          <fgColor indexed="64"/>
          <bgColor indexed="65"/>
        </patternFill>
      </fill>
      <alignment horizontal="center" vertical="top" textRotation="0" wrapText="0" indent="0" justifyLastLine="0" shrinkToFit="0" readingOrder="0"/>
      <border diagonalUp="0" diagonalDown="0" outline="0">
        <left style="hair">
          <color theme="1"/>
        </left>
        <right style="hair">
          <color theme="1"/>
        </right>
        <top style="hair">
          <color theme="1"/>
        </top>
        <bottom style="hair">
          <color theme="1"/>
        </bottom>
      </border>
    </dxf>
    <dxf>
      <border outline="0">
        <left style="hair">
          <color auto="1"/>
        </left>
        <top style="hair">
          <color auto="1"/>
        </top>
      </border>
    </dxf>
    <dxf>
      <font>
        <strike val="0"/>
        <outline val="0"/>
        <shadow val="0"/>
        <u val="none"/>
        <vertAlign val="baseline"/>
        <sz val="8"/>
        <color theme="1"/>
        <name val="Calibri Light"/>
        <family val="2"/>
        <scheme val="none"/>
      </font>
      <numFmt numFmtId="0" formatCode="General"/>
      <fill>
        <patternFill patternType="none">
          <fgColor indexed="64"/>
          <bgColor auto="1"/>
        </patternFill>
      </fill>
      <alignment horizontal="left" textRotation="0" wrapText="0" indent="0" justifyLastLine="0" shrinkToFit="0" readingOrder="0"/>
    </dxf>
    <dxf>
      <border outline="0">
        <bottom style="hair">
          <color indexed="64"/>
        </bottom>
      </border>
    </dxf>
    <dxf>
      <font>
        <b/>
        <i val="0"/>
        <strike val="0"/>
        <condense val="0"/>
        <extend val="0"/>
        <outline val="0"/>
        <shadow val="0"/>
        <u val="none"/>
        <vertAlign val="baseline"/>
        <sz val="8"/>
        <color theme="1"/>
        <name val="Calibri Light"/>
        <family val="2"/>
        <scheme val="none"/>
      </font>
      <numFmt numFmtId="0" formatCode="General"/>
      <fill>
        <patternFill patternType="none">
          <fgColor indexed="64"/>
          <bgColor auto="1"/>
        </patternFill>
      </fill>
      <alignment horizontal="center" vertical="top" textRotation="0" wrapText="0" indent="0" justifyLastLine="0" shrinkToFit="0" readingOrder="0"/>
      <border diagonalUp="0" diagonalDown="0" outline="0">
        <left style="hair">
          <color indexed="64"/>
        </left>
        <right style="hair">
          <color indexed="64"/>
        </right>
        <top/>
        <bottom/>
      </border>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rgb="FFF8FCFE"/>
        </patternFill>
      </fill>
    </dxf>
    <dxf>
      <font>
        <color theme="1"/>
      </font>
      <fill>
        <patternFill patternType="none">
          <bgColor auto="1"/>
        </patternFill>
      </fill>
    </dxf>
    <dxf>
      <font>
        <b/>
        <i val="0"/>
        <color theme="0"/>
      </font>
      <fill>
        <patternFill>
          <bgColor theme="5" tint="-0.24994659260841701"/>
        </patternFill>
      </fill>
      <border diagonalUp="0" diagonalDown="0">
        <left/>
        <right/>
        <top/>
        <bottom/>
        <vertical/>
        <horizontal/>
      </border>
    </dxf>
    <dxf>
      <border diagonalUp="0" diagonalDown="0">
        <left/>
        <right/>
        <top/>
        <bottom style="thin">
          <color theme="5" tint="-0.24994659260841701"/>
        </bottom>
        <vertical/>
        <horizontal style="thin">
          <color theme="0" tint="-0.14996795556505021"/>
        </horizontal>
      </border>
    </dxf>
    <dxf>
      <font>
        <color theme="3"/>
      </font>
      <fill>
        <patternFill>
          <bgColor theme="2"/>
        </patternFill>
      </fill>
    </dxf>
    <dxf>
      <font>
        <color theme="3"/>
      </font>
    </dxf>
    <dxf>
      <font>
        <color theme="0"/>
      </font>
      <fill>
        <patternFill patternType="solid">
          <fgColor theme="4"/>
          <bgColor theme="3"/>
        </patternFill>
      </fill>
      <border diagonalUp="0" diagonalDown="0">
        <left/>
        <right/>
        <top/>
        <bottom/>
        <vertical/>
        <horizontal/>
      </border>
    </dxf>
    <dxf>
      <font>
        <color theme="1"/>
      </font>
      <border diagonalUp="0" diagonalDown="0">
        <left/>
        <right/>
        <top/>
        <bottom/>
        <vertical style="thin">
          <color theme="3" tint="0.59996337778862885"/>
        </vertical>
        <horizontal/>
      </border>
    </dxf>
  </dxfs>
  <tableStyles count="2" defaultTableStyle="TableStyleMedium2" defaultPivotStyle="PivotStyleLight16">
    <tableStyle name="Project Timeline" pivot="0" count="4" xr9:uid="{00000000-0011-0000-FFFF-FFFF00000000}">
      <tableStyleElement type="wholeTable" dxfId="1864"/>
      <tableStyleElement type="headerRow" dxfId="1863"/>
      <tableStyleElement type="firstRowStripe" dxfId="1862"/>
      <tableStyleElement type="secondRowStripe" dxfId="1861"/>
    </tableStyle>
    <tableStyle name="Weekly Planner Tables" pivot="0" count="4" xr9:uid="{00000000-0011-0000-FFFF-FFFF01000000}">
      <tableStyleElement type="wholeTable" dxfId="1860"/>
      <tableStyleElement type="headerRow" dxfId="1859"/>
      <tableStyleElement type="firstColumn" dxfId="1858"/>
      <tableStyleElement type="firstRowStripe" dxfId="1857"/>
    </tableStyle>
  </tableStyles>
  <colors>
    <mruColors>
      <color rgb="FF1F88B7"/>
      <color rgb="FFFDFDFD"/>
      <color rgb="FFF9F9F9"/>
      <color rgb="FFF8FCFE"/>
      <color rgb="FFEBF6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uilherme.matyniak\Desktop\BKP\ORGANIZA&#199;&#195;O%20RELIGIOSA\Avalia&#231;&#245;es\02%20-%20Todos%20os%20im&#243;veis\C&#243;pia%20de%20Base%20im&#243;veis%20Oficial_Entrega%2028.02.2018_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namica"/>
      <sheetName val="Todos  Imóveis entrega 3006 (2)"/>
      <sheetName val="Todos  Imóveis Nova Numer."/>
      <sheetName val="Endereços"/>
      <sheetName val="Imóveis Operacionais"/>
      <sheetName val="Dickson"/>
      <sheetName val="Vendas"/>
      <sheetName val="Unidades Vacantes"/>
      <sheetName val="Locações Intercompany"/>
      <sheetName val="Imóveis Operacionais Colorido"/>
    </sheetNames>
    <sheetDataSet>
      <sheetData sheetId="0"/>
      <sheetData sheetId="1"/>
      <sheetData sheetId="2"/>
      <sheetData sheetId="3">
        <row r="1">
          <cell r="D1" t="str">
            <v>Planilha de Imóveis</v>
          </cell>
          <cell r="Q1"/>
        </row>
        <row r="2">
          <cell r="D2" t="str">
            <v>Data de emissão: 25/05/2018 - 17:16:04</v>
          </cell>
          <cell r="Q2"/>
        </row>
        <row r="3">
          <cell r="Q3"/>
        </row>
        <row r="4">
          <cell r="A4" t="str">
            <v>Matrícula</v>
          </cell>
          <cell r="B4"/>
          <cell r="C4" t="str">
            <v>Descrição</v>
          </cell>
          <cell r="D4" t="str">
            <v>Mantenedora</v>
          </cell>
          <cell r="E4" t="str">
            <v>Mantida</v>
          </cell>
          <cell r="F4" t="str">
            <v>Tipo de imóvel</v>
          </cell>
          <cell r="G4" t="str">
            <v>Classificação</v>
          </cell>
          <cell r="H4" t="str">
            <v>Desdobramento</v>
          </cell>
          <cell r="I4" t="str">
            <v>Núcleo</v>
          </cell>
          <cell r="J4" t="str">
            <v>Logradouro</v>
          </cell>
          <cell r="K4" t="str">
            <v>Número</v>
          </cell>
          <cell r="L4" t="str">
            <v>Complemento</v>
          </cell>
          <cell r="M4" t="str">
            <v>Bairro</v>
          </cell>
          <cell r="N4" t="str">
            <v>Município</v>
          </cell>
          <cell r="O4" t="str">
            <v>Estado</v>
          </cell>
          <cell r="P4" t="str">
            <v>País</v>
          </cell>
          <cell r="Q4"/>
        </row>
        <row r="5">
          <cell r="A5">
            <v>40452</v>
          </cell>
          <cell r="B5" t="str">
            <v>Rua Guarani, 4190Jardim Coopagro</v>
          </cell>
          <cell r="C5" t="str">
            <v>Câmpus Toledo</v>
          </cell>
          <cell r="D5" t="str">
            <v>ASSOCIAÇÃO PARANAENSE DE CULTURA - APC</v>
          </cell>
          <cell r="E5" t="str">
            <v>ASSOCIAÇÃO PARANAENSE DE CULTURA - APC</v>
          </cell>
          <cell r="F5" t="str">
            <v>Próprio</v>
          </cell>
          <cell r="G5" t="str">
            <v>Edificado - Operacional</v>
          </cell>
          <cell r="H5"/>
          <cell r="I5" t="str">
            <v>Imobiliário</v>
          </cell>
          <cell r="J5" t="str">
            <v>Rua Guarani, 4190</v>
          </cell>
          <cell r="K5">
            <v>0</v>
          </cell>
          <cell r="L5"/>
          <cell r="M5" t="str">
            <v>Jardim Coopagro</v>
          </cell>
          <cell r="N5" t="str">
            <v>Toledo</v>
          </cell>
          <cell r="O5" t="str">
            <v>Paraná</v>
          </cell>
          <cell r="P5" t="str">
            <v>Brasil</v>
          </cell>
          <cell r="Q5"/>
        </row>
        <row r="6">
          <cell r="A6">
            <v>40776</v>
          </cell>
          <cell r="B6" t="str">
            <v>Rua Guarani, 4190Jardim Coopagro</v>
          </cell>
          <cell r="C6" t="str">
            <v>Câmpus Toledo</v>
          </cell>
          <cell r="D6" t="str">
            <v>ASSOCIAÇÃO PARANAENSE DE CULTURA - APC</v>
          </cell>
          <cell r="E6" t="str">
            <v>ASSOCIAÇÃO PARANAENSE DE CULTURA - APC</v>
          </cell>
          <cell r="F6" t="str">
            <v>Próprio</v>
          </cell>
          <cell r="G6" t="str">
            <v>Edificado - Operacional</v>
          </cell>
          <cell r="H6"/>
          <cell r="I6" t="str">
            <v>Imobiliário</v>
          </cell>
          <cell r="J6" t="str">
            <v>Rua Guarani, 4190</v>
          </cell>
          <cell r="K6">
            <v>0</v>
          </cell>
          <cell r="L6"/>
          <cell r="M6" t="str">
            <v>Jardim Coopagro</v>
          </cell>
          <cell r="N6" t="str">
            <v>Toledo</v>
          </cell>
          <cell r="O6" t="str">
            <v>Paraná</v>
          </cell>
          <cell r="P6" t="str">
            <v>Brasil</v>
          </cell>
          <cell r="Q6"/>
        </row>
        <row r="7">
          <cell r="A7">
            <v>26006</v>
          </cell>
          <cell r="B7" t="str">
            <v>Rua da PapoulaLotes 01 / 02 / 03 - Quadra 72 - Planta Monte CasteloRoseira</v>
          </cell>
          <cell r="C7" t="str">
            <v>Rua da Papoula - 03 Lotes</v>
          </cell>
          <cell r="D7" t="str">
            <v>ASSOCIAÇÃO PARANAENSE DE CULTURA - APC</v>
          </cell>
          <cell r="E7" t="str">
            <v>ASSOCIAÇÃO PARANAENSE DE CULTURA - APC</v>
          </cell>
          <cell r="F7" t="str">
            <v>Próprio</v>
          </cell>
          <cell r="G7" t="str">
            <v>Lote / Terreno</v>
          </cell>
          <cell r="H7"/>
          <cell r="I7" t="str">
            <v>Imobiliário</v>
          </cell>
          <cell r="J7" t="str">
            <v>Rua da Papoula</v>
          </cell>
          <cell r="K7">
            <v>0</v>
          </cell>
          <cell r="L7" t="str">
            <v>Lotes 01 / 02 / 03 - Quadra 72 - Planta Monte Castelo</v>
          </cell>
          <cell r="M7" t="str">
            <v>Roseira</v>
          </cell>
          <cell r="N7" t="str">
            <v>Colombo</v>
          </cell>
          <cell r="O7" t="str">
            <v>Paraná</v>
          </cell>
          <cell r="P7" t="str">
            <v>Brasil</v>
          </cell>
          <cell r="Q7"/>
        </row>
        <row r="8">
          <cell r="A8">
            <v>26007</v>
          </cell>
          <cell r="B8" t="str">
            <v>Rua da PapoulaLotes 01 / 02 / 03 - Quadra 72 - Planta Monte CasteloRoseira</v>
          </cell>
          <cell r="C8" t="str">
            <v>Rua da Papoula - 03 Lotes</v>
          </cell>
          <cell r="D8" t="str">
            <v>ASSOCIAÇÃO PARANAENSE DE CULTURA - APC</v>
          </cell>
          <cell r="E8" t="str">
            <v>ASSOCIAÇÃO PARANAENSE DE CULTURA - APC</v>
          </cell>
          <cell r="F8" t="str">
            <v>Próprio</v>
          </cell>
          <cell r="G8" t="str">
            <v>Lote / Terreno</v>
          </cell>
          <cell r="H8"/>
          <cell r="I8" t="str">
            <v>Imobiliário</v>
          </cell>
          <cell r="J8" t="str">
            <v>Rua da Papoula</v>
          </cell>
          <cell r="K8">
            <v>0</v>
          </cell>
          <cell r="L8" t="str">
            <v>Lotes 01 / 02 / 03 - Quadra 72 - Planta Monte Castelo</v>
          </cell>
          <cell r="M8" t="str">
            <v>Roseira</v>
          </cell>
          <cell r="N8" t="str">
            <v>Colombo</v>
          </cell>
          <cell r="O8" t="str">
            <v>Paraná</v>
          </cell>
          <cell r="P8" t="str">
            <v>Brasil</v>
          </cell>
          <cell r="Q8"/>
        </row>
        <row r="9">
          <cell r="A9">
            <v>26008</v>
          </cell>
          <cell r="B9" t="str">
            <v>Rua da PapoulaLotes 01 / 02 / 03 - Quadra 72 - Planta Monte CasteloRoseira</v>
          </cell>
          <cell r="C9" t="str">
            <v>Rua da Papoula - 03 Lotes</v>
          </cell>
          <cell r="D9" t="str">
            <v>ASSOCIAÇÃO PARANAENSE DE CULTURA - APC</v>
          </cell>
          <cell r="E9" t="str">
            <v>ASSOCIAÇÃO PARANAENSE DE CULTURA - APC</v>
          </cell>
          <cell r="F9" t="str">
            <v>Próprio</v>
          </cell>
          <cell r="G9" t="str">
            <v>Lote / Terreno</v>
          </cell>
          <cell r="H9"/>
          <cell r="I9" t="str">
            <v>Imobiliário</v>
          </cell>
          <cell r="J9" t="str">
            <v>Rua da Papoula</v>
          </cell>
          <cell r="K9">
            <v>0</v>
          </cell>
          <cell r="L9" t="str">
            <v>Lotes 01 / 02 / 03 - Quadra 72 - Planta Monte Castelo</v>
          </cell>
          <cell r="M9" t="str">
            <v>Roseira</v>
          </cell>
          <cell r="N9" t="str">
            <v>Colombo</v>
          </cell>
          <cell r="O9" t="str">
            <v>Paraná</v>
          </cell>
          <cell r="P9" t="str">
            <v>Brasil</v>
          </cell>
          <cell r="Q9"/>
        </row>
        <row r="10">
          <cell r="A10">
            <v>40754</v>
          </cell>
          <cell r="B10" t="str">
            <v>Rua Índia, S/N (Ref. AFPUC - Rua África, nº 89)Balneário Albatroz</v>
          </cell>
          <cell r="C10" t="str">
            <v>AFPUC - Associação dos Funcionários - Matinhos</v>
          </cell>
          <cell r="D10" t="str">
            <v>ASSOCIAÇÃO PARANAENSE DE CULTURA - APC</v>
          </cell>
          <cell r="E10" t="str">
            <v>ASSOCIAÇÃO PARANAENSE DE CULTURA - APC</v>
          </cell>
          <cell r="F10" t="str">
            <v>Próprio</v>
          </cell>
          <cell r="G10" t="str">
            <v>Lote / Terreno</v>
          </cell>
          <cell r="H10"/>
          <cell r="I10" t="str">
            <v>Imobiliário</v>
          </cell>
          <cell r="J10" t="str">
            <v>Rua Índia, S/N (Ref. AFPUC - Rua África, nº 89)</v>
          </cell>
          <cell r="K10">
            <v>0</v>
          </cell>
          <cell r="L10"/>
          <cell r="M10" t="str">
            <v>Balneário Albatroz</v>
          </cell>
          <cell r="N10" t="str">
            <v>Matinhos</v>
          </cell>
          <cell r="O10" t="str">
            <v>Paraná</v>
          </cell>
          <cell r="P10" t="str">
            <v>Brasil</v>
          </cell>
          <cell r="Q10"/>
        </row>
        <row r="11">
          <cell r="A11">
            <v>40755</v>
          </cell>
          <cell r="B11" t="str">
            <v>Rua Índia, S/N (Ref. AFPUC - Rua África, nº 89)Balneário Albatroz</v>
          </cell>
          <cell r="C11" t="str">
            <v>AFPUC - Associação dos Funcionários - Matinhos</v>
          </cell>
          <cell r="D11" t="str">
            <v>ASSOCIAÇÃO PARANAENSE DE CULTURA - APC</v>
          </cell>
          <cell r="E11" t="str">
            <v>ASSOCIAÇÃO PARANAENSE DE CULTURA - APC</v>
          </cell>
          <cell r="F11" t="str">
            <v>Próprio</v>
          </cell>
          <cell r="G11" t="str">
            <v>Lote / Terreno</v>
          </cell>
          <cell r="H11"/>
          <cell r="I11" t="str">
            <v>Imobiliário</v>
          </cell>
          <cell r="J11" t="str">
            <v>Rua Índia, S/N (Ref. AFPUC - Rua África, nº 89)</v>
          </cell>
          <cell r="K11">
            <v>0</v>
          </cell>
          <cell r="L11"/>
          <cell r="M11" t="str">
            <v>Balneário Albatroz</v>
          </cell>
          <cell r="N11" t="str">
            <v>Matinhos</v>
          </cell>
          <cell r="O11" t="str">
            <v>Paraná</v>
          </cell>
          <cell r="P11" t="str">
            <v>Brasil</v>
          </cell>
          <cell r="Q11"/>
        </row>
        <row r="12">
          <cell r="A12">
            <v>40756</v>
          </cell>
          <cell r="B12" t="str">
            <v>Rua Índia, S/N (Ref. AFPUC - Rua África, nº 89)Balneário Albatroz</v>
          </cell>
          <cell r="C12" t="str">
            <v>AFPUC - Associação dos Funcionários - Matinhos</v>
          </cell>
          <cell r="D12" t="str">
            <v>ASSOCIAÇÃO PARANAENSE DE CULTURA - APC</v>
          </cell>
          <cell r="E12" t="str">
            <v>ASSOCIAÇÃO PARANAENSE DE CULTURA - APC</v>
          </cell>
          <cell r="F12" t="str">
            <v>Próprio</v>
          </cell>
          <cell r="G12" t="str">
            <v>Lote / Terreno</v>
          </cell>
          <cell r="H12"/>
          <cell r="I12" t="str">
            <v>Imobiliário</v>
          </cell>
          <cell r="J12" t="str">
            <v>Rua Índia, S/N (Ref. AFPUC - Rua África, nº 89)</v>
          </cell>
          <cell r="K12">
            <v>0</v>
          </cell>
          <cell r="L12"/>
          <cell r="M12" t="str">
            <v>Balneário Albatroz</v>
          </cell>
          <cell r="N12" t="str">
            <v>Matinhos</v>
          </cell>
          <cell r="O12" t="str">
            <v>Paraná</v>
          </cell>
          <cell r="P12" t="str">
            <v>Brasil</v>
          </cell>
          <cell r="Q12"/>
        </row>
        <row r="13">
          <cell r="A13">
            <v>40757</v>
          </cell>
          <cell r="B13" t="str">
            <v>Rua Índia, S/N (Ref. AFPUC - Rua África, nº 89)Balneário Albatroz</v>
          </cell>
          <cell r="C13" t="str">
            <v>AFPUC - Associação dos Funcionários - Matinhos</v>
          </cell>
          <cell r="D13" t="str">
            <v>ASSOCIAÇÃO PARANAENSE DE CULTURA - APC</v>
          </cell>
          <cell r="E13" t="str">
            <v>ASSOCIAÇÃO PARANAENSE DE CULTURA - APC</v>
          </cell>
          <cell r="F13" t="str">
            <v>Próprio</v>
          </cell>
          <cell r="G13" t="str">
            <v>Lote / Terreno</v>
          </cell>
          <cell r="H13"/>
          <cell r="I13" t="str">
            <v>Imobiliário</v>
          </cell>
          <cell r="J13" t="str">
            <v>Rua Índia, S/N (Ref. AFPUC - Rua África, nº 89)</v>
          </cell>
          <cell r="K13">
            <v>0</v>
          </cell>
          <cell r="L13"/>
          <cell r="M13" t="str">
            <v>Balneário Albatroz</v>
          </cell>
          <cell r="N13" t="str">
            <v>Matinhos</v>
          </cell>
          <cell r="O13" t="str">
            <v>Paraná</v>
          </cell>
          <cell r="P13" t="str">
            <v>Brasil</v>
          </cell>
          <cell r="Q13"/>
        </row>
        <row r="14">
          <cell r="A14">
            <v>70940</v>
          </cell>
          <cell r="B14" t="str">
            <v>Rua Antônio Zaramela, 200Zaniolo</v>
          </cell>
          <cell r="C14" t="str">
            <v>Chácara Zaniollo - Parceria RBDU</v>
          </cell>
          <cell r="D14" t="str">
            <v>ASSOCIAÇÃO PARANAENSE DE CULTURA - APC</v>
          </cell>
          <cell r="E14" t="str">
            <v>ASSOCIAÇÃO PARANAENSE DE CULTURA - APC</v>
          </cell>
          <cell r="F14" t="str">
            <v>Próprio</v>
          </cell>
          <cell r="G14" t="str">
            <v>Chácara/Recanto/Fazenda</v>
          </cell>
          <cell r="H14"/>
          <cell r="I14" t="str">
            <v>Imobiliário</v>
          </cell>
          <cell r="J14" t="str">
            <v>Rua Antônio Zaramela, 200</v>
          </cell>
          <cell r="K14">
            <v>0</v>
          </cell>
          <cell r="L14"/>
          <cell r="M14" t="str">
            <v>Zaniolo</v>
          </cell>
          <cell r="N14" t="str">
            <v>São José dos Pinhais</v>
          </cell>
          <cell r="O14" t="str">
            <v>Paraná</v>
          </cell>
          <cell r="P14" t="str">
            <v>Brasil</v>
          </cell>
          <cell r="Q14"/>
        </row>
        <row r="15">
          <cell r="A15">
            <v>71808</v>
          </cell>
          <cell r="B15" t="str">
            <v>Rua Antônio Zaramela, 200Zaniolo</v>
          </cell>
          <cell r="C15" t="str">
            <v>Chácara Zaniollo - Parceria RBDU</v>
          </cell>
          <cell r="D15" t="str">
            <v>ASSOCIAÇÃO PARANAENSE DE CULTURA - APC</v>
          </cell>
          <cell r="E15" t="str">
            <v>ASSOCIAÇÃO PARANAENSE DE CULTURA - APC</v>
          </cell>
          <cell r="F15" t="str">
            <v>Próprio</v>
          </cell>
          <cell r="G15" t="str">
            <v>Chácara/Recanto/Fazenda</v>
          </cell>
          <cell r="H15"/>
          <cell r="I15" t="str">
            <v>Imobiliário</v>
          </cell>
          <cell r="J15" t="str">
            <v>Rua Antônio Zaramela, 200</v>
          </cell>
          <cell r="K15">
            <v>0</v>
          </cell>
          <cell r="L15"/>
          <cell r="M15" t="str">
            <v>Zaniolo</v>
          </cell>
          <cell r="N15" t="str">
            <v>São José dos Pinhais</v>
          </cell>
          <cell r="O15" t="str">
            <v>Paraná</v>
          </cell>
          <cell r="P15" t="str">
            <v>Brasil</v>
          </cell>
          <cell r="Q15"/>
        </row>
        <row r="16">
          <cell r="A16">
            <v>55045</v>
          </cell>
          <cell r="B16" t="str">
            <v>Rua Antônio Zaramela, 200Zaniolo</v>
          </cell>
          <cell r="C16" t="str">
            <v>Chácara Zaniollo - Parceria RBDU</v>
          </cell>
          <cell r="D16" t="str">
            <v>ASSOCIAÇÃO PARANAENSE DE CULTURA - APC</v>
          </cell>
          <cell r="E16" t="str">
            <v>ASSOCIAÇÃO PARANAENSE DE CULTURA - APC</v>
          </cell>
          <cell r="F16" t="str">
            <v>Próprio</v>
          </cell>
          <cell r="G16" t="str">
            <v>Chácara/Recanto/Fazenda</v>
          </cell>
          <cell r="H16"/>
          <cell r="I16" t="str">
            <v>Imobiliário</v>
          </cell>
          <cell r="J16" t="str">
            <v>Rua Antônio Zaramela, 200</v>
          </cell>
          <cell r="K16">
            <v>0</v>
          </cell>
          <cell r="L16"/>
          <cell r="M16" t="str">
            <v>Zaniolo</v>
          </cell>
          <cell r="N16" t="str">
            <v>São José dos Pinhais</v>
          </cell>
          <cell r="O16" t="str">
            <v>Paraná</v>
          </cell>
          <cell r="P16" t="str">
            <v>Brasil</v>
          </cell>
          <cell r="Q16"/>
        </row>
        <row r="17">
          <cell r="A17">
            <v>60830</v>
          </cell>
          <cell r="B17" t="str">
            <v>Rua Antônio Zaramela, 200Zaniolo</v>
          </cell>
          <cell r="C17" t="str">
            <v>Chácara Zaniollo - Parceria RBDU</v>
          </cell>
          <cell r="D17" t="str">
            <v>ASSOCIAÇÃO PARANAENSE DE CULTURA - APC</v>
          </cell>
          <cell r="E17" t="str">
            <v>ASSOCIAÇÃO PARANAENSE DE CULTURA - APC</v>
          </cell>
          <cell r="F17" t="str">
            <v>Próprio</v>
          </cell>
          <cell r="G17" t="str">
            <v>Chácara/Recanto/Fazenda</v>
          </cell>
          <cell r="H17"/>
          <cell r="I17" t="str">
            <v>Imobiliário</v>
          </cell>
          <cell r="J17" t="str">
            <v>Rua Antônio Zaramela, 200</v>
          </cell>
          <cell r="K17">
            <v>0</v>
          </cell>
          <cell r="L17"/>
          <cell r="M17" t="str">
            <v>Zaniolo</v>
          </cell>
          <cell r="N17" t="str">
            <v>São José dos Pinhais</v>
          </cell>
          <cell r="O17" t="str">
            <v>Paraná</v>
          </cell>
          <cell r="P17" t="str">
            <v>Brasil</v>
          </cell>
          <cell r="Q17"/>
        </row>
        <row r="18">
          <cell r="A18">
            <v>71807</v>
          </cell>
          <cell r="B18" t="str">
            <v>Rua Antônio Zaramela, 200Zaniolo</v>
          </cell>
          <cell r="C18" t="str">
            <v>Chácara Zaniollo - Parceria RBDU</v>
          </cell>
          <cell r="D18" t="str">
            <v>ASSOCIAÇÃO PARANAENSE DE CULTURA - APC</v>
          </cell>
          <cell r="E18" t="str">
            <v>ASSOCIAÇÃO PARANAENSE DE CULTURA - APC</v>
          </cell>
          <cell r="F18" t="str">
            <v>Próprio</v>
          </cell>
          <cell r="G18" t="str">
            <v>Chácara/Recanto/Fazenda</v>
          </cell>
          <cell r="H18"/>
          <cell r="I18" t="str">
            <v>Imobiliário</v>
          </cell>
          <cell r="J18" t="str">
            <v>Rua Antônio Zaramela, 200</v>
          </cell>
          <cell r="K18">
            <v>0</v>
          </cell>
          <cell r="L18"/>
          <cell r="M18" t="str">
            <v>Zaniolo</v>
          </cell>
          <cell r="N18" t="str">
            <v>São José dos Pinhais</v>
          </cell>
          <cell r="O18" t="str">
            <v>Paraná</v>
          </cell>
          <cell r="P18" t="str">
            <v>Brasil</v>
          </cell>
          <cell r="Q18"/>
        </row>
        <row r="19">
          <cell r="A19">
            <v>645</v>
          </cell>
          <cell r="B19" t="str">
            <v>Rua Fazenda Iguaçú, s/nProlongamento da Avenida VenezuelaCapocu</v>
          </cell>
          <cell r="C19" t="str">
            <v>Fazenda Experimental Gralha Azul - ABEC</v>
          </cell>
          <cell r="D19" t="str">
            <v>ASSOCIAÇÃO BRASILEIRA DE EDUCAÇÃO E CULTURA - ABEC</v>
          </cell>
          <cell r="E19" t="str">
            <v>ASSOCIAÇÃO BRASILEIRA DE EDUCAÇÃO E CULTURA - ABEC</v>
          </cell>
          <cell r="F19" t="str">
            <v>Próprio</v>
          </cell>
          <cell r="G19" t="str">
            <v>Chácara/Recanto/Fazenda</v>
          </cell>
          <cell r="H19"/>
          <cell r="I19" t="str">
            <v>Imobiliário</v>
          </cell>
          <cell r="J19" t="str">
            <v>Rua Fazenda Iguaçú, s/n</v>
          </cell>
          <cell r="K19">
            <v>0</v>
          </cell>
          <cell r="L19" t="str">
            <v>Prolongamento da Avenida Venezuela</v>
          </cell>
          <cell r="M19" t="str">
            <v>Capocu</v>
          </cell>
          <cell r="N19" t="str">
            <v>Fazenda Rio Grande</v>
          </cell>
          <cell r="O19" t="str">
            <v>Paraná</v>
          </cell>
          <cell r="P19" t="str">
            <v>Brasil</v>
          </cell>
          <cell r="Q19"/>
        </row>
        <row r="20">
          <cell r="A20">
            <v>646</v>
          </cell>
          <cell r="B20" t="str">
            <v>Rua Fazenda Iguaçú, s/nProlongamento da Avenida VenezuelaCapocu</v>
          </cell>
          <cell r="C20" t="str">
            <v>Fazenda Experimental Gralha Azul - ABEC</v>
          </cell>
          <cell r="D20" t="str">
            <v>ASSOCIAÇÃO BRASILEIRA DE EDUCAÇÃO E CULTURA - ABEC</v>
          </cell>
          <cell r="E20" t="str">
            <v>ASSOCIAÇÃO BRASILEIRA DE EDUCAÇÃO E CULTURA - ABEC</v>
          </cell>
          <cell r="F20" t="str">
            <v>Próprio</v>
          </cell>
          <cell r="G20" t="str">
            <v>Chácara/Recanto/Fazenda</v>
          </cell>
          <cell r="H20"/>
          <cell r="I20" t="str">
            <v>Imobiliário</v>
          </cell>
          <cell r="J20" t="str">
            <v>Rua Fazenda Iguaçú, s/n</v>
          </cell>
          <cell r="K20">
            <v>0</v>
          </cell>
          <cell r="L20" t="str">
            <v>Prolongamento da Avenida Venezuela</v>
          </cell>
          <cell r="M20" t="str">
            <v>Capocu</v>
          </cell>
          <cell r="N20" t="str">
            <v>Fazenda Rio Grande</v>
          </cell>
          <cell r="O20" t="str">
            <v>Paraná</v>
          </cell>
          <cell r="P20" t="str">
            <v>Brasil</v>
          </cell>
          <cell r="Q20"/>
        </row>
        <row r="21">
          <cell r="A21">
            <v>48499</v>
          </cell>
          <cell r="B21" t="str">
            <v>Rua Fazenda Iguaçú, s/nProlongamento da Avenida VenezuelaCapocu</v>
          </cell>
          <cell r="C21" t="str">
            <v>Fazenda Experimental Gralha Azul - ABEC</v>
          </cell>
          <cell r="D21" t="str">
            <v>ASSOCIAÇÃO BRASILEIRA DE EDUCAÇÃO E CULTURA - ABEC</v>
          </cell>
          <cell r="E21" t="str">
            <v>ASSOCIAÇÃO BRASILEIRA DE EDUCAÇÃO E CULTURA - ABEC</v>
          </cell>
          <cell r="F21" t="str">
            <v>Próprio</v>
          </cell>
          <cell r="G21" t="str">
            <v>Chácara/Recanto/Fazenda</v>
          </cell>
          <cell r="H21"/>
          <cell r="I21" t="str">
            <v>Imobiliário</v>
          </cell>
          <cell r="J21" t="str">
            <v>Rua Fazenda Iguaçú, s/n</v>
          </cell>
          <cell r="K21">
            <v>0</v>
          </cell>
          <cell r="L21" t="str">
            <v>Prolongamento da Avenida Venezuela</v>
          </cell>
          <cell r="M21" t="str">
            <v>Capocu</v>
          </cell>
          <cell r="N21" t="str">
            <v>Fazenda Rio Grande</v>
          </cell>
          <cell r="O21" t="str">
            <v>Paraná</v>
          </cell>
          <cell r="P21" t="str">
            <v>Brasil</v>
          </cell>
          <cell r="Q21"/>
        </row>
        <row r="22">
          <cell r="A22">
            <v>5255</v>
          </cell>
          <cell r="B22" t="str">
            <v>Rua Fazenda Iguaçú, s/nProlongamento da Avenida VenezuelaCapocu</v>
          </cell>
          <cell r="C22" t="str">
            <v>Fazenda Experimental Gralha Azul - ABEC</v>
          </cell>
          <cell r="D22" t="str">
            <v>ASSOCIAÇÃO BRASILEIRA DE EDUCAÇÃO E CULTURA - ABEC</v>
          </cell>
          <cell r="E22" t="str">
            <v>ASSOCIAÇÃO BRASILEIRA DE EDUCAÇÃO E CULTURA - ABEC</v>
          </cell>
          <cell r="F22" t="str">
            <v>Próprio</v>
          </cell>
          <cell r="G22" t="str">
            <v>Chácara/Recanto/Fazenda</v>
          </cell>
          <cell r="H22"/>
          <cell r="I22" t="str">
            <v>Imobiliário</v>
          </cell>
          <cell r="J22" t="str">
            <v>Rua Fazenda Iguaçú, s/n</v>
          </cell>
          <cell r="K22">
            <v>0</v>
          </cell>
          <cell r="L22" t="str">
            <v>Prolongamento da Avenida Venezuela</v>
          </cell>
          <cell r="M22" t="str">
            <v>Capocu</v>
          </cell>
          <cell r="N22" t="str">
            <v>Fazenda Rio Grande</v>
          </cell>
          <cell r="O22" t="str">
            <v>Paraná</v>
          </cell>
          <cell r="P22" t="str">
            <v>Brasil</v>
          </cell>
          <cell r="Q22"/>
        </row>
        <row r="23">
          <cell r="A23">
            <v>5256</v>
          </cell>
          <cell r="B23" t="str">
            <v>Rua Fazenda Iguaçú, s/nProlongamento da Avenida VenezuelaCapocu</v>
          </cell>
          <cell r="C23" t="str">
            <v>Fazenda Experimental Gralha Azul - ABEC</v>
          </cell>
          <cell r="D23" t="str">
            <v>ASSOCIAÇÃO BRASILEIRA DE EDUCAÇÃO E CULTURA - ABEC</v>
          </cell>
          <cell r="E23" t="str">
            <v>ASSOCIAÇÃO BRASILEIRA DE EDUCAÇÃO E CULTURA - ABEC</v>
          </cell>
          <cell r="F23" t="str">
            <v>Próprio</v>
          </cell>
          <cell r="G23" t="str">
            <v>Chácara/Recanto/Fazenda</v>
          </cell>
          <cell r="H23"/>
          <cell r="I23" t="str">
            <v>Imobiliário</v>
          </cell>
          <cell r="J23" t="str">
            <v>Rua Fazenda Iguaçú, s/n</v>
          </cell>
          <cell r="K23">
            <v>0</v>
          </cell>
          <cell r="L23" t="str">
            <v>Prolongamento da Avenida Venezuela</v>
          </cell>
          <cell r="M23" t="str">
            <v>Capocu</v>
          </cell>
          <cell r="N23" t="str">
            <v>Fazenda Rio Grande</v>
          </cell>
          <cell r="O23" t="str">
            <v>Paraná</v>
          </cell>
          <cell r="P23" t="str">
            <v>Brasil</v>
          </cell>
          <cell r="Q23"/>
        </row>
        <row r="24">
          <cell r="A24">
            <v>6142</v>
          </cell>
          <cell r="B24" t="str">
            <v>Rua Fazenda Iguaçú, s/nProlongamento da Avenida VenezuelaCapocu</v>
          </cell>
          <cell r="C24" t="str">
            <v>Fazenda Experimental Gralha Azul - ABEC</v>
          </cell>
          <cell r="D24" t="str">
            <v>ASSOCIAÇÃO BRASILEIRA DE EDUCAÇÃO E CULTURA - ABEC</v>
          </cell>
          <cell r="E24" t="str">
            <v>ASSOCIAÇÃO BRASILEIRA DE EDUCAÇÃO E CULTURA - ABEC</v>
          </cell>
          <cell r="F24" t="str">
            <v>Próprio</v>
          </cell>
          <cell r="G24" t="str">
            <v>Chácara/Recanto/Fazenda</v>
          </cell>
          <cell r="H24"/>
          <cell r="I24" t="str">
            <v>Imobiliário</v>
          </cell>
          <cell r="J24" t="str">
            <v>Rua Fazenda Iguaçú, s/n</v>
          </cell>
          <cell r="K24">
            <v>0</v>
          </cell>
          <cell r="L24" t="str">
            <v>Prolongamento da Avenida Venezuela</v>
          </cell>
          <cell r="M24" t="str">
            <v>Capocu</v>
          </cell>
          <cell r="N24" t="str">
            <v>Fazenda Rio Grande</v>
          </cell>
          <cell r="O24" t="str">
            <v>Paraná</v>
          </cell>
          <cell r="P24" t="str">
            <v>Brasil</v>
          </cell>
          <cell r="Q24"/>
        </row>
        <row r="25">
          <cell r="A25">
            <v>6221</v>
          </cell>
          <cell r="B25" t="str">
            <v>Rua Fazenda Iguaçú, s/nProlongamento da Avenida VenezuelaCapocu</v>
          </cell>
          <cell r="C25" t="str">
            <v>Fazenda Experimental Gralha Azul - ABEC</v>
          </cell>
          <cell r="D25" t="str">
            <v>ASSOCIAÇÃO BRASILEIRA DE EDUCAÇÃO E CULTURA - ABEC</v>
          </cell>
          <cell r="E25" t="str">
            <v>ASSOCIAÇÃO BRASILEIRA DE EDUCAÇÃO E CULTURA - ABEC</v>
          </cell>
          <cell r="F25" t="str">
            <v>Próprio</v>
          </cell>
          <cell r="G25" t="str">
            <v>Chácara/Recanto/Fazenda</v>
          </cell>
          <cell r="H25"/>
          <cell r="I25" t="str">
            <v>Imobiliário</v>
          </cell>
          <cell r="J25" t="str">
            <v>Rua Fazenda Iguaçú, s/n</v>
          </cell>
          <cell r="K25">
            <v>0</v>
          </cell>
          <cell r="L25" t="str">
            <v>Prolongamento da Avenida Venezuela</v>
          </cell>
          <cell r="M25" t="str">
            <v>Capocu</v>
          </cell>
          <cell r="N25" t="str">
            <v>Fazenda Rio Grande</v>
          </cell>
          <cell r="O25" t="str">
            <v>Paraná</v>
          </cell>
          <cell r="P25" t="str">
            <v>Brasil</v>
          </cell>
          <cell r="Q25"/>
        </row>
        <row r="26">
          <cell r="A26">
            <v>6222</v>
          </cell>
          <cell r="B26" t="str">
            <v>Rua Fazenda Iguaçú, s/nProlongamento da Avenida VenezuelaCapocu</v>
          </cell>
          <cell r="C26" t="str">
            <v>Fazenda Experimental Gralha Azul - ABEC</v>
          </cell>
          <cell r="D26" t="str">
            <v>ASSOCIAÇÃO BRASILEIRA DE EDUCAÇÃO E CULTURA - ABEC</v>
          </cell>
          <cell r="E26" t="str">
            <v>ASSOCIAÇÃO BRASILEIRA DE EDUCAÇÃO E CULTURA - ABEC</v>
          </cell>
          <cell r="F26" t="str">
            <v>Próprio</v>
          </cell>
          <cell r="G26" t="str">
            <v>Chácara/Recanto/Fazenda</v>
          </cell>
          <cell r="H26"/>
          <cell r="I26" t="str">
            <v>Imobiliário</v>
          </cell>
          <cell r="J26" t="str">
            <v>Rua Fazenda Iguaçú, s/n</v>
          </cell>
          <cell r="K26">
            <v>0</v>
          </cell>
          <cell r="L26" t="str">
            <v>Prolongamento da Avenida Venezuela</v>
          </cell>
          <cell r="M26" t="str">
            <v>Capocu</v>
          </cell>
          <cell r="N26" t="str">
            <v>Fazenda Rio Grande</v>
          </cell>
          <cell r="O26" t="str">
            <v>Paraná</v>
          </cell>
          <cell r="P26" t="str">
            <v>Brasil</v>
          </cell>
          <cell r="Q26"/>
        </row>
        <row r="27">
          <cell r="A27">
            <v>6687</v>
          </cell>
          <cell r="B27" t="str">
            <v>Rua Fazenda Iguaçú, s/nProlongamento da Avenida VenezuelaCapocu</v>
          </cell>
          <cell r="C27" t="str">
            <v>Fazenda Experimental Gralha Azul - ABEC</v>
          </cell>
          <cell r="D27" t="str">
            <v>ASSOCIAÇÃO BRASILEIRA DE EDUCAÇÃO E CULTURA - ABEC</v>
          </cell>
          <cell r="E27" t="str">
            <v>ASSOCIAÇÃO BRASILEIRA DE EDUCAÇÃO E CULTURA - ABEC</v>
          </cell>
          <cell r="F27" t="str">
            <v>Próprio</v>
          </cell>
          <cell r="G27" t="str">
            <v>Chácara/Recanto/Fazenda</v>
          </cell>
          <cell r="H27"/>
          <cell r="I27" t="str">
            <v>Imobiliário</v>
          </cell>
          <cell r="J27" t="str">
            <v>Rua Fazenda Iguaçú, s/n</v>
          </cell>
          <cell r="K27">
            <v>0</v>
          </cell>
          <cell r="L27" t="str">
            <v>Prolongamento da Avenida Venezuela</v>
          </cell>
          <cell r="M27" t="str">
            <v>Capocu</v>
          </cell>
          <cell r="N27" t="str">
            <v>Fazenda Rio Grande</v>
          </cell>
          <cell r="O27" t="str">
            <v>Paraná</v>
          </cell>
          <cell r="P27" t="str">
            <v>Brasil</v>
          </cell>
          <cell r="Q27"/>
        </row>
        <row r="28">
          <cell r="A28">
            <v>6688</v>
          </cell>
          <cell r="B28" t="str">
            <v>Rua Fazenda Iguaçú, s/nProlongamento da Avenida VenezuelaCapocu</v>
          </cell>
          <cell r="C28" t="str">
            <v>Fazenda Experimental Gralha Azul - ABEC</v>
          </cell>
          <cell r="D28" t="str">
            <v>ASSOCIAÇÃO BRASILEIRA DE EDUCAÇÃO E CULTURA - ABEC</v>
          </cell>
          <cell r="E28" t="str">
            <v>ASSOCIAÇÃO BRASILEIRA DE EDUCAÇÃO E CULTURA - ABEC</v>
          </cell>
          <cell r="F28" t="str">
            <v>Próprio</v>
          </cell>
          <cell r="G28" t="str">
            <v>Chácara/Recanto/Fazenda</v>
          </cell>
          <cell r="H28"/>
          <cell r="I28" t="str">
            <v>Imobiliário</v>
          </cell>
          <cell r="J28" t="str">
            <v>Rua Fazenda Iguaçú, s/n</v>
          </cell>
          <cell r="K28">
            <v>0</v>
          </cell>
          <cell r="L28" t="str">
            <v>Prolongamento da Avenida Venezuela</v>
          </cell>
          <cell r="M28" t="str">
            <v>Capocu</v>
          </cell>
          <cell r="N28" t="str">
            <v>Fazenda Rio Grande</v>
          </cell>
          <cell r="O28" t="str">
            <v>Paraná</v>
          </cell>
          <cell r="P28" t="str">
            <v>Brasil</v>
          </cell>
          <cell r="Q28"/>
        </row>
        <row r="29">
          <cell r="A29">
            <v>6689</v>
          </cell>
          <cell r="B29" t="str">
            <v>Rua Fazenda Iguaçú, s/nProlongamento da Avenida VenezuelaCapocu</v>
          </cell>
          <cell r="C29" t="str">
            <v>Fazenda Experimental Gralha Azul - ABEC</v>
          </cell>
          <cell r="D29" t="str">
            <v>ASSOCIAÇÃO BRASILEIRA DE EDUCAÇÃO E CULTURA - ABEC</v>
          </cell>
          <cell r="E29" t="str">
            <v>ASSOCIAÇÃO BRASILEIRA DE EDUCAÇÃO E CULTURA - ABEC</v>
          </cell>
          <cell r="F29" t="str">
            <v>Próprio</v>
          </cell>
          <cell r="G29" t="str">
            <v>Chácara/Recanto/Fazenda</v>
          </cell>
          <cell r="H29"/>
          <cell r="I29" t="str">
            <v>Imobiliário</v>
          </cell>
          <cell r="J29" t="str">
            <v>Rua Fazenda Iguaçú, s/n</v>
          </cell>
          <cell r="K29">
            <v>0</v>
          </cell>
          <cell r="L29" t="str">
            <v>Prolongamento da Avenida Venezuela</v>
          </cell>
          <cell r="M29" t="str">
            <v>Capocu</v>
          </cell>
          <cell r="N29" t="str">
            <v>Fazenda Rio Grande</v>
          </cell>
          <cell r="O29" t="str">
            <v>Paraná</v>
          </cell>
          <cell r="P29" t="str">
            <v>Brasil</v>
          </cell>
          <cell r="Q29"/>
        </row>
        <row r="30">
          <cell r="A30">
            <v>26984</v>
          </cell>
          <cell r="B30" t="str">
            <v>Rua Serra Japuira, 600Messiânico</v>
          </cell>
          <cell r="C30" t="str">
            <v>Chácara Scheffer - 05 Chácaras</v>
          </cell>
          <cell r="D30" t="str">
            <v>ASSOCIAÇÃO PARANAENSE DE CULTURA - APC</v>
          </cell>
          <cell r="E30" t="str">
            <v>ASSOCIAÇÃO PARANAENSE DE CULTURA - APC</v>
          </cell>
          <cell r="F30" t="str">
            <v>Próprio</v>
          </cell>
          <cell r="G30" t="str">
            <v>Chácara/Recanto/Fazenda</v>
          </cell>
          <cell r="H30"/>
          <cell r="I30" t="str">
            <v>Imobiliário</v>
          </cell>
          <cell r="J30" t="str">
            <v>Rua Serra Japuira, 600</v>
          </cell>
          <cell r="K30">
            <v>0</v>
          </cell>
          <cell r="L30"/>
          <cell r="M30" t="str">
            <v>Messiânico</v>
          </cell>
          <cell r="N30" t="str">
            <v>Londrina</v>
          </cell>
          <cell r="O30" t="str">
            <v>Paraná</v>
          </cell>
          <cell r="P30" t="str">
            <v>Brasil</v>
          </cell>
          <cell r="Q30"/>
        </row>
        <row r="31">
          <cell r="A31">
            <v>47637</v>
          </cell>
          <cell r="B31" t="str">
            <v>Rua Serra Japuira, 600Messiânico</v>
          </cell>
          <cell r="C31" t="str">
            <v>Chácara Scheffer - 05 Chácaras</v>
          </cell>
          <cell r="D31" t="str">
            <v>ASSOCIAÇÃO PARANAENSE DE CULTURA - APC</v>
          </cell>
          <cell r="E31" t="str">
            <v>ASSOCIAÇÃO PARANAENSE DE CULTURA - APC</v>
          </cell>
          <cell r="F31" t="str">
            <v>Próprio</v>
          </cell>
          <cell r="G31" t="str">
            <v>Chácara/Recanto/Fazenda</v>
          </cell>
          <cell r="H31"/>
          <cell r="I31" t="str">
            <v>Imobiliário</v>
          </cell>
          <cell r="J31" t="str">
            <v>Rua Serra Japuira, 600</v>
          </cell>
          <cell r="K31">
            <v>0</v>
          </cell>
          <cell r="L31"/>
          <cell r="M31" t="str">
            <v>Messiânico</v>
          </cell>
          <cell r="N31" t="str">
            <v>Londrina</v>
          </cell>
          <cell r="O31" t="str">
            <v>Paraná</v>
          </cell>
          <cell r="P31" t="str">
            <v>Brasil</v>
          </cell>
          <cell r="Q31"/>
        </row>
        <row r="32">
          <cell r="A32">
            <v>47638</v>
          </cell>
          <cell r="B32" t="str">
            <v>Rua Serra Japuira, 600Messiânico</v>
          </cell>
          <cell r="C32" t="str">
            <v>Chácara Scheffer - 05 Chácaras</v>
          </cell>
          <cell r="D32" t="str">
            <v>ASSOCIAÇÃO PARANAENSE DE CULTURA - APC</v>
          </cell>
          <cell r="E32" t="str">
            <v>ASSOCIAÇÃO PARANAENSE DE CULTURA - APC</v>
          </cell>
          <cell r="F32" t="str">
            <v>Próprio</v>
          </cell>
          <cell r="G32" t="str">
            <v>Chácara/Recanto/Fazenda</v>
          </cell>
          <cell r="H32"/>
          <cell r="I32" t="str">
            <v>Imobiliário</v>
          </cell>
          <cell r="J32" t="str">
            <v>Rua Serra Japuira, 600</v>
          </cell>
          <cell r="K32">
            <v>0</v>
          </cell>
          <cell r="L32"/>
          <cell r="M32" t="str">
            <v>Messiânico</v>
          </cell>
          <cell r="N32" t="str">
            <v>Londrina</v>
          </cell>
          <cell r="O32" t="str">
            <v>Paraná</v>
          </cell>
          <cell r="P32" t="str">
            <v>Brasil</v>
          </cell>
          <cell r="Q32"/>
        </row>
        <row r="33">
          <cell r="A33">
            <v>47639</v>
          </cell>
          <cell r="B33" t="str">
            <v>Rua Serra Japuira, 600Messiânico</v>
          </cell>
          <cell r="C33" t="str">
            <v>Chácara Scheffer - 05 Chácaras</v>
          </cell>
          <cell r="D33" t="str">
            <v>ASSOCIAÇÃO PARANAENSE DE CULTURA - APC</v>
          </cell>
          <cell r="E33" t="str">
            <v>ASSOCIAÇÃO PARANAENSE DE CULTURA - APC</v>
          </cell>
          <cell r="F33" t="str">
            <v>Próprio</v>
          </cell>
          <cell r="G33" t="str">
            <v>Chácara/Recanto/Fazenda</v>
          </cell>
          <cell r="H33"/>
          <cell r="I33" t="str">
            <v>Imobiliário</v>
          </cell>
          <cell r="J33" t="str">
            <v>Rua Serra Japuira, 600</v>
          </cell>
          <cell r="K33">
            <v>0</v>
          </cell>
          <cell r="L33"/>
          <cell r="M33" t="str">
            <v>Messiânico</v>
          </cell>
          <cell r="N33" t="str">
            <v>Londrina</v>
          </cell>
          <cell r="O33" t="str">
            <v>Paraná</v>
          </cell>
          <cell r="P33" t="str">
            <v>Brasil</v>
          </cell>
          <cell r="Q33"/>
        </row>
        <row r="34">
          <cell r="A34">
            <v>47640</v>
          </cell>
          <cell r="B34" t="str">
            <v>Rua Serra Japuira, 600Messiânico</v>
          </cell>
          <cell r="C34" t="str">
            <v>Chácara Scheffer - 05 Chácaras</v>
          </cell>
          <cell r="D34" t="str">
            <v>ASSOCIAÇÃO PARANAENSE DE CULTURA - APC</v>
          </cell>
          <cell r="E34" t="str">
            <v>ASSOCIAÇÃO PARANAENSE DE CULTURA - APC</v>
          </cell>
          <cell r="F34" t="str">
            <v>Próprio</v>
          </cell>
          <cell r="G34" t="str">
            <v>Chácara/Recanto/Fazenda</v>
          </cell>
          <cell r="H34"/>
          <cell r="I34" t="str">
            <v>Imobiliário</v>
          </cell>
          <cell r="J34" t="str">
            <v>Rua Serra Japuira, 600</v>
          </cell>
          <cell r="K34">
            <v>0</v>
          </cell>
          <cell r="L34"/>
          <cell r="M34" t="str">
            <v>Messiânico</v>
          </cell>
          <cell r="N34" t="str">
            <v>Londrina</v>
          </cell>
          <cell r="O34" t="str">
            <v>Paraná</v>
          </cell>
          <cell r="P34" t="str">
            <v>Brasil</v>
          </cell>
          <cell r="Q34"/>
        </row>
        <row r="35">
          <cell r="A35">
            <v>0</v>
          </cell>
          <cell r="B35" t="str">
            <v>Rua Ferreira Lopes, s/n (Beira Mar)Centro</v>
          </cell>
          <cell r="C35" t="str">
            <v>Proação Guaraqueçaba</v>
          </cell>
          <cell r="D35" t="str">
            <v>ASSOCIAÇÃO PARANAENSE DE CULTURA - APC</v>
          </cell>
          <cell r="E35" t="str">
            <v>ASSOCIAÇÃO PARANAENSE DE CULTURA - APC</v>
          </cell>
          <cell r="F35" t="str">
            <v>Próprio</v>
          </cell>
          <cell r="G35" t="str">
            <v>Edificado - Operacional</v>
          </cell>
          <cell r="H35"/>
          <cell r="I35" t="str">
            <v>Imobiliário</v>
          </cell>
          <cell r="J35" t="str">
            <v>Rua Ferreira Lopes, s/n (Beira Mar)</v>
          </cell>
          <cell r="K35">
            <v>0</v>
          </cell>
          <cell r="L35"/>
          <cell r="M35" t="str">
            <v>Centro</v>
          </cell>
          <cell r="N35" t="str">
            <v>Guaraqueçaba</v>
          </cell>
          <cell r="O35" t="str">
            <v>Paraná</v>
          </cell>
          <cell r="P35" t="str">
            <v>Brasil</v>
          </cell>
          <cell r="Q35"/>
        </row>
        <row r="36">
          <cell r="A36">
            <v>10985</v>
          </cell>
          <cell r="B36" t="str">
            <v>Rua Ferreira Lopes, s/n (Beira Mar)Centro</v>
          </cell>
          <cell r="C36" t="str">
            <v>Proação Guaraqueçaba</v>
          </cell>
          <cell r="D36" t="str">
            <v>ASSOCIAÇÃO PARANAENSE DE CULTURA - APC</v>
          </cell>
          <cell r="E36" t="str">
            <v>ASSOCIAÇÃO PARANAENSE DE CULTURA - APC</v>
          </cell>
          <cell r="F36" t="str">
            <v>Próprio</v>
          </cell>
          <cell r="G36" t="str">
            <v>Edificado - Operacional</v>
          </cell>
          <cell r="H36"/>
          <cell r="I36" t="str">
            <v>Imobiliário</v>
          </cell>
          <cell r="J36" t="str">
            <v>Rua Ferreira Lopes, s/n (Beira Mar)</v>
          </cell>
          <cell r="K36">
            <v>0</v>
          </cell>
          <cell r="L36"/>
          <cell r="M36" t="str">
            <v>Centro</v>
          </cell>
          <cell r="N36" t="str">
            <v>Guaraqueçaba</v>
          </cell>
          <cell r="O36" t="str">
            <v>Paraná</v>
          </cell>
          <cell r="P36" t="str">
            <v>Brasil</v>
          </cell>
          <cell r="Q36"/>
        </row>
        <row r="37">
          <cell r="A37">
            <v>44665</v>
          </cell>
          <cell r="B37" t="str">
            <v>Rua CamboriúJardim Eliana</v>
          </cell>
          <cell r="C37" t="str">
            <v>Projeto Guará</v>
          </cell>
          <cell r="D37" t="str">
            <v>ASSOCIAÇÃO PARANAENSE DE CULTURA - APC</v>
          </cell>
          <cell r="E37" t="str">
            <v>ASSOCIAÇÃO PARANAENSE DE CULTURA - APC</v>
          </cell>
          <cell r="F37" t="str">
            <v>Próprio</v>
          </cell>
          <cell r="G37" t="str">
            <v>Lote / Terreno</v>
          </cell>
          <cell r="H37"/>
          <cell r="I37" t="str">
            <v>Imobiliário</v>
          </cell>
          <cell r="J37" t="str">
            <v>Rua Camboriú</v>
          </cell>
          <cell r="K37">
            <v>0</v>
          </cell>
          <cell r="L37"/>
          <cell r="M37" t="str">
            <v>Jardim Eliana</v>
          </cell>
          <cell r="N37" t="str">
            <v>Guaratuba</v>
          </cell>
          <cell r="O37" t="str">
            <v>Paraná</v>
          </cell>
          <cell r="P37" t="str">
            <v>Brasil</v>
          </cell>
          <cell r="Q37"/>
        </row>
        <row r="38">
          <cell r="A38">
            <v>1699</v>
          </cell>
          <cell r="B38" t="str">
            <v>Rod. Prefeito Francisco Teixeira, s/nCosta da Serra</v>
          </cell>
          <cell r="C38" t="str">
            <v>CETAS - Tijucas do Sul - APC</v>
          </cell>
          <cell r="D38" t="str">
            <v>ASSOCIAÇÃO PARANAENSE DE CULTURA - APC</v>
          </cell>
          <cell r="E38" t="str">
            <v>ASSOCIAÇÃO PARANAENSE DE CULTURA - APC</v>
          </cell>
          <cell r="F38" t="str">
            <v>Próprio</v>
          </cell>
          <cell r="G38" t="str">
            <v>Edificado - Operacional</v>
          </cell>
          <cell r="H38"/>
          <cell r="I38" t="str">
            <v>Imobiliário</v>
          </cell>
          <cell r="J38" t="str">
            <v>Rod. Prefeito Francisco Teixeira, s/n</v>
          </cell>
          <cell r="K38">
            <v>0</v>
          </cell>
          <cell r="L38"/>
          <cell r="M38" t="str">
            <v>Costa da Serra</v>
          </cell>
          <cell r="N38" t="str">
            <v>Tijucas do Sul</v>
          </cell>
          <cell r="O38" t="str">
            <v>Paraná</v>
          </cell>
          <cell r="P38" t="str">
            <v>Brasil</v>
          </cell>
          <cell r="Q38"/>
        </row>
        <row r="39">
          <cell r="A39">
            <v>68805</v>
          </cell>
          <cell r="B39" t="str">
            <v>Rod. Prefeito Francisco Teixeira, s/nCosta da Serra</v>
          </cell>
          <cell r="C39" t="str">
            <v>CETAS - Tijucas do Sul - APC</v>
          </cell>
          <cell r="D39" t="str">
            <v>ASSOCIAÇÃO PARANAENSE DE CULTURA - APC</v>
          </cell>
          <cell r="E39" t="str">
            <v>ASSOCIAÇÃO PARANAENSE DE CULTURA - APC</v>
          </cell>
          <cell r="F39" t="str">
            <v>Próprio</v>
          </cell>
          <cell r="G39" t="str">
            <v>Edificado - Operacional</v>
          </cell>
          <cell r="H39"/>
          <cell r="I39" t="str">
            <v>Imobiliário</v>
          </cell>
          <cell r="J39" t="str">
            <v>Rod. Prefeito Francisco Teixeira, s/n</v>
          </cell>
          <cell r="K39">
            <v>0</v>
          </cell>
          <cell r="L39"/>
          <cell r="M39" t="str">
            <v>Costa da Serra</v>
          </cell>
          <cell r="N39" t="str">
            <v>Tijucas do Sul</v>
          </cell>
          <cell r="O39" t="str">
            <v>Paraná</v>
          </cell>
          <cell r="P39" t="str">
            <v>Brasil</v>
          </cell>
          <cell r="Q39"/>
        </row>
        <row r="40">
          <cell r="A40">
            <v>36143</v>
          </cell>
          <cell r="B40" t="str">
            <v>Rua do CampoCaieiras</v>
          </cell>
          <cell r="C40" t="str">
            <v>Proação Guaratuba (Embargada)</v>
          </cell>
          <cell r="D40" t="str">
            <v>ASSOCIAÇÃO PARANAENSE DE CULTURA - APC</v>
          </cell>
          <cell r="E40" t="str">
            <v>ASSOCIAÇÃO PARANAENSE DE CULTURA - APC</v>
          </cell>
          <cell r="F40" t="str">
            <v>Próprio</v>
          </cell>
          <cell r="G40" t="str">
            <v>Lote / Terreno</v>
          </cell>
          <cell r="H40"/>
          <cell r="I40" t="str">
            <v>Imobiliário</v>
          </cell>
          <cell r="J40" t="str">
            <v>Rua do Campo</v>
          </cell>
          <cell r="K40">
            <v>0</v>
          </cell>
          <cell r="L40"/>
          <cell r="M40" t="str">
            <v>Caieiras</v>
          </cell>
          <cell r="N40" t="str">
            <v>Guaratuba</v>
          </cell>
          <cell r="O40" t="str">
            <v>Paraná</v>
          </cell>
          <cell r="P40" t="str">
            <v>Brasil</v>
          </cell>
          <cell r="Q40"/>
        </row>
        <row r="41">
          <cell r="A41">
            <v>42613</v>
          </cell>
          <cell r="B41" t="str">
            <v>Rua do CampoCaieiras</v>
          </cell>
          <cell r="C41" t="str">
            <v>Proação Guaratuba (Embargada)</v>
          </cell>
          <cell r="D41" t="str">
            <v>ASSOCIAÇÃO PARANAENSE DE CULTURA - APC</v>
          </cell>
          <cell r="E41" t="str">
            <v>ASSOCIAÇÃO PARANAENSE DE CULTURA - APC</v>
          </cell>
          <cell r="F41" t="str">
            <v>Próprio</v>
          </cell>
          <cell r="G41" t="str">
            <v>Lote / Terreno</v>
          </cell>
          <cell r="H41"/>
          <cell r="I41" t="str">
            <v>Imobiliário</v>
          </cell>
          <cell r="J41" t="str">
            <v>Rua do Campo</v>
          </cell>
          <cell r="K41">
            <v>0</v>
          </cell>
          <cell r="L41"/>
          <cell r="M41" t="str">
            <v>Caieiras</v>
          </cell>
          <cell r="N41" t="str">
            <v>Guaratuba</v>
          </cell>
          <cell r="O41" t="str">
            <v>Paraná</v>
          </cell>
          <cell r="P41" t="str">
            <v>Brasil</v>
          </cell>
          <cell r="Q41"/>
        </row>
        <row r="42">
          <cell r="A42">
            <v>17388</v>
          </cell>
          <cell r="B42" t="str">
            <v>Rua Francisco Alves, 377Jardim Jóquei Club</v>
          </cell>
          <cell r="C42" t="str">
            <v>Chácara Verpa - 06 Chácaras</v>
          </cell>
          <cell r="D42" t="str">
            <v>ASSOCIAÇÃO BRASILEIRA DE EDUCAÇÃO E CULTURA - ABEC</v>
          </cell>
          <cell r="E42" t="str">
            <v>ASSOCIAÇÃO BRASILEIRA DE EDUCAÇÃO E CULTURA - ABEC</v>
          </cell>
          <cell r="F42" t="str">
            <v>Próprio</v>
          </cell>
          <cell r="G42" t="str">
            <v>Chácara/Recanto/Fazenda</v>
          </cell>
          <cell r="H42"/>
          <cell r="I42" t="str">
            <v>Imobiliário</v>
          </cell>
          <cell r="J42" t="str">
            <v>Rua Francisco Alves, 377</v>
          </cell>
          <cell r="K42">
            <v>0</v>
          </cell>
          <cell r="L42"/>
          <cell r="M42" t="str">
            <v>Jardim Jóquei Club</v>
          </cell>
          <cell r="N42" t="str">
            <v>Londrina</v>
          </cell>
          <cell r="O42" t="str">
            <v>Paraná</v>
          </cell>
          <cell r="P42" t="str">
            <v>Brasil</v>
          </cell>
          <cell r="Q42"/>
        </row>
        <row r="43">
          <cell r="A43">
            <v>17389</v>
          </cell>
          <cell r="B43" t="str">
            <v>Rua Francisco Alves, 377Jardim Jóquei Club</v>
          </cell>
          <cell r="C43" t="str">
            <v>Chácara Verpa - 06 Chácaras</v>
          </cell>
          <cell r="D43" t="str">
            <v>ASSOCIAÇÃO BRASILEIRA DE EDUCAÇÃO E CULTURA - ABEC</v>
          </cell>
          <cell r="E43" t="str">
            <v>ASSOCIAÇÃO BRASILEIRA DE EDUCAÇÃO E CULTURA - ABEC</v>
          </cell>
          <cell r="F43" t="str">
            <v>Próprio</v>
          </cell>
          <cell r="G43" t="str">
            <v>Chácara/Recanto/Fazenda</v>
          </cell>
          <cell r="H43"/>
          <cell r="I43" t="str">
            <v>Imobiliário</v>
          </cell>
          <cell r="J43" t="str">
            <v>Rua Francisco Alves, 377</v>
          </cell>
          <cell r="K43">
            <v>0</v>
          </cell>
          <cell r="L43"/>
          <cell r="M43" t="str">
            <v>Jardim Jóquei Club</v>
          </cell>
          <cell r="N43" t="str">
            <v>Londrina</v>
          </cell>
          <cell r="O43" t="str">
            <v>Paraná</v>
          </cell>
          <cell r="P43" t="str">
            <v>Brasil</v>
          </cell>
          <cell r="Q43"/>
        </row>
        <row r="44">
          <cell r="A44">
            <v>17390</v>
          </cell>
          <cell r="B44" t="str">
            <v>Rua Francisco Alves, 377Jardim Jóquei Club</v>
          </cell>
          <cell r="C44" t="str">
            <v>Chácara Verpa - 06 Chácaras</v>
          </cell>
          <cell r="D44" t="str">
            <v>ASSOCIAÇÃO BRASILEIRA DE EDUCAÇÃO E CULTURA - ABEC</v>
          </cell>
          <cell r="E44" t="str">
            <v>ASSOCIAÇÃO BRASILEIRA DE EDUCAÇÃO E CULTURA - ABEC</v>
          </cell>
          <cell r="F44" t="str">
            <v>Próprio</v>
          </cell>
          <cell r="G44" t="str">
            <v>Chácara/Recanto/Fazenda</v>
          </cell>
          <cell r="H44"/>
          <cell r="I44" t="str">
            <v>Imobiliário</v>
          </cell>
          <cell r="J44" t="str">
            <v>Rua Francisco Alves, 377</v>
          </cell>
          <cell r="K44">
            <v>0</v>
          </cell>
          <cell r="L44"/>
          <cell r="M44" t="str">
            <v>Jardim Jóquei Club</v>
          </cell>
          <cell r="N44" t="str">
            <v>Londrina</v>
          </cell>
          <cell r="O44" t="str">
            <v>Paraná</v>
          </cell>
          <cell r="P44" t="str">
            <v>Brasil</v>
          </cell>
          <cell r="Q44"/>
        </row>
        <row r="45">
          <cell r="A45">
            <v>17391</v>
          </cell>
          <cell r="B45" t="str">
            <v>Rua Francisco Alves, 377Jardim Jóquei Club</v>
          </cell>
          <cell r="C45" t="str">
            <v>Chácara Verpa - 06 Chácaras</v>
          </cell>
          <cell r="D45" t="str">
            <v>ASSOCIAÇÃO BRASILEIRA DE EDUCAÇÃO E CULTURA - ABEC</v>
          </cell>
          <cell r="E45" t="str">
            <v>ASSOCIAÇÃO BRASILEIRA DE EDUCAÇÃO E CULTURA - ABEC</v>
          </cell>
          <cell r="F45" t="str">
            <v>Próprio</v>
          </cell>
          <cell r="G45" t="str">
            <v>Chácara/Recanto/Fazenda</v>
          </cell>
          <cell r="H45"/>
          <cell r="I45" t="str">
            <v>Imobiliário</v>
          </cell>
          <cell r="J45" t="str">
            <v>Rua Francisco Alves, 377</v>
          </cell>
          <cell r="K45">
            <v>0</v>
          </cell>
          <cell r="L45"/>
          <cell r="M45" t="str">
            <v>Jardim Jóquei Club</v>
          </cell>
          <cell r="N45" t="str">
            <v>Londrina</v>
          </cell>
          <cell r="O45" t="str">
            <v>Paraná</v>
          </cell>
          <cell r="P45" t="str">
            <v>Brasil</v>
          </cell>
          <cell r="Q45"/>
        </row>
        <row r="46">
          <cell r="A46">
            <v>17392</v>
          </cell>
          <cell r="B46" t="str">
            <v>Rua Francisco Alves, 377Jardim Jóquei Club</v>
          </cell>
          <cell r="C46" t="str">
            <v>Chácara Verpa - 06 Chácaras</v>
          </cell>
          <cell r="D46" t="str">
            <v>ASSOCIAÇÃO BRASILEIRA DE EDUCAÇÃO E CULTURA - ABEC</v>
          </cell>
          <cell r="E46" t="str">
            <v>ASSOCIAÇÃO BRASILEIRA DE EDUCAÇÃO E CULTURA - ABEC</v>
          </cell>
          <cell r="F46" t="str">
            <v>Próprio</v>
          </cell>
          <cell r="G46" t="str">
            <v>Chácara/Recanto/Fazenda</v>
          </cell>
          <cell r="H46"/>
          <cell r="I46" t="str">
            <v>Imobiliário</v>
          </cell>
          <cell r="J46" t="str">
            <v>Rua Francisco Alves, 377</v>
          </cell>
          <cell r="K46">
            <v>0</v>
          </cell>
          <cell r="L46"/>
          <cell r="M46" t="str">
            <v>Jardim Jóquei Club</v>
          </cell>
          <cell r="N46" t="str">
            <v>Londrina</v>
          </cell>
          <cell r="O46" t="str">
            <v>Paraná</v>
          </cell>
          <cell r="P46" t="str">
            <v>Brasil</v>
          </cell>
          <cell r="Q46"/>
        </row>
        <row r="47">
          <cell r="A47">
            <v>17393</v>
          </cell>
          <cell r="B47" t="str">
            <v>Rua Francisco Alves, 377Jardim Jóquei Club</v>
          </cell>
          <cell r="C47" t="str">
            <v>Chácara Verpa - 06 Chácaras</v>
          </cell>
          <cell r="D47" t="str">
            <v>ASSOCIAÇÃO BRASILEIRA DE EDUCAÇÃO E CULTURA - ABEC</v>
          </cell>
          <cell r="E47" t="str">
            <v>ASSOCIAÇÃO BRASILEIRA DE EDUCAÇÃO E CULTURA - ABEC</v>
          </cell>
          <cell r="F47" t="str">
            <v>Próprio</v>
          </cell>
          <cell r="G47" t="str">
            <v>Chácara/Recanto/Fazenda</v>
          </cell>
          <cell r="H47"/>
          <cell r="I47" t="str">
            <v>Imobiliário</v>
          </cell>
          <cell r="J47" t="str">
            <v>Rua Francisco Alves, 377</v>
          </cell>
          <cell r="K47">
            <v>0</v>
          </cell>
          <cell r="L47"/>
          <cell r="M47" t="str">
            <v>Jardim Jóquei Club</v>
          </cell>
          <cell r="N47" t="str">
            <v>Londrina</v>
          </cell>
          <cell r="O47" t="str">
            <v>Paraná</v>
          </cell>
          <cell r="P47" t="str">
            <v>Brasil</v>
          </cell>
          <cell r="Q47"/>
        </row>
        <row r="48">
          <cell r="A48">
            <v>20131</v>
          </cell>
          <cell r="B48" t="str">
            <v>Rua Serra Verde, 250Bandeirantes</v>
          </cell>
          <cell r="C48" t="str">
            <v>Chácara Taramelli - 06 Chácaras</v>
          </cell>
          <cell r="D48" t="str">
            <v>ASSOCIAÇÃO PARANAENSE DE CULTURA - APC</v>
          </cell>
          <cell r="E48" t="str">
            <v>ASSOCIAÇÃO PARANAENSE DE CULTURA - APC</v>
          </cell>
          <cell r="F48" t="str">
            <v>Próprio</v>
          </cell>
          <cell r="G48" t="str">
            <v>Lotes / Terrenos</v>
          </cell>
          <cell r="H48"/>
          <cell r="I48" t="str">
            <v>Imobiliário</v>
          </cell>
          <cell r="J48" t="str">
            <v>Rua Serra Verde, 250</v>
          </cell>
          <cell r="K48">
            <v>0</v>
          </cell>
          <cell r="L48"/>
          <cell r="M48" t="str">
            <v>Bandeirantes</v>
          </cell>
          <cell r="N48" t="str">
            <v>Londrina</v>
          </cell>
          <cell r="O48" t="str">
            <v>Paraná</v>
          </cell>
          <cell r="P48" t="str">
            <v>Brasil</v>
          </cell>
          <cell r="Q48"/>
        </row>
        <row r="49">
          <cell r="A49">
            <v>20132</v>
          </cell>
          <cell r="B49" t="str">
            <v>Rua Serra Verde, 250Bandeirantes</v>
          </cell>
          <cell r="C49" t="str">
            <v>Chácara Taramelli - 06 Chácaras</v>
          </cell>
          <cell r="D49" t="str">
            <v>ASSOCIAÇÃO PARANAENSE DE CULTURA - APC</v>
          </cell>
          <cell r="E49" t="str">
            <v>ASSOCIAÇÃO PARANAENSE DE CULTURA - APC</v>
          </cell>
          <cell r="F49" t="str">
            <v>Próprio</v>
          </cell>
          <cell r="G49" t="str">
            <v>Lotes / Terrenos</v>
          </cell>
          <cell r="H49"/>
          <cell r="I49" t="str">
            <v>Imobiliário</v>
          </cell>
          <cell r="J49" t="str">
            <v>Rua Serra Verde, 250</v>
          </cell>
          <cell r="K49">
            <v>0</v>
          </cell>
          <cell r="L49"/>
          <cell r="M49" t="str">
            <v>Bandeirantes</v>
          </cell>
          <cell r="N49" t="str">
            <v>Londrina</v>
          </cell>
          <cell r="O49" t="str">
            <v>Paraná</v>
          </cell>
          <cell r="P49" t="str">
            <v>Brasil</v>
          </cell>
          <cell r="Q49"/>
        </row>
        <row r="50">
          <cell r="A50">
            <v>20135</v>
          </cell>
          <cell r="B50" t="str">
            <v>Rua Serra Verde, 250Bandeirantes</v>
          </cell>
          <cell r="C50" t="str">
            <v>Chácara Taramelli - 06 Chácaras</v>
          </cell>
          <cell r="D50" t="str">
            <v>ASSOCIAÇÃO PARANAENSE DE CULTURA - APC</v>
          </cell>
          <cell r="E50" t="str">
            <v>ASSOCIAÇÃO PARANAENSE DE CULTURA - APC</v>
          </cell>
          <cell r="F50" t="str">
            <v>Próprio</v>
          </cell>
          <cell r="G50" t="str">
            <v>Lotes / Terrenos</v>
          </cell>
          <cell r="H50"/>
          <cell r="I50" t="str">
            <v>Imobiliário</v>
          </cell>
          <cell r="J50" t="str">
            <v>Rua Serra Verde, 250</v>
          </cell>
          <cell r="K50">
            <v>0</v>
          </cell>
          <cell r="L50"/>
          <cell r="M50" t="str">
            <v>Bandeirantes</v>
          </cell>
          <cell r="N50" t="str">
            <v>Londrina</v>
          </cell>
          <cell r="O50" t="str">
            <v>Paraná</v>
          </cell>
          <cell r="P50" t="str">
            <v>Brasil</v>
          </cell>
          <cell r="Q50"/>
        </row>
        <row r="51">
          <cell r="A51">
            <v>20136</v>
          </cell>
          <cell r="B51" t="str">
            <v>Rua Serra Verde, 250Bandeirantes</v>
          </cell>
          <cell r="C51" t="str">
            <v>Chácara Taramelli - 06 Chácaras</v>
          </cell>
          <cell r="D51" t="str">
            <v>ASSOCIAÇÃO PARANAENSE DE CULTURA - APC</v>
          </cell>
          <cell r="E51" t="str">
            <v>ASSOCIAÇÃO PARANAENSE DE CULTURA - APC</v>
          </cell>
          <cell r="F51" t="str">
            <v>Próprio</v>
          </cell>
          <cell r="G51" t="str">
            <v>Lotes / Terrenos</v>
          </cell>
          <cell r="H51"/>
          <cell r="I51" t="str">
            <v>Imobiliário</v>
          </cell>
          <cell r="J51" t="str">
            <v>Rua Serra Verde, 250</v>
          </cell>
          <cell r="K51">
            <v>0</v>
          </cell>
          <cell r="L51"/>
          <cell r="M51" t="str">
            <v>Bandeirantes</v>
          </cell>
          <cell r="N51" t="str">
            <v>Londrina</v>
          </cell>
          <cell r="O51" t="str">
            <v>Paraná</v>
          </cell>
          <cell r="P51" t="str">
            <v>Brasil</v>
          </cell>
          <cell r="Q51"/>
        </row>
        <row r="52">
          <cell r="A52">
            <v>41998</v>
          </cell>
          <cell r="B52" t="str">
            <v>Rua Serra Verde, 250Bandeirantes</v>
          </cell>
          <cell r="C52" t="str">
            <v>Chácara Taramelli - 06 Chácaras</v>
          </cell>
          <cell r="D52" t="str">
            <v>ASSOCIAÇÃO PARANAENSE DE CULTURA - APC</v>
          </cell>
          <cell r="E52" t="str">
            <v>ASSOCIAÇÃO PARANAENSE DE CULTURA - APC</v>
          </cell>
          <cell r="F52" t="str">
            <v>Próprio</v>
          </cell>
          <cell r="G52" t="str">
            <v>Lotes / Terrenos</v>
          </cell>
          <cell r="H52"/>
          <cell r="I52" t="str">
            <v>Imobiliário</v>
          </cell>
          <cell r="J52" t="str">
            <v>Rua Serra Verde, 250</v>
          </cell>
          <cell r="K52">
            <v>0</v>
          </cell>
          <cell r="L52"/>
          <cell r="M52" t="str">
            <v>Bandeirantes</v>
          </cell>
          <cell r="N52" t="str">
            <v>Londrina</v>
          </cell>
          <cell r="O52" t="str">
            <v>Paraná</v>
          </cell>
          <cell r="P52" t="str">
            <v>Brasil</v>
          </cell>
          <cell r="Q52"/>
        </row>
        <row r="53">
          <cell r="A53">
            <v>64532</v>
          </cell>
          <cell r="B53" t="str">
            <v>Rua Serra Verde, 250Bandeirantes</v>
          </cell>
          <cell r="C53" t="str">
            <v>Chácara Taramelli - 06 Chácaras</v>
          </cell>
          <cell r="D53" t="str">
            <v>ASSOCIAÇÃO PARANAENSE DE CULTURA - APC</v>
          </cell>
          <cell r="E53" t="str">
            <v>ASSOCIAÇÃO PARANAENSE DE CULTURA - APC</v>
          </cell>
          <cell r="F53" t="str">
            <v>Próprio</v>
          </cell>
          <cell r="G53" t="str">
            <v>Lotes / Terrenos</v>
          </cell>
          <cell r="H53"/>
          <cell r="I53" t="str">
            <v>Imobiliário</v>
          </cell>
          <cell r="J53" t="str">
            <v>Rua Serra Verde, 250</v>
          </cell>
          <cell r="K53">
            <v>0</v>
          </cell>
          <cell r="L53"/>
          <cell r="M53" t="str">
            <v>Bandeirantes</v>
          </cell>
          <cell r="N53" t="str">
            <v>Londrina</v>
          </cell>
          <cell r="O53" t="str">
            <v>Paraná</v>
          </cell>
          <cell r="P53" t="str">
            <v>Brasil</v>
          </cell>
          <cell r="Q53"/>
        </row>
        <row r="54">
          <cell r="A54">
            <v>8851</v>
          </cell>
          <cell r="B54" t="str">
            <v>Rua Dom Aquino s/n.ºDivide nos fundos com imóvel da Harry Prochet, 400Recanto Colonial</v>
          </cell>
          <cell r="C54" t="str">
            <v>Terreno Dom Aquino</v>
          </cell>
          <cell r="D54" t="str">
            <v>ASSOCIAÇÃO BRASILEIRA DE EDUCAÇÃO E CULTURA - ABEC</v>
          </cell>
          <cell r="E54" t="str">
            <v>ASSOCIAÇÃO BRASILEIRA DE EDUCAÇÃO E CULTURA - ABEC</v>
          </cell>
          <cell r="F54" t="str">
            <v>Próprio</v>
          </cell>
          <cell r="G54" t="str">
            <v>Lote / Terreno</v>
          </cell>
          <cell r="H54"/>
          <cell r="I54" t="str">
            <v>Imobiliário</v>
          </cell>
          <cell r="J54" t="str">
            <v>Rua Dom Aquino s/n.º</v>
          </cell>
          <cell r="K54">
            <v>0</v>
          </cell>
          <cell r="L54" t="str">
            <v>Divide nos fundos com imóvel da Harry Prochet, 400</v>
          </cell>
          <cell r="M54" t="str">
            <v>Recanto Colonial</v>
          </cell>
          <cell r="N54" t="str">
            <v>Londrina</v>
          </cell>
          <cell r="O54" t="str">
            <v>Paraná</v>
          </cell>
          <cell r="P54" t="str">
            <v>Brasil</v>
          </cell>
          <cell r="Q54"/>
        </row>
        <row r="55">
          <cell r="A55">
            <v>54581</v>
          </cell>
          <cell r="B55" t="str">
            <v>Rua Goiás, 877Apartamento 1.306 e vaga de garagemCentro</v>
          </cell>
          <cell r="C55" t="str">
            <v>Flat - Londrina</v>
          </cell>
          <cell r="D55" t="str">
            <v>ASSOCIAÇÃO PARANAENSE DE CULTURA - APC</v>
          </cell>
          <cell r="E55" t="str">
            <v>ASSOCIAÇÃO PARANAENSE DE CULTURA - APC</v>
          </cell>
          <cell r="F55" t="str">
            <v>Próprio</v>
          </cell>
          <cell r="G55" t="str">
            <v>Edificado - Comercial</v>
          </cell>
          <cell r="H55"/>
          <cell r="I55" t="str">
            <v>Imobiliário</v>
          </cell>
          <cell r="J55" t="str">
            <v>Rua Goiás, 877</v>
          </cell>
          <cell r="K55">
            <v>0</v>
          </cell>
          <cell r="L55" t="str">
            <v>Apartamento 1.306 e vaga de garagem</v>
          </cell>
          <cell r="M55" t="str">
            <v>Centro</v>
          </cell>
          <cell r="N55" t="str">
            <v>Londrina</v>
          </cell>
          <cell r="O55" t="str">
            <v>Paraná</v>
          </cell>
          <cell r="P55" t="str">
            <v>Brasil</v>
          </cell>
          <cell r="Q55"/>
        </row>
        <row r="56">
          <cell r="A56">
            <v>48437</v>
          </cell>
          <cell r="B56" t="str">
            <v>Avenida Harry Prochet, 400Jardim Mediterrâneo</v>
          </cell>
          <cell r="C56" t="str">
            <v>Harry Prochet</v>
          </cell>
          <cell r="D56" t="str">
            <v>ASSOCIAÇÃO BRASILEIRA DE EDUCAÇÃO E CULTURA - ABEC</v>
          </cell>
          <cell r="E56" t="str">
            <v>ASSOCIAÇÃO BRASILEIRA DE EDUCAÇÃO E CULTURA - ABEC</v>
          </cell>
          <cell r="F56" t="str">
            <v>Próprio</v>
          </cell>
          <cell r="G56" t="str">
            <v>Chácara/Recanto/Fazenda</v>
          </cell>
          <cell r="H56"/>
          <cell r="I56" t="str">
            <v>Imobiliário</v>
          </cell>
          <cell r="J56" t="str">
            <v>Avenida Harry Prochet, 400</v>
          </cell>
          <cell r="K56">
            <v>0</v>
          </cell>
          <cell r="L56"/>
          <cell r="M56" t="str">
            <v>Jardim Mediterrâneo</v>
          </cell>
          <cell r="N56" t="str">
            <v>Londrina</v>
          </cell>
          <cell r="O56" t="str">
            <v>Paraná</v>
          </cell>
          <cell r="P56" t="str">
            <v>Brasil</v>
          </cell>
          <cell r="Q56"/>
        </row>
        <row r="57">
          <cell r="A57">
            <v>6010</v>
          </cell>
          <cell r="B57" t="str">
            <v>Rua Rio Taquari, 200Jd. Iguaçu</v>
          </cell>
          <cell r="C57" t="str">
            <v>Proação Fazenda Rio Grande / Centro Social Marista Ir. Henri Vergès</v>
          </cell>
          <cell r="D57" t="str">
            <v>ASSOCIAÇÃO BRASILEIRA DE EDUCAÇÃO E CULTURA - ABEC</v>
          </cell>
          <cell r="E57" t="str">
            <v>ASSOCIAÇÃO BRASILEIRA DE EDUCAÇÃO E CULTURA - ABEC</v>
          </cell>
          <cell r="F57" t="str">
            <v>Próprio</v>
          </cell>
          <cell r="G57" t="str">
            <v>Edificado - Operacional</v>
          </cell>
          <cell r="H57"/>
          <cell r="I57" t="str">
            <v>Imobiliário</v>
          </cell>
          <cell r="J57" t="str">
            <v>Rua Rio Taquari, 200</v>
          </cell>
          <cell r="K57">
            <v>0</v>
          </cell>
          <cell r="L57"/>
          <cell r="M57" t="str">
            <v>Jd. Iguaçu</v>
          </cell>
          <cell r="N57" t="str">
            <v>Fazenda Rio Grande</v>
          </cell>
          <cell r="O57" t="str">
            <v>Paraná</v>
          </cell>
          <cell r="P57" t="str">
            <v>Brasil</v>
          </cell>
          <cell r="Q57"/>
        </row>
        <row r="58">
          <cell r="A58">
            <v>6011</v>
          </cell>
          <cell r="B58" t="str">
            <v>Rua Rio Taquari, 200Jd. Iguaçu</v>
          </cell>
          <cell r="C58" t="str">
            <v>Proação Fazenda Rio Grande / Centro Social Marista Ir. Henri Vergès</v>
          </cell>
          <cell r="D58" t="str">
            <v>ASSOCIAÇÃO BRASILEIRA DE EDUCAÇÃO E CULTURA - ABEC</v>
          </cell>
          <cell r="E58" t="str">
            <v>ASSOCIAÇÃO BRASILEIRA DE EDUCAÇÃO E CULTURA - ABEC</v>
          </cell>
          <cell r="F58" t="str">
            <v>Próprio</v>
          </cell>
          <cell r="G58" t="str">
            <v>Edificado - Operacional</v>
          </cell>
          <cell r="H58"/>
          <cell r="I58" t="str">
            <v>Imobiliário</v>
          </cell>
          <cell r="J58" t="str">
            <v>Rua Rio Taquari, 200</v>
          </cell>
          <cell r="K58">
            <v>0</v>
          </cell>
          <cell r="L58"/>
          <cell r="M58" t="str">
            <v>Jd. Iguaçu</v>
          </cell>
          <cell r="N58" t="str">
            <v>Fazenda Rio Grande</v>
          </cell>
          <cell r="O58" t="str">
            <v>Paraná</v>
          </cell>
          <cell r="P58" t="str">
            <v>Brasil</v>
          </cell>
          <cell r="Q58"/>
        </row>
        <row r="59">
          <cell r="A59">
            <v>6012</v>
          </cell>
          <cell r="B59" t="str">
            <v>Rua Rio Taquari, 200Jd. Iguaçu</v>
          </cell>
          <cell r="C59" t="str">
            <v>Proação Fazenda Rio Grande / Centro Social Marista Ir. Henri Vergès</v>
          </cell>
          <cell r="D59" t="str">
            <v>ASSOCIAÇÃO BRASILEIRA DE EDUCAÇÃO E CULTURA - ABEC</v>
          </cell>
          <cell r="E59" t="str">
            <v>ASSOCIAÇÃO BRASILEIRA DE EDUCAÇÃO E CULTURA - ABEC</v>
          </cell>
          <cell r="F59" t="str">
            <v>Próprio</v>
          </cell>
          <cell r="G59" t="str">
            <v>Edificado - Operacional</v>
          </cell>
          <cell r="H59"/>
          <cell r="I59" t="str">
            <v>Imobiliário</v>
          </cell>
          <cell r="J59" t="str">
            <v>Rua Rio Taquari, 200</v>
          </cell>
          <cell r="K59">
            <v>0</v>
          </cell>
          <cell r="L59"/>
          <cell r="M59" t="str">
            <v>Jd. Iguaçu</v>
          </cell>
          <cell r="N59" t="str">
            <v>Fazenda Rio Grande</v>
          </cell>
          <cell r="O59" t="str">
            <v>Paraná</v>
          </cell>
          <cell r="P59" t="str">
            <v>Brasil</v>
          </cell>
          <cell r="Q59"/>
        </row>
        <row r="60">
          <cell r="A60">
            <v>6013</v>
          </cell>
          <cell r="B60" t="str">
            <v>Rua Rio Taquari, 200Jd. Iguaçu</v>
          </cell>
          <cell r="C60" t="str">
            <v>Proação Fazenda Rio Grande / Centro Social Marista Ir. Henri Vergès</v>
          </cell>
          <cell r="D60" t="str">
            <v>ASSOCIAÇÃO BRASILEIRA DE EDUCAÇÃO E CULTURA - ABEC</v>
          </cell>
          <cell r="E60" t="str">
            <v>ASSOCIAÇÃO BRASILEIRA DE EDUCAÇÃO E CULTURA - ABEC</v>
          </cell>
          <cell r="F60" t="str">
            <v>Próprio</v>
          </cell>
          <cell r="G60" t="str">
            <v>Edificado - Operacional</v>
          </cell>
          <cell r="H60"/>
          <cell r="I60" t="str">
            <v>Imobiliário</v>
          </cell>
          <cell r="J60" t="str">
            <v>Rua Rio Taquari, 200</v>
          </cell>
          <cell r="K60">
            <v>0</v>
          </cell>
          <cell r="L60"/>
          <cell r="M60" t="str">
            <v>Jd. Iguaçu</v>
          </cell>
          <cell r="N60" t="str">
            <v>Fazenda Rio Grande</v>
          </cell>
          <cell r="O60" t="str">
            <v>Paraná</v>
          </cell>
          <cell r="P60" t="str">
            <v>Brasil</v>
          </cell>
          <cell r="Q60"/>
        </row>
        <row r="61">
          <cell r="A61">
            <v>6014</v>
          </cell>
          <cell r="B61" t="str">
            <v>Rua Rio Taquari, 200Jd. Iguaçu</v>
          </cell>
          <cell r="C61" t="str">
            <v>Proação Fazenda Rio Grande / Centro Social Marista Ir. Henri Vergès</v>
          </cell>
          <cell r="D61" t="str">
            <v>ASSOCIAÇÃO BRASILEIRA DE EDUCAÇÃO E CULTURA - ABEC</v>
          </cell>
          <cell r="E61" t="str">
            <v>ASSOCIAÇÃO BRASILEIRA DE EDUCAÇÃO E CULTURA - ABEC</v>
          </cell>
          <cell r="F61" t="str">
            <v>Próprio</v>
          </cell>
          <cell r="G61" t="str">
            <v>Edificado - Operacional</v>
          </cell>
          <cell r="H61"/>
          <cell r="I61" t="str">
            <v>Imobiliário</v>
          </cell>
          <cell r="J61" t="str">
            <v>Rua Rio Taquari, 200</v>
          </cell>
          <cell r="K61">
            <v>0</v>
          </cell>
          <cell r="L61"/>
          <cell r="M61" t="str">
            <v>Jd. Iguaçu</v>
          </cell>
          <cell r="N61" t="str">
            <v>Fazenda Rio Grande</v>
          </cell>
          <cell r="O61" t="str">
            <v>Paraná</v>
          </cell>
          <cell r="P61" t="str">
            <v>Brasil</v>
          </cell>
          <cell r="Q61"/>
        </row>
        <row r="62">
          <cell r="A62">
            <v>6015</v>
          </cell>
          <cell r="B62" t="str">
            <v>Rua Rio Taquari, 200Jd. Iguaçu</v>
          </cell>
          <cell r="C62" t="str">
            <v>Proação Fazenda Rio Grande / Centro Social Marista Ir. Henri Vergès</v>
          </cell>
          <cell r="D62" t="str">
            <v>ASSOCIAÇÃO BRASILEIRA DE EDUCAÇÃO E CULTURA - ABEC</v>
          </cell>
          <cell r="E62" t="str">
            <v>ASSOCIAÇÃO BRASILEIRA DE EDUCAÇÃO E CULTURA - ABEC</v>
          </cell>
          <cell r="F62" t="str">
            <v>Próprio</v>
          </cell>
          <cell r="G62" t="str">
            <v>Edificado - Operacional</v>
          </cell>
          <cell r="H62"/>
          <cell r="I62" t="str">
            <v>Imobiliário</v>
          </cell>
          <cell r="J62" t="str">
            <v>Rua Rio Taquari, 200</v>
          </cell>
          <cell r="K62">
            <v>0</v>
          </cell>
          <cell r="L62"/>
          <cell r="M62" t="str">
            <v>Jd. Iguaçu</v>
          </cell>
          <cell r="N62" t="str">
            <v>Fazenda Rio Grande</v>
          </cell>
          <cell r="O62" t="str">
            <v>Paraná</v>
          </cell>
          <cell r="P62" t="str">
            <v>Brasil</v>
          </cell>
          <cell r="Q62"/>
        </row>
        <row r="63">
          <cell r="A63">
            <v>6016</v>
          </cell>
          <cell r="B63" t="str">
            <v>Rua Rio Taquari, 200Jd. Iguaçu</v>
          </cell>
          <cell r="C63" t="str">
            <v>Proação Fazenda Rio Grande / Centro Social Marista Ir. Henri Vergès</v>
          </cell>
          <cell r="D63" t="str">
            <v>ASSOCIAÇÃO BRASILEIRA DE EDUCAÇÃO E CULTURA - ABEC</v>
          </cell>
          <cell r="E63" t="str">
            <v>ASSOCIAÇÃO BRASILEIRA DE EDUCAÇÃO E CULTURA - ABEC</v>
          </cell>
          <cell r="F63" t="str">
            <v>Próprio</v>
          </cell>
          <cell r="G63" t="str">
            <v>Edificado - Operacional</v>
          </cell>
          <cell r="H63"/>
          <cell r="I63" t="str">
            <v>Imobiliário</v>
          </cell>
          <cell r="J63" t="str">
            <v>Rua Rio Taquari, 200</v>
          </cell>
          <cell r="K63">
            <v>0</v>
          </cell>
          <cell r="L63"/>
          <cell r="M63" t="str">
            <v>Jd. Iguaçu</v>
          </cell>
          <cell r="N63" t="str">
            <v>Fazenda Rio Grande</v>
          </cell>
          <cell r="O63" t="str">
            <v>Paraná</v>
          </cell>
          <cell r="P63" t="str">
            <v>Brasil</v>
          </cell>
          <cell r="Q63"/>
        </row>
        <row r="64">
          <cell r="A64">
            <v>6017</v>
          </cell>
          <cell r="B64" t="str">
            <v>Rua Rio Taquari, 200Jd. Iguaçu</v>
          </cell>
          <cell r="C64" t="str">
            <v>Proação Fazenda Rio Grande / Centro Social Marista Ir. Henri Vergès</v>
          </cell>
          <cell r="D64" t="str">
            <v>ASSOCIAÇÃO BRASILEIRA DE EDUCAÇÃO E CULTURA - ABEC</v>
          </cell>
          <cell r="E64" t="str">
            <v>ASSOCIAÇÃO BRASILEIRA DE EDUCAÇÃO E CULTURA - ABEC</v>
          </cell>
          <cell r="F64" t="str">
            <v>Próprio</v>
          </cell>
          <cell r="G64" t="str">
            <v>Edificado - Operacional</v>
          </cell>
          <cell r="H64"/>
          <cell r="I64" t="str">
            <v>Imobiliário</v>
          </cell>
          <cell r="J64" t="str">
            <v>Rua Rio Taquari, 200</v>
          </cell>
          <cell r="K64">
            <v>0</v>
          </cell>
          <cell r="L64"/>
          <cell r="M64" t="str">
            <v>Jd. Iguaçu</v>
          </cell>
          <cell r="N64" t="str">
            <v>Fazenda Rio Grande</v>
          </cell>
          <cell r="O64" t="str">
            <v>Paraná</v>
          </cell>
          <cell r="P64" t="str">
            <v>Brasil</v>
          </cell>
          <cell r="Q64"/>
        </row>
        <row r="65">
          <cell r="A65">
            <v>6018</v>
          </cell>
          <cell r="B65" t="str">
            <v>Rua Rio Taquari, 200Jd. Iguaçu</v>
          </cell>
          <cell r="C65" t="str">
            <v>Proação Fazenda Rio Grande / Centro Social Marista Ir. Henri Vergès</v>
          </cell>
          <cell r="D65" t="str">
            <v>ASSOCIAÇÃO BRASILEIRA DE EDUCAÇÃO E CULTURA - ABEC</v>
          </cell>
          <cell r="E65" t="str">
            <v>ASSOCIAÇÃO BRASILEIRA DE EDUCAÇÃO E CULTURA - ABEC</v>
          </cell>
          <cell r="F65" t="str">
            <v>Próprio</v>
          </cell>
          <cell r="G65" t="str">
            <v>Edificado - Operacional</v>
          </cell>
          <cell r="H65"/>
          <cell r="I65" t="str">
            <v>Imobiliário</v>
          </cell>
          <cell r="J65" t="str">
            <v>Rua Rio Taquari, 200</v>
          </cell>
          <cell r="K65">
            <v>0</v>
          </cell>
          <cell r="L65"/>
          <cell r="M65" t="str">
            <v>Jd. Iguaçu</v>
          </cell>
          <cell r="N65" t="str">
            <v>Fazenda Rio Grande</v>
          </cell>
          <cell r="O65" t="str">
            <v>Paraná</v>
          </cell>
          <cell r="P65" t="str">
            <v>Brasil</v>
          </cell>
          <cell r="Q65"/>
        </row>
        <row r="66">
          <cell r="A66">
            <v>6019</v>
          </cell>
          <cell r="B66" t="str">
            <v>Rua Rio Taquari, 200Jd. Iguaçu</v>
          </cell>
          <cell r="C66" t="str">
            <v>Proação Fazenda Rio Grande / Centro Social Marista Ir. Henri Vergès</v>
          </cell>
          <cell r="D66" t="str">
            <v>ASSOCIAÇÃO BRASILEIRA DE EDUCAÇÃO E CULTURA - ABEC</v>
          </cell>
          <cell r="E66" t="str">
            <v>ASSOCIAÇÃO BRASILEIRA DE EDUCAÇÃO E CULTURA - ABEC</v>
          </cell>
          <cell r="F66" t="str">
            <v>Próprio</v>
          </cell>
          <cell r="G66" t="str">
            <v>Edificado - Operacional</v>
          </cell>
          <cell r="H66"/>
          <cell r="I66" t="str">
            <v>Imobiliário</v>
          </cell>
          <cell r="J66" t="str">
            <v>Rua Rio Taquari, 200</v>
          </cell>
          <cell r="K66">
            <v>0</v>
          </cell>
          <cell r="L66"/>
          <cell r="M66" t="str">
            <v>Jd. Iguaçu</v>
          </cell>
          <cell r="N66" t="str">
            <v>Fazenda Rio Grande</v>
          </cell>
          <cell r="O66" t="str">
            <v>Paraná</v>
          </cell>
          <cell r="P66" t="str">
            <v>Brasil</v>
          </cell>
          <cell r="Q66"/>
        </row>
        <row r="67">
          <cell r="A67">
            <v>41002</v>
          </cell>
          <cell r="B67" t="str">
            <v>Avenida Maripá, s/nJardim Coopagro</v>
          </cell>
          <cell r="C67" t="str">
            <v>Hospital Veterinário Toledo</v>
          </cell>
          <cell r="D67" t="str">
            <v>ASSOCIAÇÃO PARANAENSE DE CULTURA - APC</v>
          </cell>
          <cell r="E67" t="str">
            <v>ASSOCIAÇÃO PARANAENSE DE CULTURA - APC</v>
          </cell>
          <cell r="F67" t="str">
            <v>Próprio</v>
          </cell>
          <cell r="G67" t="str">
            <v>Edificado - Operacional</v>
          </cell>
          <cell r="H67"/>
          <cell r="I67" t="str">
            <v>Imobiliário</v>
          </cell>
          <cell r="J67" t="str">
            <v>Avenida Maripá, s/n</v>
          </cell>
          <cell r="K67">
            <v>0</v>
          </cell>
          <cell r="L67"/>
          <cell r="M67" t="str">
            <v>Jardim Coopagro</v>
          </cell>
          <cell r="N67" t="str">
            <v>Toledo</v>
          </cell>
          <cell r="O67" t="str">
            <v>Paraná</v>
          </cell>
          <cell r="P67" t="str">
            <v>Brasil</v>
          </cell>
          <cell r="Q67"/>
        </row>
        <row r="68">
          <cell r="A68">
            <v>4942</v>
          </cell>
          <cell r="B68" t="str">
            <v>Rua Dom Pedro II, 110Área de 222,89 m2Cidade Nova</v>
          </cell>
          <cell r="C68" t="str">
            <v>Porto União</v>
          </cell>
          <cell r="D68" t="str">
            <v>ASSOCIAÇÃO PARANAENSE DE CULTURA - APC</v>
          </cell>
          <cell r="E68" t="str">
            <v>ASSOCIAÇÃO PARANAENSE DE CULTURA - APC</v>
          </cell>
          <cell r="F68" t="str">
            <v>Próprio</v>
          </cell>
          <cell r="G68" t="str">
            <v>Edificado</v>
          </cell>
          <cell r="H68"/>
          <cell r="I68" t="str">
            <v>Imobiliário</v>
          </cell>
          <cell r="J68" t="str">
            <v>Rua Dom Pedro II, 110</v>
          </cell>
          <cell r="K68">
            <v>0</v>
          </cell>
          <cell r="L68" t="str">
            <v>Área de 222,89 m2</v>
          </cell>
          <cell r="M68" t="str">
            <v>Cidade Nova</v>
          </cell>
          <cell r="N68" t="str">
            <v>Porto União</v>
          </cell>
          <cell r="O68" t="str">
            <v>Santa Catarina</v>
          </cell>
          <cell r="P68" t="str">
            <v>Brasil</v>
          </cell>
          <cell r="Q68"/>
        </row>
        <row r="69">
          <cell r="A69">
            <v>58020</v>
          </cell>
          <cell r="B69" t="str">
            <v>Rua Sebastião Antônio Foggiatto s/nºZaniollo</v>
          </cell>
          <cell r="C69" t="str">
            <v>Chácara Zaniollo - Terreno invadido</v>
          </cell>
          <cell r="D69" t="str">
            <v>ASSOCIAÇÃO PARANAENSE DE CULTURA - APC</v>
          </cell>
          <cell r="E69" t="str">
            <v>ASSOCIAÇÃO PARANAENSE DE CULTURA - APC</v>
          </cell>
          <cell r="F69" t="str">
            <v>Próprio</v>
          </cell>
          <cell r="G69" t="str">
            <v>Lote / Terreno</v>
          </cell>
          <cell r="H69"/>
          <cell r="I69" t="str">
            <v>Imobiliário</v>
          </cell>
          <cell r="J69" t="str">
            <v>Rua Sebastião Antônio Foggiatto s/nº</v>
          </cell>
          <cell r="K69">
            <v>0</v>
          </cell>
          <cell r="L69"/>
          <cell r="M69" t="str">
            <v>Zaniollo</v>
          </cell>
          <cell r="N69" t="str">
            <v>São José dos Pinhais</v>
          </cell>
          <cell r="O69" t="str">
            <v>Paraná</v>
          </cell>
          <cell r="P69" t="str">
            <v>Brasil</v>
          </cell>
          <cell r="Q69"/>
        </row>
        <row r="70">
          <cell r="A70">
            <v>12196</v>
          </cell>
          <cell r="B70" t="str">
            <v>Estrada da Graciosa, 2.310 - km 13Alphaville Graciosa</v>
          </cell>
          <cell r="C70" t="str">
            <v>Radio Clube - Antena Atuba</v>
          </cell>
          <cell r="D70" t="str">
            <v>FUNDAÇÃO NOSSA SENHORA DO ROCIO - FNSR</v>
          </cell>
          <cell r="E70" t="str">
            <v>FUNDAÇÃO NOSSA SENHORA DO ROCIO - FNSR</v>
          </cell>
          <cell r="F70" t="str">
            <v>Próprio</v>
          </cell>
          <cell r="G70" t="str">
            <v>Edificado</v>
          </cell>
          <cell r="H70"/>
          <cell r="I70" t="str">
            <v>Imobiliário</v>
          </cell>
          <cell r="J70" t="str">
            <v>Estrada da Graciosa, 2.310 - km 13</v>
          </cell>
          <cell r="K70">
            <v>0</v>
          </cell>
          <cell r="L70"/>
          <cell r="M70" t="str">
            <v>Alphaville Graciosa</v>
          </cell>
          <cell r="N70" t="str">
            <v>Pinhais</v>
          </cell>
          <cell r="O70" t="str">
            <v>Paraná</v>
          </cell>
          <cell r="P70" t="str">
            <v>Brasil</v>
          </cell>
          <cell r="Q70"/>
        </row>
        <row r="71">
          <cell r="A71">
            <v>5566</v>
          </cell>
          <cell r="B71" t="str">
            <v>Rodovia dos MinériosRua Marcelino Champagnat, 200Botiatuba</v>
          </cell>
          <cell r="C71" t="str">
            <v>Recanto - Colégio Marista Santa Maria</v>
          </cell>
          <cell r="D71" t="str">
            <v>ASSOCIAÇÃO BRASILEIRA DE EDUCAÇÃO E CULTURA - ABEC</v>
          </cell>
          <cell r="E71" t="str">
            <v>ASSOCIAÇÃO BRASILEIRA DE EDUCAÇÃO E CULTURA - ABEC</v>
          </cell>
          <cell r="F71" t="str">
            <v>Próprio</v>
          </cell>
          <cell r="G71" t="str">
            <v>Chácara/Recanto/Fazenda</v>
          </cell>
          <cell r="H71"/>
          <cell r="I71" t="str">
            <v>Imobiliário</v>
          </cell>
          <cell r="J71" t="str">
            <v>Rodovia dos Minérios</v>
          </cell>
          <cell r="K71">
            <v>0</v>
          </cell>
          <cell r="L71" t="str">
            <v>Rua Marcelino Champagnat, 200</v>
          </cell>
          <cell r="M71" t="str">
            <v>Botiatuba</v>
          </cell>
          <cell r="N71" t="str">
            <v>Almirante Tamandaré</v>
          </cell>
          <cell r="O71" t="str">
            <v>Paraná</v>
          </cell>
          <cell r="P71" t="str">
            <v>Brasil</v>
          </cell>
          <cell r="Q71"/>
        </row>
        <row r="72">
          <cell r="A72">
            <v>18524</v>
          </cell>
          <cell r="B72" t="str">
            <v>Rua Cinfrônio de Andrade, nº 200Botiatuba</v>
          </cell>
          <cell r="C72" t="str">
            <v>Escola Ecológica Marcelino Champagnat</v>
          </cell>
          <cell r="D72" t="str">
            <v>ASSOCIAÇÃO BRASILEIRA DE EDUCAÇÃO E CULTURA - ABEC</v>
          </cell>
          <cell r="E72" t="str">
            <v>ASSOCIAÇÃO BRASILEIRA DE EDUCAÇÃO E CULTURA - ABEC</v>
          </cell>
          <cell r="F72" t="str">
            <v>Próprio</v>
          </cell>
          <cell r="G72" t="str">
            <v>Edificado - Operacional</v>
          </cell>
          <cell r="H72"/>
          <cell r="I72" t="str">
            <v>Imobiliário</v>
          </cell>
          <cell r="J72" t="str">
            <v>Rua Cinfrônio de Andrade, nº 200</v>
          </cell>
          <cell r="K72">
            <v>0</v>
          </cell>
          <cell r="L72"/>
          <cell r="M72" t="str">
            <v>Botiatuba</v>
          </cell>
          <cell r="N72" t="str">
            <v>Almirante Tamandaré</v>
          </cell>
          <cell r="O72" t="str">
            <v>Paraná</v>
          </cell>
          <cell r="P72" t="str">
            <v>Brasil</v>
          </cell>
          <cell r="Q72"/>
        </row>
        <row r="73">
          <cell r="A73">
            <v>42520</v>
          </cell>
          <cell r="B73" t="str">
            <v>Rua Ilacir Pereira Lima, nº 35Cidade Nova</v>
          </cell>
          <cell r="C73" t="str">
            <v>EDITORA FTD - Prédio Comercial BH</v>
          </cell>
          <cell r="D73" t="str">
            <v>ASSOCIAÇÃO BRASILEIRA DE EDUCAÇÃO E CULTURA - ABEC</v>
          </cell>
          <cell r="E73" t="str">
            <v>ASSOCIAÇÃO BRASILEIRA DE EDUCAÇÃO E CULTURA - ABEC</v>
          </cell>
          <cell r="F73" t="str">
            <v>Próprio</v>
          </cell>
          <cell r="G73" t="str">
            <v>Edificado - Operacional</v>
          </cell>
          <cell r="H73"/>
          <cell r="I73" t="str">
            <v>Imobiliário</v>
          </cell>
          <cell r="J73" t="str">
            <v>Rua Ilacir Pereira Lima, nº 35</v>
          </cell>
          <cell r="K73">
            <v>0</v>
          </cell>
          <cell r="L73"/>
          <cell r="M73" t="str">
            <v>Cidade Nova</v>
          </cell>
          <cell r="N73" t="str">
            <v>Belo Horizonte</v>
          </cell>
          <cell r="O73" t="str">
            <v>Minas Gerais</v>
          </cell>
          <cell r="P73" t="str">
            <v>Brasil</v>
          </cell>
          <cell r="Q73"/>
        </row>
        <row r="74">
          <cell r="A74">
            <v>14410</v>
          </cell>
          <cell r="B74" t="str">
            <v>Rua Merluza, 263Lotes 40 e 41 - Jd. Acapulco IICentro</v>
          </cell>
          <cell r="C74" t="str">
            <v>Casa de Veraneio Bombinhas</v>
          </cell>
          <cell r="D74" t="str">
            <v>ASSOCIAÇÃO BRASILEIRA DE EDUCAÇÃO E CULTURA - ABEC</v>
          </cell>
          <cell r="E74" t="str">
            <v>ASSOCIAÇÃO BRASILEIRA DE EDUCAÇÃO E CULTURA - ABEC</v>
          </cell>
          <cell r="F74" t="str">
            <v>Próprio</v>
          </cell>
          <cell r="G74" t="str">
            <v>Edificado</v>
          </cell>
          <cell r="H74"/>
          <cell r="I74" t="str">
            <v>Imobiliário</v>
          </cell>
          <cell r="J74" t="str">
            <v>Rua Merluza, 263</v>
          </cell>
          <cell r="K74">
            <v>0</v>
          </cell>
          <cell r="L74" t="str">
            <v>Lotes 40 e 41 - Jd. Acapulco II</v>
          </cell>
          <cell r="M74" t="str">
            <v>Centro</v>
          </cell>
          <cell r="N74" t="str">
            <v>Bombinhas</v>
          </cell>
          <cell r="O74" t="str">
            <v>Santa Catarina</v>
          </cell>
          <cell r="P74" t="str">
            <v>Brasil</v>
          </cell>
          <cell r="Q74"/>
        </row>
        <row r="75">
          <cell r="A75">
            <v>16022</v>
          </cell>
          <cell r="B75" t="str">
            <v>SGAS 609 - Conjunto A - Asa Sul - Módulos 62/63 30.000m2</v>
          </cell>
          <cell r="C75" t="str">
            <v>Colégio Marista de Brasilia - Ensino Fundamental</v>
          </cell>
          <cell r="D75" t="str">
            <v>ASSOCIAÇÃO BRASILEIRA DE EDUCAÇÃO E CULTURA - ABEC</v>
          </cell>
          <cell r="E75" t="str">
            <v>ASSOCIAÇÃO BRASILEIRA DE EDUCAÇÃO E CULTURA - ABEC</v>
          </cell>
          <cell r="F75" t="str">
            <v>Próprio</v>
          </cell>
          <cell r="G75" t="str">
            <v>Edificado - Operacional</v>
          </cell>
          <cell r="H75"/>
          <cell r="I75" t="str">
            <v>Imobiliário</v>
          </cell>
          <cell r="J75" t="str">
            <v>SGAS 609 - Conjunto A - Asa Sul - Módulos 62/63 30.000m2</v>
          </cell>
          <cell r="K75">
            <v>0</v>
          </cell>
          <cell r="L75"/>
          <cell r="M75"/>
          <cell r="N75" t="str">
            <v>Brasília</v>
          </cell>
          <cell r="O75" t="str">
            <v>Distrito Federal</v>
          </cell>
          <cell r="P75" t="str">
            <v>Brasil</v>
          </cell>
          <cell r="Q75"/>
        </row>
        <row r="76">
          <cell r="A76">
            <v>1249</v>
          </cell>
          <cell r="B76" t="str">
            <v>Avenida SGAS 615 - Conjunto CAsa Sul</v>
          </cell>
          <cell r="C76" t="str">
            <v>Colégio Marista de Brasilia - Ensino Médio</v>
          </cell>
          <cell r="D76" t="str">
            <v>ASSOCIAÇÃO BRASILEIRA DE EDUCAÇÃO E CULTURA - ABEC</v>
          </cell>
          <cell r="E76" t="str">
            <v>ASSOCIAÇÃO BRASILEIRA DE EDUCAÇÃO E CULTURA - ABEC</v>
          </cell>
          <cell r="F76" t="str">
            <v>Próprio</v>
          </cell>
          <cell r="G76" t="str">
            <v>Edificado - Operacional</v>
          </cell>
          <cell r="H76"/>
          <cell r="I76" t="str">
            <v>Imobiliário</v>
          </cell>
          <cell r="J76" t="str">
            <v>Avenida SGAS 615 - Conjunto C</v>
          </cell>
          <cell r="K76">
            <v>0</v>
          </cell>
          <cell r="L76"/>
          <cell r="M76" t="str">
            <v>Asa Sul</v>
          </cell>
          <cell r="N76" t="str">
            <v>Brasília</v>
          </cell>
          <cell r="O76" t="str">
            <v>Distrito Federal</v>
          </cell>
          <cell r="P76" t="str">
            <v>Brasil</v>
          </cell>
          <cell r="Q76"/>
        </row>
        <row r="77">
          <cell r="A77">
            <v>72536</v>
          </cell>
          <cell r="B77" t="str">
            <v>Lote 1, Q.1 4/3 SHIS - Conjunto 11 - Casa 01Lago Sul</v>
          </cell>
          <cell r="C77" t="str">
            <v>Residência Marista de Brasilia</v>
          </cell>
          <cell r="D77" t="str">
            <v>ASSOCIAÇÃO BRASILEIRA DE EDUCAÇÃO E CULTURA - ABEC</v>
          </cell>
          <cell r="E77" t="str">
            <v>ASSOCIAÇÃO BRASILEIRA DE EDUCAÇÃO E CULTURA - ABEC</v>
          </cell>
          <cell r="F77" t="str">
            <v>Próprio</v>
          </cell>
          <cell r="G77" t="str">
            <v>Edificado - Comercial</v>
          </cell>
          <cell r="H77"/>
          <cell r="I77" t="str">
            <v>Imobiliário</v>
          </cell>
          <cell r="J77" t="str">
            <v>Lote 1, Q.1 4/3 SHIS - Conjunto 11 - Casa 01</v>
          </cell>
          <cell r="K77">
            <v>0</v>
          </cell>
          <cell r="L77"/>
          <cell r="M77" t="str">
            <v>Lago Sul</v>
          </cell>
          <cell r="N77" t="str">
            <v>Brasília</v>
          </cell>
          <cell r="O77" t="str">
            <v>Distrito Federal</v>
          </cell>
          <cell r="P77" t="str">
            <v>Brasil</v>
          </cell>
          <cell r="Q77"/>
        </row>
        <row r="78">
          <cell r="A78">
            <v>35292</v>
          </cell>
          <cell r="B78" t="str">
            <v>Rodovia Municipal Angelo Nilo Gatti, s/nSantelmo</v>
          </cell>
          <cell r="C78" t="str">
            <v>(VENDIDO) Chácara - Caçador</v>
          </cell>
          <cell r="D78" t="str">
            <v>UNIÃO CATARINENSE DE EDUCAÇÃO - UCE</v>
          </cell>
          <cell r="E78" t="str">
            <v>UNIÃO CATARINENSE DE EDUCAÇÃO - UCE</v>
          </cell>
          <cell r="F78" t="str">
            <v>Próprio</v>
          </cell>
          <cell r="G78" t="str">
            <v>Chácara/Recanto/Fazenda</v>
          </cell>
          <cell r="H78"/>
          <cell r="I78" t="str">
            <v>Imobiliário</v>
          </cell>
          <cell r="J78" t="str">
            <v>Rodovia Municipal Angelo Nilo Gatti, s/n</v>
          </cell>
          <cell r="K78">
            <v>0</v>
          </cell>
          <cell r="L78"/>
          <cell r="M78" t="str">
            <v>Santelmo</v>
          </cell>
          <cell r="N78" t="str">
            <v>Caçador</v>
          </cell>
          <cell r="O78" t="str">
            <v>Santa Catarina</v>
          </cell>
          <cell r="P78" t="str">
            <v>Brasil</v>
          </cell>
          <cell r="Q78"/>
        </row>
        <row r="79">
          <cell r="A79">
            <v>35294</v>
          </cell>
          <cell r="B79" t="str">
            <v>Rodovia Municipal Angelo Nilo Gatti, s/nSantelmo</v>
          </cell>
          <cell r="C79" t="str">
            <v>(VENDIDO) Chácara - Caçador</v>
          </cell>
          <cell r="D79" t="str">
            <v>UNIÃO CATARINENSE DE EDUCAÇÃO - UCE</v>
          </cell>
          <cell r="E79" t="str">
            <v>UNIÃO CATARINENSE DE EDUCAÇÃO - UCE</v>
          </cell>
          <cell r="F79" t="str">
            <v>Próprio</v>
          </cell>
          <cell r="G79" t="str">
            <v>Chácara/Recanto/Fazenda</v>
          </cell>
          <cell r="H79"/>
          <cell r="I79" t="str">
            <v>Imobiliário</v>
          </cell>
          <cell r="J79" t="str">
            <v>Rodovia Municipal Angelo Nilo Gatti, s/n</v>
          </cell>
          <cell r="K79">
            <v>0</v>
          </cell>
          <cell r="L79"/>
          <cell r="M79" t="str">
            <v>Santelmo</v>
          </cell>
          <cell r="N79" t="str">
            <v>Caçador</v>
          </cell>
          <cell r="O79" t="str">
            <v>Santa Catarina</v>
          </cell>
          <cell r="P79" t="str">
            <v>Brasil</v>
          </cell>
          <cell r="Q79"/>
        </row>
        <row r="80">
          <cell r="A80">
            <v>35293</v>
          </cell>
          <cell r="B80" t="str">
            <v>Rodovia Municipal Angelo Nilo Gatti, s/nSantelmo</v>
          </cell>
          <cell r="C80" t="str">
            <v>(VENDIDO) Chácara - Caçador</v>
          </cell>
          <cell r="D80" t="str">
            <v>UNIÃO CATARINENSE DE EDUCAÇÃO - UCE</v>
          </cell>
          <cell r="E80" t="str">
            <v>UNIÃO CATARINENSE DE EDUCAÇÃO - UCE</v>
          </cell>
          <cell r="F80" t="str">
            <v>Próprio</v>
          </cell>
          <cell r="G80" t="str">
            <v>Chácara/Recanto/Fazenda</v>
          </cell>
          <cell r="H80"/>
          <cell r="I80" t="str">
            <v>Imobiliário</v>
          </cell>
          <cell r="J80" t="str">
            <v>Rodovia Municipal Angelo Nilo Gatti, s/n</v>
          </cell>
          <cell r="K80">
            <v>0</v>
          </cell>
          <cell r="L80"/>
          <cell r="M80" t="str">
            <v>Santelmo</v>
          </cell>
          <cell r="N80" t="str">
            <v>Caçador</v>
          </cell>
          <cell r="O80" t="str">
            <v>Santa Catarina</v>
          </cell>
          <cell r="P80" t="str">
            <v>Brasil</v>
          </cell>
          <cell r="Q80"/>
        </row>
        <row r="81">
          <cell r="A81">
            <v>14985</v>
          </cell>
          <cell r="B81" t="str">
            <v>Rodovia Municipal Angelo Nilo Gatti, s/nSantelmo</v>
          </cell>
          <cell r="C81" t="str">
            <v>(VENDIDO) Chácara - Caçador</v>
          </cell>
          <cell r="D81" t="str">
            <v>UNIÃO CATARINENSE DE EDUCAÇÃO - UCE</v>
          </cell>
          <cell r="E81" t="str">
            <v>UNIÃO CATARINENSE DE EDUCAÇÃO - UCE</v>
          </cell>
          <cell r="F81" t="str">
            <v>Próprio</v>
          </cell>
          <cell r="G81" t="str">
            <v>Chácara/Recanto/Fazenda</v>
          </cell>
          <cell r="H81"/>
          <cell r="I81" t="str">
            <v>Imobiliário</v>
          </cell>
          <cell r="J81" t="str">
            <v>Rodovia Municipal Angelo Nilo Gatti, s/n</v>
          </cell>
          <cell r="K81">
            <v>0</v>
          </cell>
          <cell r="L81"/>
          <cell r="M81" t="str">
            <v>Santelmo</v>
          </cell>
          <cell r="N81" t="str">
            <v>Caçador</v>
          </cell>
          <cell r="O81" t="str">
            <v>Santa Catarina</v>
          </cell>
          <cell r="P81" t="str">
            <v>Brasil</v>
          </cell>
          <cell r="Q81"/>
        </row>
        <row r="82">
          <cell r="A82">
            <v>5567</v>
          </cell>
          <cell r="B82" t="str">
            <v>Rodovia Municipal Angelo Nilo Gatti, s/nSantelmo</v>
          </cell>
          <cell r="C82" t="str">
            <v>(VENDIDO) Chácara - Caçador</v>
          </cell>
          <cell r="D82" t="str">
            <v>UNIÃO CATARINENSE DE EDUCAÇÃO - UCE</v>
          </cell>
          <cell r="E82" t="str">
            <v>UNIÃO CATARINENSE DE EDUCAÇÃO - UCE</v>
          </cell>
          <cell r="F82" t="str">
            <v>Próprio</v>
          </cell>
          <cell r="G82" t="str">
            <v>Chácara/Recanto/Fazenda</v>
          </cell>
          <cell r="H82"/>
          <cell r="I82" t="str">
            <v>Imobiliário</v>
          </cell>
          <cell r="J82" t="str">
            <v>Rodovia Municipal Angelo Nilo Gatti, s/n</v>
          </cell>
          <cell r="K82">
            <v>0</v>
          </cell>
          <cell r="L82"/>
          <cell r="M82" t="str">
            <v>Santelmo</v>
          </cell>
          <cell r="N82" t="str">
            <v>Caçador</v>
          </cell>
          <cell r="O82" t="str">
            <v>Santa Catarina</v>
          </cell>
          <cell r="P82" t="str">
            <v>Brasil</v>
          </cell>
          <cell r="Q82"/>
        </row>
        <row r="83">
          <cell r="A83">
            <v>641</v>
          </cell>
          <cell r="B83" t="str">
            <v>Rodovia Municipal Angelo Nilo Gatti, s/nSantelmo</v>
          </cell>
          <cell r="C83" t="str">
            <v>(VENDIDO) Chácara - Caçador</v>
          </cell>
          <cell r="D83" t="str">
            <v>UNIÃO CATARINENSE DE EDUCAÇÃO - UCE</v>
          </cell>
          <cell r="E83" t="str">
            <v>UNIÃO CATARINENSE DE EDUCAÇÃO - UCE</v>
          </cell>
          <cell r="F83" t="str">
            <v>Próprio</v>
          </cell>
          <cell r="G83" t="str">
            <v>Chácara/Recanto/Fazenda</v>
          </cell>
          <cell r="H83"/>
          <cell r="I83" t="str">
            <v>Imobiliário</v>
          </cell>
          <cell r="J83" t="str">
            <v>Rodovia Municipal Angelo Nilo Gatti, s/n</v>
          </cell>
          <cell r="K83">
            <v>0</v>
          </cell>
          <cell r="L83"/>
          <cell r="M83" t="str">
            <v>Santelmo</v>
          </cell>
          <cell r="N83" t="str">
            <v>Caçador</v>
          </cell>
          <cell r="O83" t="str">
            <v>Santa Catarina</v>
          </cell>
          <cell r="P83" t="str">
            <v>Brasil</v>
          </cell>
          <cell r="Q83"/>
        </row>
        <row r="84">
          <cell r="A84">
            <v>15086</v>
          </cell>
          <cell r="B84" t="str">
            <v>Rua Herculano Coelho de Souza, 1157Reunidas</v>
          </cell>
          <cell r="C84" t="str">
            <v>Centro Social Marista Caçador (Antigo Juvenato)</v>
          </cell>
          <cell r="D84" t="str">
            <v>UNIÃO CATARINENSE DE EDUCAÇÃO - UCE</v>
          </cell>
          <cell r="E84" t="str">
            <v>UNIÃO CATARINENSE DE EDUCAÇÃO - UCE</v>
          </cell>
          <cell r="F84" t="str">
            <v>Próprio</v>
          </cell>
          <cell r="G84" t="str">
            <v>Edificado - Comercial</v>
          </cell>
          <cell r="H84"/>
          <cell r="I84" t="str">
            <v>Imobiliário</v>
          </cell>
          <cell r="J84" t="str">
            <v>Rua Herculano Coelho de Souza, 1157</v>
          </cell>
          <cell r="K84">
            <v>0</v>
          </cell>
          <cell r="L84"/>
          <cell r="M84" t="str">
            <v>Reunidas</v>
          </cell>
          <cell r="N84" t="str">
            <v>Caçador</v>
          </cell>
          <cell r="O84" t="str">
            <v>Santa Catarina</v>
          </cell>
          <cell r="P84" t="str">
            <v>Brasil</v>
          </cell>
          <cell r="Q84"/>
        </row>
        <row r="85">
          <cell r="A85">
            <v>9469</v>
          </cell>
          <cell r="B85" t="str">
            <v>Rua Herculano Coelho de Souza, 1157Reunidas</v>
          </cell>
          <cell r="C85" t="str">
            <v>Centro Social Marista Caçador (Antigo Juvenato)</v>
          </cell>
          <cell r="D85" t="str">
            <v>UNIÃO CATARINENSE DE EDUCAÇÃO - UCE</v>
          </cell>
          <cell r="E85" t="str">
            <v>UNIÃO CATARINENSE DE EDUCAÇÃO - UCE</v>
          </cell>
          <cell r="F85" t="str">
            <v>Próprio</v>
          </cell>
          <cell r="G85" t="str">
            <v>Edificado - Comercial</v>
          </cell>
          <cell r="H85"/>
          <cell r="I85" t="str">
            <v>Imobiliário</v>
          </cell>
          <cell r="J85" t="str">
            <v>Rua Herculano Coelho de Souza, 1157</v>
          </cell>
          <cell r="K85">
            <v>0</v>
          </cell>
          <cell r="L85"/>
          <cell r="M85" t="str">
            <v>Reunidas</v>
          </cell>
          <cell r="N85" t="str">
            <v>Caçador</v>
          </cell>
          <cell r="O85" t="str">
            <v>Santa Catarina</v>
          </cell>
          <cell r="P85" t="str">
            <v>Brasil</v>
          </cell>
          <cell r="Q85"/>
        </row>
        <row r="86">
          <cell r="A86">
            <v>35206</v>
          </cell>
          <cell r="B86" t="str">
            <v>Rua Mal. Deodoro, nº 159Centro</v>
          </cell>
          <cell r="C86" t="str">
            <v>Casa dos Escoteiros</v>
          </cell>
          <cell r="D86" t="str">
            <v>UNIÃO CATARINENSE DE EDUCAÇÃO - UCE</v>
          </cell>
          <cell r="E86" t="str">
            <v>UNIÃO CATARINENSE DE EDUCAÇÃO - UCE</v>
          </cell>
          <cell r="F86" t="str">
            <v>Próprio</v>
          </cell>
          <cell r="G86" t="str">
            <v>Edificado - Comercial</v>
          </cell>
          <cell r="H86"/>
          <cell r="I86" t="str">
            <v>Imobiliário</v>
          </cell>
          <cell r="J86" t="str">
            <v>Rua Mal. Deodoro, nº 159</v>
          </cell>
          <cell r="K86">
            <v>0</v>
          </cell>
          <cell r="L86"/>
          <cell r="M86" t="str">
            <v>Centro</v>
          </cell>
          <cell r="N86" t="str">
            <v>Caçador</v>
          </cell>
          <cell r="O86" t="str">
            <v>Santa Catarina</v>
          </cell>
          <cell r="P86" t="str">
            <v>Brasil</v>
          </cell>
          <cell r="Q86"/>
        </row>
        <row r="87">
          <cell r="A87">
            <v>23299</v>
          </cell>
          <cell r="B87" t="str">
            <v>Rua Corbélia, nº 1.967Periolo</v>
          </cell>
          <cell r="C87" t="str">
            <v>Centro Social Marista Marcelino Champagnat</v>
          </cell>
          <cell r="D87" t="str">
            <v>ASSOCIAÇÃO BRASILEIRA DE EDUCAÇÃO E CULTURA - ABEC</v>
          </cell>
          <cell r="E87" t="str">
            <v>ASSOCIAÇÃO BRASILEIRA DE EDUCAÇÃO E CULTURA - ABEC</v>
          </cell>
          <cell r="F87" t="str">
            <v>Próprio</v>
          </cell>
          <cell r="G87" t="str">
            <v>Edificado - Operacional</v>
          </cell>
          <cell r="H87"/>
          <cell r="I87" t="str">
            <v>Imobiliário</v>
          </cell>
          <cell r="J87" t="str">
            <v>Rua Corbélia, nº 1.967</v>
          </cell>
          <cell r="K87">
            <v>0</v>
          </cell>
          <cell r="L87"/>
          <cell r="M87" t="str">
            <v>Periolo</v>
          </cell>
          <cell r="N87" t="str">
            <v>Cascavel</v>
          </cell>
          <cell r="O87" t="str">
            <v>Paraná</v>
          </cell>
          <cell r="P87" t="str">
            <v>Brasil</v>
          </cell>
          <cell r="Q87"/>
        </row>
        <row r="88">
          <cell r="A88">
            <v>51956</v>
          </cell>
          <cell r="B88" t="str">
            <v>Rua João Pessoa, nº 61Aptos 901 e 902 + 04 vagas de garagemEdifício Porto Seguro</v>
          </cell>
          <cell r="C88" t="str">
            <v>Residência Marista de Cascavel</v>
          </cell>
          <cell r="D88" t="str">
            <v>ASSOCIAÇÃO BRASILEIRA DE EDUCAÇÃO E CULTURA - ABEC</v>
          </cell>
          <cell r="E88" t="str">
            <v>ASSOCIAÇÃO BRASILEIRA DE EDUCAÇÃO E CULTURA - ABEC</v>
          </cell>
          <cell r="F88" t="str">
            <v>Próprio</v>
          </cell>
          <cell r="G88" t="str">
            <v>Edificado - Operacional</v>
          </cell>
          <cell r="H88"/>
          <cell r="I88" t="str">
            <v>Imobiliário</v>
          </cell>
          <cell r="J88" t="str">
            <v>Rua João Pessoa, nº 61</v>
          </cell>
          <cell r="K88">
            <v>0</v>
          </cell>
          <cell r="L88" t="str">
            <v>Aptos 901 e 902 + 04 vagas de garagem</v>
          </cell>
          <cell r="M88" t="str">
            <v>Edifício Porto Seguro</v>
          </cell>
          <cell r="N88" t="str">
            <v>Cascavel</v>
          </cell>
          <cell r="O88" t="str">
            <v>Paraná</v>
          </cell>
          <cell r="P88" t="str">
            <v>Brasil</v>
          </cell>
          <cell r="Q88"/>
        </row>
        <row r="89">
          <cell r="A89">
            <v>51957</v>
          </cell>
          <cell r="B89" t="str">
            <v>Rua João Pessoa, nº 61Aptos 901 e 902 + 04 vagas de garagemEdifício Porto Seguro</v>
          </cell>
          <cell r="C89" t="str">
            <v>Residência Marista de Cascavel</v>
          </cell>
          <cell r="D89" t="str">
            <v>ASSOCIAÇÃO BRASILEIRA DE EDUCAÇÃO E CULTURA - ABEC</v>
          </cell>
          <cell r="E89" t="str">
            <v>ASSOCIAÇÃO BRASILEIRA DE EDUCAÇÃO E CULTURA - ABEC</v>
          </cell>
          <cell r="F89" t="str">
            <v>Próprio</v>
          </cell>
          <cell r="G89" t="str">
            <v>Edificado - Operacional</v>
          </cell>
          <cell r="H89"/>
          <cell r="I89" t="str">
            <v>Imobiliário</v>
          </cell>
          <cell r="J89" t="str">
            <v>Rua João Pessoa, nº 61</v>
          </cell>
          <cell r="K89">
            <v>0</v>
          </cell>
          <cell r="L89" t="str">
            <v>Aptos 901 e 902 + 04 vagas de garagem</v>
          </cell>
          <cell r="M89" t="str">
            <v>Edifício Porto Seguro</v>
          </cell>
          <cell r="N89" t="str">
            <v>Cascavel</v>
          </cell>
          <cell r="O89" t="str">
            <v>Paraná</v>
          </cell>
          <cell r="P89" t="str">
            <v>Brasil</v>
          </cell>
          <cell r="Q89"/>
        </row>
        <row r="90">
          <cell r="A90">
            <v>43994</v>
          </cell>
          <cell r="B90" t="str">
            <v>Rua Medianeira, s/nºCataratas</v>
          </cell>
          <cell r="C90" t="str">
            <v>Recanto Marista - Cascavel</v>
          </cell>
          <cell r="D90" t="str">
            <v>ASSOCIAÇÃO BRASILEIRA DE EDUCAÇÃO E CULTURA - ABEC</v>
          </cell>
          <cell r="E90" t="str">
            <v>ASSOCIAÇÃO BRASILEIRA DE EDUCAÇÃO E CULTURA - ABEC</v>
          </cell>
          <cell r="F90" t="str">
            <v>Próprio</v>
          </cell>
          <cell r="G90" t="str">
            <v>Chácara/Recanto/Fazenda</v>
          </cell>
          <cell r="H90"/>
          <cell r="I90" t="str">
            <v>Imobiliário</v>
          </cell>
          <cell r="J90" t="str">
            <v>Rua Medianeira, s/nº</v>
          </cell>
          <cell r="K90">
            <v>0</v>
          </cell>
          <cell r="L90"/>
          <cell r="M90" t="str">
            <v>Cataratas</v>
          </cell>
          <cell r="N90" t="str">
            <v>Cascavel</v>
          </cell>
          <cell r="O90" t="str">
            <v>Paraná</v>
          </cell>
          <cell r="P90" t="str">
            <v>Brasil</v>
          </cell>
          <cell r="Q90"/>
        </row>
        <row r="91">
          <cell r="A91">
            <v>44030</v>
          </cell>
          <cell r="B91" t="str">
            <v>Rua Paraná, nº 2.680Centro</v>
          </cell>
          <cell r="C91" t="str">
            <v>Colégio Marista de Cascavel</v>
          </cell>
          <cell r="D91" t="str">
            <v>ASSOCIAÇÃO BRASILEIRA DE EDUCAÇÃO E CULTURA - ABEC</v>
          </cell>
          <cell r="E91" t="str">
            <v>ASSOCIAÇÃO BRASILEIRA DE EDUCAÇÃO E CULTURA - ABEC</v>
          </cell>
          <cell r="F91" t="str">
            <v>Próprio</v>
          </cell>
          <cell r="G91" t="str">
            <v>Edificado - Operacional</v>
          </cell>
          <cell r="H91"/>
          <cell r="I91" t="str">
            <v>Imobiliário</v>
          </cell>
          <cell r="J91" t="str">
            <v>Rua Paraná, nº 2.680</v>
          </cell>
          <cell r="K91">
            <v>0</v>
          </cell>
          <cell r="L91"/>
          <cell r="M91" t="str">
            <v>Centro</v>
          </cell>
          <cell r="N91" t="str">
            <v>Cascavel</v>
          </cell>
          <cell r="O91" t="str">
            <v>Paraná</v>
          </cell>
          <cell r="P91" t="str">
            <v>Brasil</v>
          </cell>
          <cell r="Q91"/>
        </row>
        <row r="92">
          <cell r="A92">
            <v>58235</v>
          </cell>
          <cell r="B92" t="str">
            <v>Rua João Pessoa, s/nºCentro</v>
          </cell>
          <cell r="C92" t="str">
            <v>Colégio Marista de Cascavel - Academia</v>
          </cell>
          <cell r="D92" t="str">
            <v>ASSOCIAÇÃO BRASILEIRA DE EDUCAÇÃO E CULTURA - ABEC</v>
          </cell>
          <cell r="E92" t="str">
            <v>ASSOCIAÇÃO BRASILEIRA DE EDUCAÇÃO E CULTURA - ABEC</v>
          </cell>
          <cell r="F92" t="str">
            <v>Próprio</v>
          </cell>
          <cell r="G92" t="str">
            <v>Edificado - Operacional</v>
          </cell>
          <cell r="H92"/>
          <cell r="I92" t="str">
            <v>Imobiliário</v>
          </cell>
          <cell r="J92" t="str">
            <v>Rua João Pessoa, s/nº</v>
          </cell>
          <cell r="K92">
            <v>0</v>
          </cell>
          <cell r="L92"/>
          <cell r="M92" t="str">
            <v>Centro</v>
          </cell>
          <cell r="N92" t="str">
            <v>Cascavel</v>
          </cell>
          <cell r="O92" t="str">
            <v>Paraná</v>
          </cell>
          <cell r="P92" t="str">
            <v>Brasil</v>
          </cell>
          <cell r="Q92"/>
        </row>
        <row r="93">
          <cell r="A93">
            <v>43247</v>
          </cell>
          <cell r="B93" t="str">
            <v>Rua Curitiba, nº 98Centro</v>
          </cell>
          <cell r="C93" t="str">
            <v>Residência Marista de Chapecó</v>
          </cell>
          <cell r="D93" t="str">
            <v>UNIÃO CATARINENSE DE EDUCAÇÃO - UCE</v>
          </cell>
          <cell r="E93" t="str">
            <v>UNIÃO CATARINENSE DE EDUCAÇÃO - UCE</v>
          </cell>
          <cell r="F93" t="str">
            <v>Próprio</v>
          </cell>
          <cell r="G93" t="str">
            <v>Edificado - Operacional</v>
          </cell>
          <cell r="H93"/>
          <cell r="I93" t="str">
            <v>Imobiliário</v>
          </cell>
          <cell r="J93" t="str">
            <v>Rua Curitiba, nº 98</v>
          </cell>
          <cell r="K93">
            <v>0</v>
          </cell>
          <cell r="L93"/>
          <cell r="M93" t="str">
            <v>Centro</v>
          </cell>
          <cell r="N93" t="str">
            <v>Chapecó</v>
          </cell>
          <cell r="O93" t="str">
            <v>Santa Catarina</v>
          </cell>
          <cell r="P93" t="str">
            <v>Brasil</v>
          </cell>
          <cell r="Q93"/>
        </row>
        <row r="94">
          <cell r="A94">
            <v>56915</v>
          </cell>
          <cell r="B94" t="str">
            <v>Rua Marechal Floriano Peixoto – L, 550Centro</v>
          </cell>
          <cell r="C94" t="str">
            <v>Colégio Marista São Francisco</v>
          </cell>
          <cell r="D94" t="str">
            <v>UNIÃO CATARINENSE DE EDUCAÇÃO - UCE</v>
          </cell>
          <cell r="E94" t="str">
            <v>UNIÃO CATARINENSE DE EDUCAÇÃO - UCE</v>
          </cell>
          <cell r="F94" t="str">
            <v>Próprio</v>
          </cell>
          <cell r="G94" t="str">
            <v>Edificado - Operacional</v>
          </cell>
          <cell r="H94"/>
          <cell r="I94" t="str">
            <v>Imobiliário</v>
          </cell>
          <cell r="J94" t="str">
            <v>Rua Marechal Floriano Peixoto – L, 550</v>
          </cell>
          <cell r="K94">
            <v>0</v>
          </cell>
          <cell r="L94"/>
          <cell r="M94" t="str">
            <v>Centro</v>
          </cell>
          <cell r="N94" t="str">
            <v>Chapecó</v>
          </cell>
          <cell r="O94" t="str">
            <v>Santa Catarina</v>
          </cell>
          <cell r="P94" t="str">
            <v>Brasil</v>
          </cell>
          <cell r="Q94"/>
        </row>
        <row r="95">
          <cell r="A95">
            <v>129887</v>
          </cell>
          <cell r="B95" t="str">
            <v>Estrada S. Carlos, s/nLinha Simonetto</v>
          </cell>
          <cell r="C95" t="str">
            <v>Centro Rural Aurora</v>
          </cell>
          <cell r="D95" t="str">
            <v>ASSOCIAÇÃO BRASILEIRA DE EDUCAÇÃO E CULTURA - ABEC</v>
          </cell>
          <cell r="E95" t="str">
            <v>ASSOCIAÇÃO BRASILEIRA DE EDUCAÇÃO E CULTURA - ABEC</v>
          </cell>
          <cell r="F95" t="str">
            <v>Próprio</v>
          </cell>
          <cell r="G95" t="str">
            <v>Chácara/Recanto/Fazenda</v>
          </cell>
          <cell r="H95"/>
          <cell r="I95" t="str">
            <v>Imobiliário</v>
          </cell>
          <cell r="J95" t="str">
            <v>Estrada S. Carlos, s/n</v>
          </cell>
          <cell r="K95">
            <v>0</v>
          </cell>
          <cell r="L95"/>
          <cell r="M95" t="str">
            <v>Linha Simonetto</v>
          </cell>
          <cell r="N95" t="str">
            <v>Chapecó</v>
          </cell>
          <cell r="O95" t="str">
            <v>Santa Catarina</v>
          </cell>
          <cell r="P95" t="str">
            <v>Brasil</v>
          </cell>
          <cell r="Q95"/>
        </row>
        <row r="96">
          <cell r="A96">
            <v>129888</v>
          </cell>
          <cell r="B96" t="str">
            <v>Estrada S. Carlos, s/nLinha Simonetto</v>
          </cell>
          <cell r="C96" t="str">
            <v>Centro Rural Aurora</v>
          </cell>
          <cell r="D96" t="str">
            <v>ASSOCIAÇÃO BRASILEIRA DE EDUCAÇÃO E CULTURA - ABEC</v>
          </cell>
          <cell r="E96" t="str">
            <v>ASSOCIAÇÃO BRASILEIRA DE EDUCAÇÃO E CULTURA - ABEC</v>
          </cell>
          <cell r="F96" t="str">
            <v>Próprio</v>
          </cell>
          <cell r="G96" t="str">
            <v>Chácara/Recanto/Fazenda</v>
          </cell>
          <cell r="H96"/>
          <cell r="I96" t="str">
            <v>Imobiliário</v>
          </cell>
          <cell r="J96" t="str">
            <v>Estrada S. Carlos, s/n</v>
          </cell>
          <cell r="K96">
            <v>0</v>
          </cell>
          <cell r="L96"/>
          <cell r="M96" t="str">
            <v>Linha Simonetto</v>
          </cell>
          <cell r="N96" t="str">
            <v>Chapecó</v>
          </cell>
          <cell r="O96" t="str">
            <v>Santa Catarina</v>
          </cell>
          <cell r="P96" t="str">
            <v>Brasil</v>
          </cell>
          <cell r="Q96"/>
        </row>
        <row r="97">
          <cell r="A97">
            <v>129889</v>
          </cell>
          <cell r="B97" t="str">
            <v>Estrada S. Carlos, s/nLinha Simonetto</v>
          </cell>
          <cell r="C97" t="str">
            <v>Centro Rural Aurora</v>
          </cell>
          <cell r="D97" t="str">
            <v>ASSOCIAÇÃO BRASILEIRA DE EDUCAÇÃO E CULTURA - ABEC</v>
          </cell>
          <cell r="E97" t="str">
            <v>ASSOCIAÇÃO BRASILEIRA DE EDUCAÇÃO E CULTURA - ABEC</v>
          </cell>
          <cell r="F97" t="str">
            <v>Próprio</v>
          </cell>
          <cell r="G97" t="str">
            <v>Chácara/Recanto/Fazenda</v>
          </cell>
          <cell r="H97"/>
          <cell r="I97" t="str">
            <v>Imobiliário</v>
          </cell>
          <cell r="J97" t="str">
            <v>Estrada S. Carlos, s/n</v>
          </cell>
          <cell r="K97">
            <v>0</v>
          </cell>
          <cell r="L97"/>
          <cell r="M97" t="str">
            <v>Linha Simonetto</v>
          </cell>
          <cell r="N97" t="str">
            <v>Chapecó</v>
          </cell>
          <cell r="O97" t="str">
            <v>Santa Catarina</v>
          </cell>
          <cell r="P97" t="str">
            <v>Brasil</v>
          </cell>
          <cell r="Q97"/>
        </row>
        <row r="98">
          <cell r="A98">
            <v>129886</v>
          </cell>
          <cell r="B98" t="str">
            <v>Estrada S. Carlos, s/nLinha Simonetto</v>
          </cell>
          <cell r="C98" t="str">
            <v>Centro Rural Aurora</v>
          </cell>
          <cell r="D98" t="str">
            <v>ASSOCIAÇÃO BRASILEIRA DE EDUCAÇÃO E CULTURA - ABEC</v>
          </cell>
          <cell r="E98" t="str">
            <v>ASSOCIAÇÃO BRASILEIRA DE EDUCAÇÃO E CULTURA - ABEC</v>
          </cell>
          <cell r="F98" t="str">
            <v>Próprio</v>
          </cell>
          <cell r="G98" t="str">
            <v>Chácara/Recanto/Fazenda</v>
          </cell>
          <cell r="H98"/>
          <cell r="I98" t="str">
            <v>Imobiliário</v>
          </cell>
          <cell r="J98" t="str">
            <v>Estrada S. Carlos, s/n</v>
          </cell>
          <cell r="K98">
            <v>0</v>
          </cell>
          <cell r="L98"/>
          <cell r="M98" t="str">
            <v>Linha Simonetto</v>
          </cell>
          <cell r="N98" t="str">
            <v>Chapecó</v>
          </cell>
          <cell r="O98" t="str">
            <v>Santa Catarina</v>
          </cell>
          <cell r="P98" t="str">
            <v>Brasil</v>
          </cell>
          <cell r="Q98"/>
        </row>
        <row r="99">
          <cell r="A99">
            <v>4808</v>
          </cell>
          <cell r="B99" t="str">
            <v>Loteamento serafim E. BertasoLotes 13 / 14 - Quadra 987Serafim E. Bertaso</v>
          </cell>
          <cell r="C99" t="str">
            <v>Loteamento Serafim Bertaso - 02 lotes</v>
          </cell>
          <cell r="D99" t="str">
            <v>UNIÃO CATARINENSE DE EDUCAÇÃO - UCE</v>
          </cell>
          <cell r="E99" t="str">
            <v>UNIÃO CATARINENSE DE EDUCAÇÃO - UCE</v>
          </cell>
          <cell r="F99" t="str">
            <v>Próprio</v>
          </cell>
          <cell r="G99" t="str">
            <v>Lotes / Terrenos</v>
          </cell>
          <cell r="H99"/>
          <cell r="I99" t="str">
            <v>Imobiliário</v>
          </cell>
          <cell r="J99" t="str">
            <v>Loteamento serafim E. Bertaso</v>
          </cell>
          <cell r="K99">
            <v>0</v>
          </cell>
          <cell r="L99" t="str">
            <v>Lotes 13 / 14 - Quadra 987</v>
          </cell>
          <cell r="M99" t="str">
            <v>Serafim E. Bertaso</v>
          </cell>
          <cell r="N99" t="str">
            <v>Chapecó</v>
          </cell>
          <cell r="O99" t="str">
            <v>Santa Catarina</v>
          </cell>
          <cell r="P99" t="str">
            <v>Brasil</v>
          </cell>
          <cell r="Q99"/>
        </row>
        <row r="100">
          <cell r="A100">
            <v>106982</v>
          </cell>
          <cell r="B100" t="str">
            <v>Rua Antonio de Lucca, nº 334Pio Corrêa</v>
          </cell>
          <cell r="C100" t="str">
            <v>Colégio Marista de Criciúma</v>
          </cell>
          <cell r="D100" t="str">
            <v>UNIÃO CATARINENSE DE EDUCAÇÃO - UCE</v>
          </cell>
          <cell r="E100" t="str">
            <v>UNIÃO CATARINENSE DE EDUCAÇÃO - UCE</v>
          </cell>
          <cell r="F100" t="str">
            <v>Próprio</v>
          </cell>
          <cell r="G100" t="str">
            <v>Edificado - Operacional</v>
          </cell>
          <cell r="H100"/>
          <cell r="I100" t="str">
            <v>Imobiliário</v>
          </cell>
          <cell r="J100" t="str">
            <v>Rua Antonio de Lucca, nº 334</v>
          </cell>
          <cell r="K100">
            <v>0</v>
          </cell>
          <cell r="L100"/>
          <cell r="M100" t="str">
            <v>Pio Corrêa</v>
          </cell>
          <cell r="N100" t="str">
            <v>Criciúma</v>
          </cell>
          <cell r="O100" t="str">
            <v>Santa Catarina</v>
          </cell>
          <cell r="P100" t="str">
            <v>Brasil</v>
          </cell>
          <cell r="Q100"/>
        </row>
        <row r="101">
          <cell r="A101">
            <v>21907</v>
          </cell>
          <cell r="B101" t="str">
            <v>Rua Antonio de Lucca, nº 334Pio Corrêa</v>
          </cell>
          <cell r="C101" t="str">
            <v>Colégio Marista de Criciúma</v>
          </cell>
          <cell r="D101" t="str">
            <v>UNIÃO CATARINENSE DE EDUCAÇÃO - UCE</v>
          </cell>
          <cell r="E101" t="str">
            <v>UNIÃO CATARINENSE DE EDUCAÇÃO - UCE</v>
          </cell>
          <cell r="F101" t="str">
            <v>Próprio</v>
          </cell>
          <cell r="G101" t="str">
            <v>Edificado - Operacional</v>
          </cell>
          <cell r="H101"/>
          <cell r="I101" t="str">
            <v>Imobiliário</v>
          </cell>
          <cell r="J101" t="str">
            <v>Rua Antonio de Lucca, nº 334</v>
          </cell>
          <cell r="K101">
            <v>0</v>
          </cell>
          <cell r="L101"/>
          <cell r="M101" t="str">
            <v>Pio Corrêa</v>
          </cell>
          <cell r="N101" t="str">
            <v>Criciúma</v>
          </cell>
          <cell r="O101" t="str">
            <v>Santa Catarina</v>
          </cell>
          <cell r="P101" t="str">
            <v>Brasil</v>
          </cell>
          <cell r="Q101"/>
        </row>
        <row r="102">
          <cell r="A102">
            <v>22230</v>
          </cell>
          <cell r="B102" t="str">
            <v>Rua Antonio de Lucca, nº 334Pio Corrêa</v>
          </cell>
          <cell r="C102" t="str">
            <v>Colégio Marista de Criciúma</v>
          </cell>
          <cell r="D102" t="str">
            <v>UNIÃO CATARINENSE DE EDUCAÇÃO - UCE</v>
          </cell>
          <cell r="E102" t="str">
            <v>UNIÃO CATARINENSE DE EDUCAÇÃO - UCE</v>
          </cell>
          <cell r="F102" t="str">
            <v>Próprio</v>
          </cell>
          <cell r="G102" t="str">
            <v>Edificado - Operacional</v>
          </cell>
          <cell r="H102"/>
          <cell r="I102" t="str">
            <v>Imobiliário</v>
          </cell>
          <cell r="J102" t="str">
            <v>Rua Antonio de Lucca, nº 334</v>
          </cell>
          <cell r="K102">
            <v>0</v>
          </cell>
          <cell r="L102"/>
          <cell r="M102" t="str">
            <v>Pio Corrêa</v>
          </cell>
          <cell r="N102" t="str">
            <v>Criciúma</v>
          </cell>
          <cell r="O102" t="str">
            <v>Santa Catarina</v>
          </cell>
          <cell r="P102" t="str">
            <v>Brasil</v>
          </cell>
          <cell r="Q102"/>
        </row>
        <row r="103">
          <cell r="A103">
            <v>28464</v>
          </cell>
          <cell r="B103" t="str">
            <v>Estrada Figueiredo, s/nCercadinho</v>
          </cell>
          <cell r="C103" t="str">
            <v>Chácara Colégio Marista Paranaense</v>
          </cell>
          <cell r="D103" t="str">
            <v>UNIÃO CATARINENSE DE EDUCAÇÃO - UCE</v>
          </cell>
          <cell r="E103" t="str">
            <v>UNIÃO CATARINENSE DE EDUCAÇÃO - UCE</v>
          </cell>
          <cell r="F103" t="str">
            <v>Próprio</v>
          </cell>
          <cell r="G103" t="str">
            <v>Chácara/Recanto/Fazenda</v>
          </cell>
          <cell r="H103"/>
          <cell r="I103" t="str">
            <v>Imobiliário</v>
          </cell>
          <cell r="J103" t="str">
            <v>Estrada Figueiredo, s/n</v>
          </cell>
          <cell r="K103">
            <v>0</v>
          </cell>
          <cell r="L103"/>
          <cell r="M103" t="str">
            <v>Cercadinho</v>
          </cell>
          <cell r="N103" t="str">
            <v>Campo Largo</v>
          </cell>
          <cell r="O103" t="str">
            <v>Paraná</v>
          </cell>
          <cell r="P103" t="str">
            <v>Brasil</v>
          </cell>
          <cell r="Q103"/>
        </row>
        <row r="104">
          <cell r="A104">
            <v>9604</v>
          </cell>
          <cell r="B104" t="str">
            <v>Rua Padre Marcelino Champagnat, 100Jd. Atlântico</v>
          </cell>
          <cell r="C104" t="str">
            <v>Loteamento Vila Marista - Florianópolis</v>
          </cell>
          <cell r="D104" t="str">
            <v>UNIÃO CATARINENSE DE EDUCAÇÃO - UCE</v>
          </cell>
          <cell r="E104" t="str">
            <v>UNIÃO CATARINENSE DE EDUCAÇÃO - UCE</v>
          </cell>
          <cell r="F104" t="str">
            <v>Próprio</v>
          </cell>
          <cell r="G104" t="str">
            <v>Lotes / Terrenos</v>
          </cell>
          <cell r="H104"/>
          <cell r="I104" t="str">
            <v>Imobiliário</v>
          </cell>
          <cell r="J104" t="str">
            <v>Rua Padre Marcelino Champagnat, 100</v>
          </cell>
          <cell r="K104">
            <v>0</v>
          </cell>
          <cell r="L104"/>
          <cell r="M104" t="str">
            <v>Jd. Atlântico</v>
          </cell>
          <cell r="N104" t="str">
            <v>Florianópolis</v>
          </cell>
          <cell r="O104" t="str">
            <v>Santa Catarina</v>
          </cell>
          <cell r="P104" t="str">
            <v>Brasil</v>
          </cell>
          <cell r="Q104"/>
        </row>
        <row r="105">
          <cell r="A105">
            <v>9605</v>
          </cell>
          <cell r="B105" t="str">
            <v>Rua Padre Marcelino Champagnat, 100Jd. Atlântico</v>
          </cell>
          <cell r="C105" t="str">
            <v>Loteamento Vila Marista - Florianópolis</v>
          </cell>
          <cell r="D105" t="str">
            <v>UNIÃO CATARINENSE DE EDUCAÇÃO - UCE</v>
          </cell>
          <cell r="E105" t="str">
            <v>UNIÃO CATARINENSE DE EDUCAÇÃO - UCE</v>
          </cell>
          <cell r="F105" t="str">
            <v>Próprio</v>
          </cell>
          <cell r="G105" t="str">
            <v>Lotes / Terrenos</v>
          </cell>
          <cell r="H105"/>
          <cell r="I105" t="str">
            <v>Imobiliário</v>
          </cell>
          <cell r="J105" t="str">
            <v>Rua Padre Marcelino Champagnat, 100</v>
          </cell>
          <cell r="K105">
            <v>0</v>
          </cell>
          <cell r="L105"/>
          <cell r="M105" t="str">
            <v>Jd. Atlântico</v>
          </cell>
          <cell r="N105" t="str">
            <v>Florianópolis</v>
          </cell>
          <cell r="O105" t="str">
            <v>Santa Catarina</v>
          </cell>
          <cell r="P105" t="str">
            <v>Brasil</v>
          </cell>
          <cell r="Q105"/>
        </row>
        <row r="106">
          <cell r="A106">
            <v>9606</v>
          </cell>
          <cell r="B106" t="str">
            <v>Rua Padre Marcelino Champagnat, 100Jd. Atlântico</v>
          </cell>
          <cell r="C106" t="str">
            <v>Loteamento Vila Marista - Florianópolis</v>
          </cell>
          <cell r="D106" t="str">
            <v>UNIÃO CATARINENSE DE EDUCAÇÃO - UCE</v>
          </cell>
          <cell r="E106" t="str">
            <v>UNIÃO CATARINENSE DE EDUCAÇÃO - UCE</v>
          </cell>
          <cell r="F106" t="str">
            <v>Próprio</v>
          </cell>
          <cell r="G106" t="str">
            <v>Lotes / Terrenos</v>
          </cell>
          <cell r="H106"/>
          <cell r="I106" t="str">
            <v>Imobiliário</v>
          </cell>
          <cell r="J106" t="str">
            <v>Rua Padre Marcelino Champagnat, 100</v>
          </cell>
          <cell r="K106">
            <v>0</v>
          </cell>
          <cell r="L106"/>
          <cell r="M106" t="str">
            <v>Jd. Atlântico</v>
          </cell>
          <cell r="N106" t="str">
            <v>Florianópolis</v>
          </cell>
          <cell r="O106" t="str">
            <v>Santa Catarina</v>
          </cell>
          <cell r="P106" t="str">
            <v>Brasil</v>
          </cell>
          <cell r="Q106"/>
        </row>
        <row r="107">
          <cell r="A107">
            <v>9607</v>
          </cell>
          <cell r="B107" t="str">
            <v>Rua Padre Marcelino Champagnat, 100Jd. Atlântico</v>
          </cell>
          <cell r="C107" t="str">
            <v>Loteamento Vila Marista - Florianópolis</v>
          </cell>
          <cell r="D107" t="str">
            <v>UNIÃO CATARINENSE DE EDUCAÇÃO - UCE</v>
          </cell>
          <cell r="E107" t="str">
            <v>UNIÃO CATARINENSE DE EDUCAÇÃO - UCE</v>
          </cell>
          <cell r="F107" t="str">
            <v>Próprio</v>
          </cell>
          <cell r="G107" t="str">
            <v>Lotes / Terrenos</v>
          </cell>
          <cell r="H107"/>
          <cell r="I107" t="str">
            <v>Imobiliário</v>
          </cell>
          <cell r="J107" t="str">
            <v>Rua Padre Marcelino Champagnat, 100</v>
          </cell>
          <cell r="K107">
            <v>0</v>
          </cell>
          <cell r="L107"/>
          <cell r="M107" t="str">
            <v>Jd. Atlântico</v>
          </cell>
          <cell r="N107" t="str">
            <v>Florianópolis</v>
          </cell>
          <cell r="O107" t="str">
            <v>Santa Catarina</v>
          </cell>
          <cell r="P107" t="str">
            <v>Brasil</v>
          </cell>
          <cell r="Q107"/>
        </row>
        <row r="108">
          <cell r="A108">
            <v>9608</v>
          </cell>
          <cell r="B108" t="str">
            <v>Rua Padre Marcelino Champagnat, 100Jd. Atlântico</v>
          </cell>
          <cell r="C108" t="str">
            <v>Loteamento Vila Marista - Florianópolis</v>
          </cell>
          <cell r="D108" t="str">
            <v>UNIÃO CATARINENSE DE EDUCAÇÃO - UCE</v>
          </cell>
          <cell r="E108" t="str">
            <v>UNIÃO CATARINENSE DE EDUCAÇÃO - UCE</v>
          </cell>
          <cell r="F108" t="str">
            <v>Próprio</v>
          </cell>
          <cell r="G108" t="str">
            <v>Lotes / Terrenos</v>
          </cell>
          <cell r="H108"/>
          <cell r="I108" t="str">
            <v>Imobiliário</v>
          </cell>
          <cell r="J108" t="str">
            <v>Rua Padre Marcelino Champagnat, 100</v>
          </cell>
          <cell r="K108">
            <v>0</v>
          </cell>
          <cell r="L108"/>
          <cell r="M108" t="str">
            <v>Jd. Atlântico</v>
          </cell>
          <cell r="N108" t="str">
            <v>Florianópolis</v>
          </cell>
          <cell r="O108" t="str">
            <v>Santa Catarina</v>
          </cell>
          <cell r="P108" t="str">
            <v>Brasil</v>
          </cell>
          <cell r="Q108"/>
        </row>
        <row r="109">
          <cell r="A109">
            <v>9613</v>
          </cell>
          <cell r="B109" t="str">
            <v>Rua Padre Marcelino Champagnat, 100Jd. Atlântico</v>
          </cell>
          <cell r="C109" t="str">
            <v>Loteamento Vila Marista - Florianópolis</v>
          </cell>
          <cell r="D109" t="str">
            <v>UNIÃO CATARINENSE DE EDUCAÇÃO - UCE</v>
          </cell>
          <cell r="E109" t="str">
            <v>UNIÃO CATARINENSE DE EDUCAÇÃO - UCE</v>
          </cell>
          <cell r="F109" t="str">
            <v>Próprio</v>
          </cell>
          <cell r="G109" t="str">
            <v>Lotes / Terrenos</v>
          </cell>
          <cell r="H109"/>
          <cell r="I109" t="str">
            <v>Imobiliário</v>
          </cell>
          <cell r="J109" t="str">
            <v>Rua Padre Marcelino Champagnat, 100</v>
          </cell>
          <cell r="K109">
            <v>0</v>
          </cell>
          <cell r="L109"/>
          <cell r="M109" t="str">
            <v>Jd. Atlântico</v>
          </cell>
          <cell r="N109" t="str">
            <v>Florianópolis</v>
          </cell>
          <cell r="O109" t="str">
            <v>Santa Catarina</v>
          </cell>
          <cell r="P109" t="str">
            <v>Brasil</v>
          </cell>
          <cell r="Q109"/>
        </row>
        <row r="110">
          <cell r="A110">
            <v>53434</v>
          </cell>
          <cell r="B110" t="str">
            <v>Rua Padre Marcelino Champagnat, 100Jd. Atlântico</v>
          </cell>
          <cell r="C110" t="str">
            <v>Loteamento Vila Marista - Florianópolis</v>
          </cell>
          <cell r="D110" t="str">
            <v>UNIÃO CATARINENSE DE EDUCAÇÃO - UCE</v>
          </cell>
          <cell r="E110" t="str">
            <v>UNIÃO CATARINENSE DE EDUCAÇÃO - UCE</v>
          </cell>
          <cell r="F110" t="str">
            <v>Próprio</v>
          </cell>
          <cell r="G110" t="str">
            <v>Lotes / Terrenos</v>
          </cell>
          <cell r="H110"/>
          <cell r="I110" t="str">
            <v>Imobiliário</v>
          </cell>
          <cell r="J110" t="str">
            <v>Rua Padre Marcelino Champagnat, 100</v>
          </cell>
          <cell r="K110">
            <v>0</v>
          </cell>
          <cell r="L110"/>
          <cell r="M110" t="str">
            <v>Jd. Atlântico</v>
          </cell>
          <cell r="N110" t="str">
            <v>Florianópolis</v>
          </cell>
          <cell r="O110" t="str">
            <v>Santa Catarina</v>
          </cell>
          <cell r="P110" t="str">
            <v>Brasil</v>
          </cell>
          <cell r="Q110"/>
        </row>
        <row r="111">
          <cell r="A111">
            <v>53435</v>
          </cell>
          <cell r="B111" t="str">
            <v>Rua Padre Marcelino Champagnat, 100Jd. Atlântico</v>
          </cell>
          <cell r="C111" t="str">
            <v>Loteamento Vila Marista - Florianópolis</v>
          </cell>
          <cell r="D111" t="str">
            <v>UNIÃO CATARINENSE DE EDUCAÇÃO - UCE</v>
          </cell>
          <cell r="E111" t="str">
            <v>UNIÃO CATARINENSE DE EDUCAÇÃO - UCE</v>
          </cell>
          <cell r="F111" t="str">
            <v>Próprio</v>
          </cell>
          <cell r="G111" t="str">
            <v>Lotes / Terrenos</v>
          </cell>
          <cell r="H111"/>
          <cell r="I111" t="str">
            <v>Imobiliário</v>
          </cell>
          <cell r="J111" t="str">
            <v>Rua Padre Marcelino Champagnat, 100</v>
          </cell>
          <cell r="K111">
            <v>0</v>
          </cell>
          <cell r="L111"/>
          <cell r="M111" t="str">
            <v>Jd. Atlântico</v>
          </cell>
          <cell r="N111" t="str">
            <v>Florianópolis</v>
          </cell>
          <cell r="O111" t="str">
            <v>Santa Catarina</v>
          </cell>
          <cell r="P111" t="str">
            <v>Brasil</v>
          </cell>
          <cell r="Q111"/>
        </row>
        <row r="112">
          <cell r="A112">
            <v>9616</v>
          </cell>
          <cell r="B112" t="str">
            <v>Rua Padre Marcelino Champagnat, 100Jd. Atlântico</v>
          </cell>
          <cell r="C112" t="str">
            <v>Loteamento Vila Marista - Florianópolis</v>
          </cell>
          <cell r="D112" t="str">
            <v>UNIÃO CATARINENSE DE EDUCAÇÃO - UCE</v>
          </cell>
          <cell r="E112" t="str">
            <v>UNIÃO CATARINENSE DE EDUCAÇÃO - UCE</v>
          </cell>
          <cell r="F112" t="str">
            <v>Próprio</v>
          </cell>
          <cell r="G112" t="str">
            <v>Lotes / Terrenos</v>
          </cell>
          <cell r="H112"/>
          <cell r="I112" t="str">
            <v>Imobiliário</v>
          </cell>
          <cell r="J112" t="str">
            <v>Rua Padre Marcelino Champagnat, 100</v>
          </cell>
          <cell r="K112">
            <v>0</v>
          </cell>
          <cell r="L112"/>
          <cell r="M112" t="str">
            <v>Jd. Atlântico</v>
          </cell>
          <cell r="N112" t="str">
            <v>Florianópolis</v>
          </cell>
          <cell r="O112" t="str">
            <v>Santa Catarina</v>
          </cell>
          <cell r="P112" t="str">
            <v>Brasil</v>
          </cell>
          <cell r="Q112"/>
        </row>
        <row r="113">
          <cell r="A113">
            <v>9617</v>
          </cell>
          <cell r="B113" t="str">
            <v>Rua Padre Marcelino Champagnat, 100Jd. Atlântico</v>
          </cell>
          <cell r="C113" t="str">
            <v>Loteamento Vila Marista - Florianópolis</v>
          </cell>
          <cell r="D113" t="str">
            <v>UNIÃO CATARINENSE DE EDUCAÇÃO - UCE</v>
          </cell>
          <cell r="E113" t="str">
            <v>UNIÃO CATARINENSE DE EDUCAÇÃO - UCE</v>
          </cell>
          <cell r="F113" t="str">
            <v>Próprio</v>
          </cell>
          <cell r="G113" t="str">
            <v>Lotes / Terrenos</v>
          </cell>
          <cell r="H113"/>
          <cell r="I113" t="str">
            <v>Imobiliário</v>
          </cell>
          <cell r="J113" t="str">
            <v>Rua Padre Marcelino Champagnat, 100</v>
          </cell>
          <cell r="K113">
            <v>0</v>
          </cell>
          <cell r="L113"/>
          <cell r="M113" t="str">
            <v>Jd. Atlântico</v>
          </cell>
          <cell r="N113" t="str">
            <v>Florianópolis</v>
          </cell>
          <cell r="O113" t="str">
            <v>Santa Catarina</v>
          </cell>
          <cell r="P113" t="str">
            <v>Brasil</v>
          </cell>
          <cell r="Q113"/>
        </row>
        <row r="114">
          <cell r="A114">
            <v>9618</v>
          </cell>
          <cell r="B114" t="str">
            <v>Rua Padre Marcelino Champagnat, 100Jd. Atlântico</v>
          </cell>
          <cell r="C114" t="str">
            <v>Loteamento Vila Marista - Florianópolis</v>
          </cell>
          <cell r="D114" t="str">
            <v>UNIÃO CATARINENSE DE EDUCAÇÃO - UCE</v>
          </cell>
          <cell r="E114" t="str">
            <v>UNIÃO CATARINENSE DE EDUCAÇÃO - UCE</v>
          </cell>
          <cell r="F114" t="str">
            <v>Próprio</v>
          </cell>
          <cell r="G114" t="str">
            <v>Lotes / Terrenos</v>
          </cell>
          <cell r="H114"/>
          <cell r="I114" t="str">
            <v>Imobiliário</v>
          </cell>
          <cell r="J114" t="str">
            <v>Rua Padre Marcelino Champagnat, 100</v>
          </cell>
          <cell r="K114">
            <v>0</v>
          </cell>
          <cell r="L114"/>
          <cell r="M114" t="str">
            <v>Jd. Atlântico</v>
          </cell>
          <cell r="N114" t="str">
            <v>Florianópolis</v>
          </cell>
          <cell r="O114" t="str">
            <v>Santa Catarina</v>
          </cell>
          <cell r="P114" t="str">
            <v>Brasil</v>
          </cell>
          <cell r="Q114"/>
        </row>
        <row r="115">
          <cell r="A115">
            <v>9619</v>
          </cell>
          <cell r="B115" t="str">
            <v>Rua Padre Marcelino Champagnat, 100Jd. Atlântico</v>
          </cell>
          <cell r="C115" t="str">
            <v>Loteamento Vila Marista - Florianópolis</v>
          </cell>
          <cell r="D115" t="str">
            <v>UNIÃO CATARINENSE DE EDUCAÇÃO - UCE</v>
          </cell>
          <cell r="E115" t="str">
            <v>UNIÃO CATARINENSE DE EDUCAÇÃO - UCE</v>
          </cell>
          <cell r="F115" t="str">
            <v>Próprio</v>
          </cell>
          <cell r="G115" t="str">
            <v>Lotes / Terrenos</v>
          </cell>
          <cell r="H115"/>
          <cell r="I115" t="str">
            <v>Imobiliário</v>
          </cell>
          <cell r="J115" t="str">
            <v>Rua Padre Marcelino Champagnat, 100</v>
          </cell>
          <cell r="K115">
            <v>0</v>
          </cell>
          <cell r="L115"/>
          <cell r="M115" t="str">
            <v>Jd. Atlântico</v>
          </cell>
          <cell r="N115" t="str">
            <v>Florianópolis</v>
          </cell>
          <cell r="O115" t="str">
            <v>Santa Catarina</v>
          </cell>
          <cell r="P115" t="str">
            <v>Brasil</v>
          </cell>
          <cell r="Q115"/>
        </row>
        <row r="116">
          <cell r="A116">
            <v>9620</v>
          </cell>
          <cell r="B116" t="str">
            <v>Rua Padre Marcelino Champagnat, 100Jd. Atlântico</v>
          </cell>
          <cell r="C116" t="str">
            <v>Loteamento Vila Marista - Florianópolis</v>
          </cell>
          <cell r="D116" t="str">
            <v>UNIÃO CATARINENSE DE EDUCAÇÃO - UCE</v>
          </cell>
          <cell r="E116" t="str">
            <v>UNIÃO CATARINENSE DE EDUCAÇÃO - UCE</v>
          </cell>
          <cell r="F116" t="str">
            <v>Próprio</v>
          </cell>
          <cell r="G116" t="str">
            <v>Lotes / Terrenos</v>
          </cell>
          <cell r="H116"/>
          <cell r="I116" t="str">
            <v>Imobiliário</v>
          </cell>
          <cell r="J116" t="str">
            <v>Rua Padre Marcelino Champagnat, 100</v>
          </cell>
          <cell r="K116">
            <v>0</v>
          </cell>
          <cell r="L116"/>
          <cell r="M116" t="str">
            <v>Jd. Atlântico</v>
          </cell>
          <cell r="N116" t="str">
            <v>Florianópolis</v>
          </cell>
          <cell r="O116" t="str">
            <v>Santa Catarina</v>
          </cell>
          <cell r="P116" t="str">
            <v>Brasil</v>
          </cell>
          <cell r="Q116"/>
        </row>
        <row r="117">
          <cell r="A117">
            <v>9621</v>
          </cell>
          <cell r="B117" t="str">
            <v>Rua Padre Marcelino Champagnat, 100Jd. Atlântico</v>
          </cell>
          <cell r="C117" t="str">
            <v>Loteamento Vila Marista - Florianópolis</v>
          </cell>
          <cell r="D117" t="str">
            <v>UNIÃO CATARINENSE DE EDUCAÇÃO - UCE</v>
          </cell>
          <cell r="E117" t="str">
            <v>UNIÃO CATARINENSE DE EDUCAÇÃO - UCE</v>
          </cell>
          <cell r="F117" t="str">
            <v>Próprio</v>
          </cell>
          <cell r="G117" t="str">
            <v>Lotes / Terrenos</v>
          </cell>
          <cell r="H117"/>
          <cell r="I117" t="str">
            <v>Imobiliário</v>
          </cell>
          <cell r="J117" t="str">
            <v>Rua Padre Marcelino Champagnat, 100</v>
          </cell>
          <cell r="K117">
            <v>0</v>
          </cell>
          <cell r="L117"/>
          <cell r="M117" t="str">
            <v>Jd. Atlântico</v>
          </cell>
          <cell r="N117" t="str">
            <v>Florianópolis</v>
          </cell>
          <cell r="O117" t="str">
            <v>Santa Catarina</v>
          </cell>
          <cell r="P117" t="str">
            <v>Brasil</v>
          </cell>
          <cell r="Q117"/>
        </row>
        <row r="118">
          <cell r="A118">
            <v>2197</v>
          </cell>
          <cell r="B118" t="str">
            <v>Rua Evaldo Schaeffer, s/nº - Lote 13Anexo ao Centro de FormaçãoJd. Atlântico</v>
          </cell>
          <cell r="C118" t="str">
            <v>Rua Melvin Jones esq. c/ Evaldo Schaeffer - Loteamento Vila Marista</v>
          </cell>
          <cell r="D118" t="str">
            <v>UNIÃO CATARINENSE DE EDUCAÇÃO - UCE</v>
          </cell>
          <cell r="E118" t="str">
            <v>UNIÃO CATARINENSE DE EDUCAÇÃO - UCE</v>
          </cell>
          <cell r="F118" t="str">
            <v>Próprio</v>
          </cell>
          <cell r="G118" t="str">
            <v>Lote / Terreno</v>
          </cell>
          <cell r="H118"/>
          <cell r="I118" t="str">
            <v>Imobiliário</v>
          </cell>
          <cell r="J118" t="str">
            <v>Rua Evaldo Schaeffer, s/nº - Lote 13</v>
          </cell>
          <cell r="K118">
            <v>0</v>
          </cell>
          <cell r="L118" t="str">
            <v>Anexo ao Centro de Formação</v>
          </cell>
          <cell r="M118" t="str">
            <v>Jd. Atlântico</v>
          </cell>
          <cell r="N118" t="str">
            <v>Florianópolis</v>
          </cell>
          <cell r="O118" t="str">
            <v>Santa Catarina</v>
          </cell>
          <cell r="P118" t="str">
            <v>Brasil</v>
          </cell>
          <cell r="Q118"/>
        </row>
        <row r="119">
          <cell r="A119">
            <v>28583</v>
          </cell>
          <cell r="B119" t="str">
            <v>Avenida Rio Branco, 173VENDIDO EM 25/11/2016Jardim Agari</v>
          </cell>
          <cell r="C119" t="str">
            <v>(VENDIDO) EDITORA FTD - Galpão Londrina</v>
          </cell>
          <cell r="D119" t="str">
            <v>EDITORA FTD S/A</v>
          </cell>
          <cell r="E119" t="str">
            <v>EDITORA FTD S/A</v>
          </cell>
          <cell r="F119" t="str">
            <v>Próprio</v>
          </cell>
          <cell r="G119" t="str">
            <v>Edificado - Operacional</v>
          </cell>
          <cell r="H119"/>
          <cell r="I119" t="str">
            <v>Imobiliário</v>
          </cell>
          <cell r="J119" t="str">
            <v>Avenida Rio Branco, 173</v>
          </cell>
          <cell r="K119">
            <v>0</v>
          </cell>
          <cell r="L119" t="str">
            <v>VENDIDO EM 25/11/2016</v>
          </cell>
          <cell r="M119" t="str">
            <v>Jardim Agari</v>
          </cell>
          <cell r="N119" t="str">
            <v>Londrina</v>
          </cell>
          <cell r="O119" t="str">
            <v>Paraná</v>
          </cell>
          <cell r="P119" t="str">
            <v>Brasil</v>
          </cell>
          <cell r="Q119"/>
        </row>
        <row r="120">
          <cell r="A120">
            <v>53234</v>
          </cell>
          <cell r="B120" t="str">
            <v>Rua Sertão do Assopro, s/nº CEP 88062-002Morro da Lagoa</v>
          </cell>
          <cell r="C120" t="str">
            <v>Recanto Champagnat - Florianópolis</v>
          </cell>
          <cell r="D120" t="str">
            <v>UNIÃO CATARINENSE DE EDUCAÇÃO - UCE</v>
          </cell>
          <cell r="E120" t="str">
            <v>UNIÃO CATARINENSE DE EDUCAÇÃO - UCE</v>
          </cell>
          <cell r="F120" t="str">
            <v>Próprio</v>
          </cell>
          <cell r="G120" t="str">
            <v>Chácara/Recanto/Fazenda</v>
          </cell>
          <cell r="H120"/>
          <cell r="I120" t="str">
            <v>Imobiliário</v>
          </cell>
          <cell r="J120" t="str">
            <v>Rua Sertão do Assopro, s/nº CEP 88062-002</v>
          </cell>
          <cell r="K120">
            <v>0</v>
          </cell>
          <cell r="L120"/>
          <cell r="M120" t="str">
            <v>Morro da Lagoa</v>
          </cell>
          <cell r="N120" t="str">
            <v>Florianópolis</v>
          </cell>
          <cell r="O120" t="str">
            <v>Santa Catarina</v>
          </cell>
          <cell r="P120" t="str">
            <v>Brasil</v>
          </cell>
          <cell r="Q120"/>
        </row>
        <row r="121">
          <cell r="A121">
            <v>0</v>
          </cell>
          <cell r="B121" t="str">
            <v>Rua Sertão do Assopro, s/nº CEP 88062-002Morro da Lagoa</v>
          </cell>
          <cell r="C121" t="str">
            <v>Recanto Champagnat - Florianópolis</v>
          </cell>
          <cell r="D121" t="str">
            <v>UNIÃO CATARINENSE DE EDUCAÇÃO - UCE</v>
          </cell>
          <cell r="E121" t="str">
            <v>UNIÃO CATARINENSE DE EDUCAÇÃO - UCE</v>
          </cell>
          <cell r="F121" t="str">
            <v>Próprio</v>
          </cell>
          <cell r="G121" t="str">
            <v>Chácara/Recanto/Fazenda</v>
          </cell>
          <cell r="H121"/>
          <cell r="I121" t="str">
            <v>Imobiliário</v>
          </cell>
          <cell r="J121" t="str">
            <v>Rua Sertão do Assopro, s/nº CEP 88062-002</v>
          </cell>
          <cell r="K121">
            <v>0</v>
          </cell>
          <cell r="L121"/>
          <cell r="M121" t="str">
            <v>Morro da Lagoa</v>
          </cell>
          <cell r="N121" t="str">
            <v>Florianópolis</v>
          </cell>
          <cell r="O121" t="str">
            <v>Santa Catarina</v>
          </cell>
          <cell r="P121" t="str">
            <v>Brasil</v>
          </cell>
          <cell r="Q121"/>
        </row>
        <row r="122">
          <cell r="A122">
            <v>58314</v>
          </cell>
          <cell r="B122" t="str">
            <v>Rua Lauro Linhares, nº 2.123Salas, lojas, Quiosques e Vagas de GaragemTrindade</v>
          </cell>
          <cell r="C122" t="str">
            <v>Edifício Trindade Center</v>
          </cell>
          <cell r="D122" t="str">
            <v>UNIÃO CATARINENSE DE EDUCAÇÃO - UCE</v>
          </cell>
          <cell r="E122" t="str">
            <v>UNIÃO CATARINENSE DE EDUCAÇÃO - UCE</v>
          </cell>
          <cell r="F122" t="str">
            <v>Próprio</v>
          </cell>
          <cell r="G122" t="str">
            <v>Edificado - Comercial</v>
          </cell>
          <cell r="H122"/>
          <cell r="I122" t="str">
            <v>Imobiliário</v>
          </cell>
          <cell r="J122" t="str">
            <v>Rua Lauro Linhares, nº 2.123</v>
          </cell>
          <cell r="K122">
            <v>0</v>
          </cell>
          <cell r="L122" t="str">
            <v>Salas, lojas, Quiosques e Vagas de Garagem</v>
          </cell>
          <cell r="M122" t="str">
            <v>Trindade</v>
          </cell>
          <cell r="N122" t="str">
            <v>Florianópolis</v>
          </cell>
          <cell r="O122" t="str">
            <v>Santa Catarina</v>
          </cell>
          <cell r="P122" t="str">
            <v>Brasil</v>
          </cell>
          <cell r="Q122"/>
        </row>
        <row r="123">
          <cell r="A123">
            <v>58315</v>
          </cell>
          <cell r="B123" t="str">
            <v>Rua Lauro Linhares, nº 2.123Salas, lojas, Quiosques e Vagas de GaragemTrindade</v>
          </cell>
          <cell r="C123" t="str">
            <v>Edifício Trindade Center</v>
          </cell>
          <cell r="D123" t="str">
            <v>UNIÃO CATARINENSE DE EDUCAÇÃO - UCE</v>
          </cell>
          <cell r="E123" t="str">
            <v>UNIÃO CATARINENSE DE EDUCAÇÃO - UCE</v>
          </cell>
          <cell r="F123" t="str">
            <v>Próprio</v>
          </cell>
          <cell r="G123" t="str">
            <v>Edificado - Comercial</v>
          </cell>
          <cell r="H123"/>
          <cell r="I123" t="str">
            <v>Imobiliário</v>
          </cell>
          <cell r="J123" t="str">
            <v>Rua Lauro Linhares, nº 2.123</v>
          </cell>
          <cell r="K123">
            <v>0</v>
          </cell>
          <cell r="L123" t="str">
            <v>Salas, lojas, Quiosques e Vagas de Garagem</v>
          </cell>
          <cell r="M123" t="str">
            <v>Trindade</v>
          </cell>
          <cell r="N123" t="str">
            <v>Florianópolis</v>
          </cell>
          <cell r="O123" t="str">
            <v>Santa Catarina</v>
          </cell>
          <cell r="P123" t="str">
            <v>Brasil</v>
          </cell>
          <cell r="Q123"/>
        </row>
        <row r="124">
          <cell r="A124">
            <v>58325</v>
          </cell>
          <cell r="B124" t="str">
            <v>Rua Lauro Linhares, nº 2.123Salas, lojas, Quiosques e Vagas de GaragemTrindade</v>
          </cell>
          <cell r="C124" t="str">
            <v>Edifício Trindade Center</v>
          </cell>
          <cell r="D124" t="str">
            <v>UNIÃO CATARINENSE DE EDUCAÇÃO - UCE</v>
          </cell>
          <cell r="E124" t="str">
            <v>UNIÃO CATARINENSE DE EDUCAÇÃO - UCE</v>
          </cell>
          <cell r="F124" t="str">
            <v>Próprio</v>
          </cell>
          <cell r="G124" t="str">
            <v>Edificado - Comercial</v>
          </cell>
          <cell r="H124"/>
          <cell r="I124" t="str">
            <v>Imobiliário</v>
          </cell>
          <cell r="J124" t="str">
            <v>Rua Lauro Linhares, nº 2.123</v>
          </cell>
          <cell r="K124">
            <v>0</v>
          </cell>
          <cell r="L124" t="str">
            <v>Salas, lojas, Quiosques e Vagas de Garagem</v>
          </cell>
          <cell r="M124" t="str">
            <v>Trindade</v>
          </cell>
          <cell r="N124" t="str">
            <v>Florianópolis</v>
          </cell>
          <cell r="O124" t="str">
            <v>Santa Catarina</v>
          </cell>
          <cell r="P124" t="str">
            <v>Brasil</v>
          </cell>
          <cell r="Q124"/>
        </row>
        <row r="125">
          <cell r="A125">
            <v>58326</v>
          </cell>
          <cell r="B125" t="str">
            <v>Rua Lauro Linhares, nº 2.123Salas, lojas, Quiosques e Vagas de GaragemTrindade</v>
          </cell>
          <cell r="C125" t="str">
            <v>Edifício Trindade Center</v>
          </cell>
          <cell r="D125" t="str">
            <v>UNIÃO CATARINENSE DE EDUCAÇÃO - UCE</v>
          </cell>
          <cell r="E125" t="str">
            <v>UNIÃO CATARINENSE DE EDUCAÇÃO - UCE</v>
          </cell>
          <cell r="F125" t="str">
            <v>Próprio</v>
          </cell>
          <cell r="G125" t="str">
            <v>Edificado - Comercial</v>
          </cell>
          <cell r="H125"/>
          <cell r="I125" t="str">
            <v>Imobiliário</v>
          </cell>
          <cell r="J125" t="str">
            <v>Rua Lauro Linhares, nº 2.123</v>
          </cell>
          <cell r="K125">
            <v>0</v>
          </cell>
          <cell r="L125" t="str">
            <v>Salas, lojas, Quiosques e Vagas de Garagem</v>
          </cell>
          <cell r="M125" t="str">
            <v>Trindade</v>
          </cell>
          <cell r="N125" t="str">
            <v>Florianópolis</v>
          </cell>
          <cell r="O125" t="str">
            <v>Santa Catarina</v>
          </cell>
          <cell r="P125" t="str">
            <v>Brasil</v>
          </cell>
          <cell r="Q125"/>
        </row>
        <row r="126">
          <cell r="A126">
            <v>58333</v>
          </cell>
          <cell r="B126" t="str">
            <v>Rua Lauro Linhares, nº 2.123Salas, lojas, Quiosques e Vagas de GaragemTrindade</v>
          </cell>
          <cell r="C126" t="str">
            <v>Edifício Trindade Center</v>
          </cell>
          <cell r="D126" t="str">
            <v>UNIÃO CATARINENSE DE EDUCAÇÃO - UCE</v>
          </cell>
          <cell r="E126" t="str">
            <v>UNIÃO CATARINENSE DE EDUCAÇÃO - UCE</v>
          </cell>
          <cell r="F126" t="str">
            <v>Próprio</v>
          </cell>
          <cell r="G126" t="str">
            <v>Edificado - Comercial</v>
          </cell>
          <cell r="H126"/>
          <cell r="I126" t="str">
            <v>Imobiliário</v>
          </cell>
          <cell r="J126" t="str">
            <v>Rua Lauro Linhares, nº 2.123</v>
          </cell>
          <cell r="K126">
            <v>0</v>
          </cell>
          <cell r="L126" t="str">
            <v>Salas, lojas, Quiosques e Vagas de Garagem</v>
          </cell>
          <cell r="M126" t="str">
            <v>Trindade</v>
          </cell>
          <cell r="N126" t="str">
            <v>Florianópolis</v>
          </cell>
          <cell r="O126" t="str">
            <v>Santa Catarina</v>
          </cell>
          <cell r="P126" t="str">
            <v>Brasil</v>
          </cell>
          <cell r="Q126"/>
        </row>
        <row r="127">
          <cell r="A127">
            <v>58334</v>
          </cell>
          <cell r="B127" t="str">
            <v>Rua Lauro Linhares, nº 2.123Salas, lojas, Quiosques e Vagas de GaragemTrindade</v>
          </cell>
          <cell r="C127" t="str">
            <v>Edifício Trindade Center</v>
          </cell>
          <cell r="D127" t="str">
            <v>UNIÃO CATARINENSE DE EDUCAÇÃO - UCE</v>
          </cell>
          <cell r="E127" t="str">
            <v>UNIÃO CATARINENSE DE EDUCAÇÃO - UCE</v>
          </cell>
          <cell r="F127" t="str">
            <v>Próprio</v>
          </cell>
          <cell r="G127" t="str">
            <v>Edificado - Comercial</v>
          </cell>
          <cell r="H127"/>
          <cell r="I127" t="str">
            <v>Imobiliário</v>
          </cell>
          <cell r="J127" t="str">
            <v>Rua Lauro Linhares, nº 2.123</v>
          </cell>
          <cell r="K127">
            <v>0</v>
          </cell>
          <cell r="L127" t="str">
            <v>Salas, lojas, Quiosques e Vagas de Garagem</v>
          </cell>
          <cell r="M127" t="str">
            <v>Trindade</v>
          </cell>
          <cell r="N127" t="str">
            <v>Florianópolis</v>
          </cell>
          <cell r="O127" t="str">
            <v>Santa Catarina</v>
          </cell>
          <cell r="P127" t="str">
            <v>Brasil</v>
          </cell>
          <cell r="Q127"/>
        </row>
        <row r="128">
          <cell r="A128">
            <v>58335</v>
          </cell>
          <cell r="B128" t="str">
            <v>Rua Lauro Linhares, nº 2.123Salas, lojas, Quiosques e Vagas de GaragemTrindade</v>
          </cell>
          <cell r="C128" t="str">
            <v>Edifício Trindade Center</v>
          </cell>
          <cell r="D128" t="str">
            <v>UNIÃO CATARINENSE DE EDUCAÇÃO - UCE</v>
          </cell>
          <cell r="E128" t="str">
            <v>UNIÃO CATARINENSE DE EDUCAÇÃO - UCE</v>
          </cell>
          <cell r="F128" t="str">
            <v>Próprio</v>
          </cell>
          <cell r="G128" t="str">
            <v>Edificado - Comercial</v>
          </cell>
          <cell r="H128"/>
          <cell r="I128" t="str">
            <v>Imobiliário</v>
          </cell>
          <cell r="J128" t="str">
            <v>Rua Lauro Linhares, nº 2.123</v>
          </cell>
          <cell r="K128">
            <v>0</v>
          </cell>
          <cell r="L128" t="str">
            <v>Salas, lojas, Quiosques e Vagas de Garagem</v>
          </cell>
          <cell r="M128" t="str">
            <v>Trindade</v>
          </cell>
          <cell r="N128" t="str">
            <v>Florianópolis</v>
          </cell>
          <cell r="O128" t="str">
            <v>Santa Catarina</v>
          </cell>
          <cell r="P128" t="str">
            <v>Brasil</v>
          </cell>
          <cell r="Q128"/>
        </row>
        <row r="129">
          <cell r="A129">
            <v>58342</v>
          </cell>
          <cell r="B129" t="str">
            <v>Rua Lauro Linhares, nº 2.123Salas, lojas, Quiosques e Vagas de GaragemTrindade</v>
          </cell>
          <cell r="C129" t="str">
            <v>Edifício Trindade Center</v>
          </cell>
          <cell r="D129" t="str">
            <v>UNIÃO CATARINENSE DE EDUCAÇÃO - UCE</v>
          </cell>
          <cell r="E129" t="str">
            <v>UNIÃO CATARINENSE DE EDUCAÇÃO - UCE</v>
          </cell>
          <cell r="F129" t="str">
            <v>Próprio</v>
          </cell>
          <cell r="G129" t="str">
            <v>Edificado - Comercial</v>
          </cell>
          <cell r="H129"/>
          <cell r="I129" t="str">
            <v>Imobiliário</v>
          </cell>
          <cell r="J129" t="str">
            <v>Rua Lauro Linhares, nº 2.123</v>
          </cell>
          <cell r="K129">
            <v>0</v>
          </cell>
          <cell r="L129" t="str">
            <v>Salas, lojas, Quiosques e Vagas de Garagem</v>
          </cell>
          <cell r="M129" t="str">
            <v>Trindade</v>
          </cell>
          <cell r="N129" t="str">
            <v>Florianópolis</v>
          </cell>
          <cell r="O129" t="str">
            <v>Santa Catarina</v>
          </cell>
          <cell r="P129" t="str">
            <v>Brasil</v>
          </cell>
          <cell r="Q129"/>
        </row>
        <row r="130">
          <cell r="A130">
            <v>58343</v>
          </cell>
          <cell r="B130" t="str">
            <v>Rua Lauro Linhares, nº 2.123Salas, lojas, Quiosques e Vagas de GaragemTrindade</v>
          </cell>
          <cell r="C130" t="str">
            <v>Edifício Trindade Center</v>
          </cell>
          <cell r="D130" t="str">
            <v>UNIÃO CATARINENSE DE EDUCAÇÃO - UCE</v>
          </cell>
          <cell r="E130" t="str">
            <v>UNIÃO CATARINENSE DE EDUCAÇÃO - UCE</v>
          </cell>
          <cell r="F130" t="str">
            <v>Próprio</v>
          </cell>
          <cell r="G130" t="str">
            <v>Edificado - Comercial</v>
          </cell>
          <cell r="H130"/>
          <cell r="I130" t="str">
            <v>Imobiliário</v>
          </cell>
          <cell r="J130" t="str">
            <v>Rua Lauro Linhares, nº 2.123</v>
          </cell>
          <cell r="K130">
            <v>0</v>
          </cell>
          <cell r="L130" t="str">
            <v>Salas, lojas, Quiosques e Vagas de Garagem</v>
          </cell>
          <cell r="M130" t="str">
            <v>Trindade</v>
          </cell>
          <cell r="N130" t="str">
            <v>Florianópolis</v>
          </cell>
          <cell r="O130" t="str">
            <v>Santa Catarina</v>
          </cell>
          <cell r="P130" t="str">
            <v>Brasil</v>
          </cell>
          <cell r="Q130"/>
        </row>
        <row r="131">
          <cell r="A131">
            <v>58344</v>
          </cell>
          <cell r="B131" t="str">
            <v>Rua Lauro Linhares, nº 2.123Salas, lojas, Quiosques e Vagas de GaragemTrindade</v>
          </cell>
          <cell r="C131" t="str">
            <v>Edifício Trindade Center</v>
          </cell>
          <cell r="D131" t="str">
            <v>UNIÃO CATARINENSE DE EDUCAÇÃO - UCE</v>
          </cell>
          <cell r="E131" t="str">
            <v>UNIÃO CATARINENSE DE EDUCAÇÃO - UCE</v>
          </cell>
          <cell r="F131" t="str">
            <v>Próprio</v>
          </cell>
          <cell r="G131" t="str">
            <v>Edificado - Comercial</v>
          </cell>
          <cell r="H131"/>
          <cell r="I131" t="str">
            <v>Imobiliário</v>
          </cell>
          <cell r="J131" t="str">
            <v>Rua Lauro Linhares, nº 2.123</v>
          </cell>
          <cell r="K131">
            <v>0</v>
          </cell>
          <cell r="L131" t="str">
            <v>Salas, lojas, Quiosques e Vagas de Garagem</v>
          </cell>
          <cell r="M131" t="str">
            <v>Trindade</v>
          </cell>
          <cell r="N131" t="str">
            <v>Florianópolis</v>
          </cell>
          <cell r="O131" t="str">
            <v>Santa Catarina</v>
          </cell>
          <cell r="P131" t="str">
            <v>Brasil</v>
          </cell>
          <cell r="Q131"/>
        </row>
        <row r="132">
          <cell r="A132">
            <v>58345</v>
          </cell>
          <cell r="B132" t="str">
            <v>Rua Lauro Linhares, nº 2.123Salas, lojas, Quiosques e Vagas de GaragemTrindade</v>
          </cell>
          <cell r="C132" t="str">
            <v>Edifício Trindade Center</v>
          </cell>
          <cell r="D132" t="str">
            <v>UNIÃO CATARINENSE DE EDUCAÇÃO - UCE</v>
          </cell>
          <cell r="E132" t="str">
            <v>UNIÃO CATARINENSE DE EDUCAÇÃO - UCE</v>
          </cell>
          <cell r="F132" t="str">
            <v>Próprio</v>
          </cell>
          <cell r="G132" t="str">
            <v>Edificado - Comercial</v>
          </cell>
          <cell r="H132"/>
          <cell r="I132" t="str">
            <v>Imobiliário</v>
          </cell>
          <cell r="J132" t="str">
            <v>Rua Lauro Linhares, nº 2.123</v>
          </cell>
          <cell r="K132">
            <v>0</v>
          </cell>
          <cell r="L132" t="str">
            <v>Salas, lojas, Quiosques e Vagas de Garagem</v>
          </cell>
          <cell r="M132" t="str">
            <v>Trindade</v>
          </cell>
          <cell r="N132" t="str">
            <v>Florianópolis</v>
          </cell>
          <cell r="O132" t="str">
            <v>Santa Catarina</v>
          </cell>
          <cell r="P132" t="str">
            <v>Brasil</v>
          </cell>
          <cell r="Q132"/>
        </row>
        <row r="133">
          <cell r="A133">
            <v>58351</v>
          </cell>
          <cell r="B133" t="str">
            <v>Rua Lauro Linhares, nº 2.123Salas, lojas, Quiosques e Vagas de GaragemTrindade</v>
          </cell>
          <cell r="C133" t="str">
            <v>Edifício Trindade Center</v>
          </cell>
          <cell r="D133" t="str">
            <v>UNIÃO CATARINENSE DE EDUCAÇÃO - UCE</v>
          </cell>
          <cell r="E133" t="str">
            <v>UNIÃO CATARINENSE DE EDUCAÇÃO - UCE</v>
          </cell>
          <cell r="F133" t="str">
            <v>Próprio</v>
          </cell>
          <cell r="G133" t="str">
            <v>Edificado - Comercial</v>
          </cell>
          <cell r="H133"/>
          <cell r="I133" t="str">
            <v>Imobiliário</v>
          </cell>
          <cell r="J133" t="str">
            <v>Rua Lauro Linhares, nº 2.123</v>
          </cell>
          <cell r="K133">
            <v>0</v>
          </cell>
          <cell r="L133" t="str">
            <v>Salas, lojas, Quiosques e Vagas de Garagem</v>
          </cell>
          <cell r="M133" t="str">
            <v>Trindade</v>
          </cell>
          <cell r="N133" t="str">
            <v>Florianópolis</v>
          </cell>
          <cell r="O133" t="str">
            <v>Santa Catarina</v>
          </cell>
          <cell r="P133" t="str">
            <v>Brasil</v>
          </cell>
          <cell r="Q133"/>
        </row>
        <row r="134">
          <cell r="A134">
            <v>58352</v>
          </cell>
          <cell r="B134" t="str">
            <v>Rua Lauro Linhares, nº 2.123Salas, lojas, Quiosques e Vagas de GaragemTrindade</v>
          </cell>
          <cell r="C134" t="str">
            <v>Edifício Trindade Center</v>
          </cell>
          <cell r="D134" t="str">
            <v>UNIÃO CATARINENSE DE EDUCAÇÃO - UCE</v>
          </cell>
          <cell r="E134" t="str">
            <v>UNIÃO CATARINENSE DE EDUCAÇÃO - UCE</v>
          </cell>
          <cell r="F134" t="str">
            <v>Próprio</v>
          </cell>
          <cell r="G134" t="str">
            <v>Edificado - Comercial</v>
          </cell>
          <cell r="H134"/>
          <cell r="I134" t="str">
            <v>Imobiliário</v>
          </cell>
          <cell r="J134" t="str">
            <v>Rua Lauro Linhares, nº 2.123</v>
          </cell>
          <cell r="K134">
            <v>0</v>
          </cell>
          <cell r="L134" t="str">
            <v>Salas, lojas, Quiosques e Vagas de Garagem</v>
          </cell>
          <cell r="M134" t="str">
            <v>Trindade</v>
          </cell>
          <cell r="N134" t="str">
            <v>Florianópolis</v>
          </cell>
          <cell r="O134" t="str">
            <v>Santa Catarina</v>
          </cell>
          <cell r="P134" t="str">
            <v>Brasil</v>
          </cell>
          <cell r="Q134"/>
        </row>
        <row r="135">
          <cell r="A135">
            <v>58367</v>
          </cell>
          <cell r="B135" t="str">
            <v>Rua Lauro Linhares, nº 2.123Salas, lojas, Quiosques e Vagas de GaragemTrindade</v>
          </cell>
          <cell r="C135" t="str">
            <v>Edifício Trindade Center</v>
          </cell>
          <cell r="D135" t="str">
            <v>UNIÃO CATARINENSE DE EDUCAÇÃO - UCE</v>
          </cell>
          <cell r="E135" t="str">
            <v>UNIÃO CATARINENSE DE EDUCAÇÃO - UCE</v>
          </cell>
          <cell r="F135" t="str">
            <v>Próprio</v>
          </cell>
          <cell r="G135" t="str">
            <v>Edificado - Comercial</v>
          </cell>
          <cell r="H135"/>
          <cell r="I135" t="str">
            <v>Imobiliário</v>
          </cell>
          <cell r="J135" t="str">
            <v>Rua Lauro Linhares, nº 2.123</v>
          </cell>
          <cell r="K135">
            <v>0</v>
          </cell>
          <cell r="L135" t="str">
            <v>Salas, lojas, Quiosques e Vagas de Garagem</v>
          </cell>
          <cell r="M135" t="str">
            <v>Trindade</v>
          </cell>
          <cell r="N135" t="str">
            <v>Florianópolis</v>
          </cell>
          <cell r="O135" t="str">
            <v>Santa Catarina</v>
          </cell>
          <cell r="P135" t="str">
            <v>Brasil</v>
          </cell>
          <cell r="Q135"/>
        </row>
        <row r="136">
          <cell r="A136">
            <v>58375</v>
          </cell>
          <cell r="B136" t="str">
            <v>Rua Lauro Linhares, nº 2.123Salas, lojas, Quiosques e Vagas de GaragemTrindade</v>
          </cell>
          <cell r="C136" t="str">
            <v>Edifício Trindade Center</v>
          </cell>
          <cell r="D136" t="str">
            <v>UNIÃO CATARINENSE DE EDUCAÇÃO - UCE</v>
          </cell>
          <cell r="E136" t="str">
            <v>UNIÃO CATARINENSE DE EDUCAÇÃO - UCE</v>
          </cell>
          <cell r="F136" t="str">
            <v>Próprio</v>
          </cell>
          <cell r="G136" t="str">
            <v>Edificado - Comercial</v>
          </cell>
          <cell r="H136"/>
          <cell r="I136" t="str">
            <v>Imobiliário</v>
          </cell>
          <cell r="J136" t="str">
            <v>Rua Lauro Linhares, nº 2.123</v>
          </cell>
          <cell r="K136">
            <v>0</v>
          </cell>
          <cell r="L136" t="str">
            <v>Salas, lojas, Quiosques e Vagas de Garagem</v>
          </cell>
          <cell r="M136" t="str">
            <v>Trindade</v>
          </cell>
          <cell r="N136" t="str">
            <v>Florianópolis</v>
          </cell>
          <cell r="O136" t="str">
            <v>Santa Catarina</v>
          </cell>
          <cell r="P136" t="str">
            <v>Brasil</v>
          </cell>
          <cell r="Q136"/>
        </row>
        <row r="137">
          <cell r="A137">
            <v>58424</v>
          </cell>
          <cell r="B137" t="str">
            <v>Rua Lauro Linhares, nº 2.123Salas, lojas, Quiosques e Vagas de GaragemTrindade</v>
          </cell>
          <cell r="C137" t="str">
            <v>Edifício Trindade Center</v>
          </cell>
          <cell r="D137" t="str">
            <v>UNIÃO CATARINENSE DE EDUCAÇÃO - UCE</v>
          </cell>
          <cell r="E137" t="str">
            <v>UNIÃO CATARINENSE DE EDUCAÇÃO - UCE</v>
          </cell>
          <cell r="F137" t="str">
            <v>Próprio</v>
          </cell>
          <cell r="G137" t="str">
            <v>Edificado - Comercial</v>
          </cell>
          <cell r="H137"/>
          <cell r="I137" t="str">
            <v>Imobiliário</v>
          </cell>
          <cell r="J137" t="str">
            <v>Rua Lauro Linhares, nº 2.123</v>
          </cell>
          <cell r="K137">
            <v>0</v>
          </cell>
          <cell r="L137" t="str">
            <v>Salas, lojas, Quiosques e Vagas de Garagem</v>
          </cell>
          <cell r="M137" t="str">
            <v>Trindade</v>
          </cell>
          <cell r="N137" t="str">
            <v>Florianópolis</v>
          </cell>
          <cell r="O137" t="str">
            <v>Santa Catarina</v>
          </cell>
          <cell r="P137" t="str">
            <v>Brasil</v>
          </cell>
          <cell r="Q137"/>
        </row>
        <row r="138">
          <cell r="A138">
            <v>58515</v>
          </cell>
          <cell r="B138" t="str">
            <v>Rua Lauro Linhares, nº 2.123Salas, lojas, Quiosques e Vagas de GaragemTrindade</v>
          </cell>
          <cell r="C138" t="str">
            <v>Edifício Trindade Center</v>
          </cell>
          <cell r="D138" t="str">
            <v>UNIÃO CATARINENSE DE EDUCAÇÃO - UCE</v>
          </cell>
          <cell r="E138" t="str">
            <v>UNIÃO CATARINENSE DE EDUCAÇÃO - UCE</v>
          </cell>
          <cell r="F138" t="str">
            <v>Próprio</v>
          </cell>
          <cell r="G138" t="str">
            <v>Edificado - Comercial</v>
          </cell>
          <cell r="H138"/>
          <cell r="I138" t="str">
            <v>Imobiliário</v>
          </cell>
          <cell r="J138" t="str">
            <v>Rua Lauro Linhares, nº 2.123</v>
          </cell>
          <cell r="K138">
            <v>0</v>
          </cell>
          <cell r="L138" t="str">
            <v>Salas, lojas, Quiosques e Vagas de Garagem</v>
          </cell>
          <cell r="M138" t="str">
            <v>Trindade</v>
          </cell>
          <cell r="N138" t="str">
            <v>Florianópolis</v>
          </cell>
          <cell r="O138" t="str">
            <v>Santa Catarina</v>
          </cell>
          <cell r="P138" t="str">
            <v>Brasil</v>
          </cell>
          <cell r="Q138"/>
        </row>
        <row r="139">
          <cell r="A139">
            <v>58516</v>
          </cell>
          <cell r="B139" t="str">
            <v>Rua Lauro Linhares, nº 2.123Salas, lojas, Quiosques e Vagas de GaragemTrindade</v>
          </cell>
          <cell r="C139" t="str">
            <v>Edifício Trindade Center</v>
          </cell>
          <cell r="D139" t="str">
            <v>UNIÃO CATARINENSE DE EDUCAÇÃO - UCE</v>
          </cell>
          <cell r="E139" t="str">
            <v>UNIÃO CATARINENSE DE EDUCAÇÃO - UCE</v>
          </cell>
          <cell r="F139" t="str">
            <v>Próprio</v>
          </cell>
          <cell r="G139" t="str">
            <v>Edificado - Comercial</v>
          </cell>
          <cell r="H139"/>
          <cell r="I139" t="str">
            <v>Imobiliário</v>
          </cell>
          <cell r="J139" t="str">
            <v>Rua Lauro Linhares, nº 2.123</v>
          </cell>
          <cell r="K139">
            <v>0</v>
          </cell>
          <cell r="L139" t="str">
            <v>Salas, lojas, Quiosques e Vagas de Garagem</v>
          </cell>
          <cell r="M139" t="str">
            <v>Trindade</v>
          </cell>
          <cell r="N139" t="str">
            <v>Florianópolis</v>
          </cell>
          <cell r="O139" t="str">
            <v>Santa Catarina</v>
          </cell>
          <cell r="P139" t="str">
            <v>Brasil</v>
          </cell>
          <cell r="Q139"/>
        </row>
        <row r="140">
          <cell r="A140">
            <v>58517</v>
          </cell>
          <cell r="B140" t="str">
            <v>Rua Lauro Linhares, nº 2.123Salas, lojas, Quiosques e Vagas de GaragemTrindade</v>
          </cell>
          <cell r="C140" t="str">
            <v>Edifício Trindade Center</v>
          </cell>
          <cell r="D140" t="str">
            <v>UNIÃO CATARINENSE DE EDUCAÇÃO - UCE</v>
          </cell>
          <cell r="E140" t="str">
            <v>UNIÃO CATARINENSE DE EDUCAÇÃO - UCE</v>
          </cell>
          <cell r="F140" t="str">
            <v>Próprio</v>
          </cell>
          <cell r="G140" t="str">
            <v>Edificado - Comercial</v>
          </cell>
          <cell r="H140"/>
          <cell r="I140" t="str">
            <v>Imobiliário</v>
          </cell>
          <cell r="J140" t="str">
            <v>Rua Lauro Linhares, nº 2.123</v>
          </cell>
          <cell r="K140">
            <v>0</v>
          </cell>
          <cell r="L140" t="str">
            <v>Salas, lojas, Quiosques e Vagas de Garagem</v>
          </cell>
          <cell r="M140" t="str">
            <v>Trindade</v>
          </cell>
          <cell r="N140" t="str">
            <v>Florianópolis</v>
          </cell>
          <cell r="O140" t="str">
            <v>Santa Catarina</v>
          </cell>
          <cell r="P140" t="str">
            <v>Brasil</v>
          </cell>
          <cell r="Q140"/>
        </row>
        <row r="141">
          <cell r="A141">
            <v>58518</v>
          </cell>
          <cell r="B141" t="str">
            <v>Rua Lauro Linhares, nº 2.123Salas, lojas, Quiosques e Vagas de GaragemTrindade</v>
          </cell>
          <cell r="C141" t="str">
            <v>Edifício Trindade Center</v>
          </cell>
          <cell r="D141" t="str">
            <v>UNIÃO CATARINENSE DE EDUCAÇÃO - UCE</v>
          </cell>
          <cell r="E141" t="str">
            <v>UNIÃO CATARINENSE DE EDUCAÇÃO - UCE</v>
          </cell>
          <cell r="F141" t="str">
            <v>Próprio</v>
          </cell>
          <cell r="G141" t="str">
            <v>Edificado - Comercial</v>
          </cell>
          <cell r="H141"/>
          <cell r="I141" t="str">
            <v>Imobiliário</v>
          </cell>
          <cell r="J141" t="str">
            <v>Rua Lauro Linhares, nº 2.123</v>
          </cell>
          <cell r="K141">
            <v>0</v>
          </cell>
          <cell r="L141" t="str">
            <v>Salas, lojas, Quiosques e Vagas de Garagem</v>
          </cell>
          <cell r="M141" t="str">
            <v>Trindade</v>
          </cell>
          <cell r="N141" t="str">
            <v>Florianópolis</v>
          </cell>
          <cell r="O141" t="str">
            <v>Santa Catarina</v>
          </cell>
          <cell r="P141" t="str">
            <v>Brasil</v>
          </cell>
          <cell r="Q141"/>
        </row>
        <row r="142">
          <cell r="A142">
            <v>58519</v>
          </cell>
          <cell r="B142" t="str">
            <v>Rua Lauro Linhares, nº 2.123Salas, lojas, Quiosques e Vagas de GaragemTrindade</v>
          </cell>
          <cell r="C142" t="str">
            <v>Edifício Trindade Center</v>
          </cell>
          <cell r="D142" t="str">
            <v>UNIÃO CATARINENSE DE EDUCAÇÃO - UCE</v>
          </cell>
          <cell r="E142" t="str">
            <v>UNIÃO CATARINENSE DE EDUCAÇÃO - UCE</v>
          </cell>
          <cell r="F142" t="str">
            <v>Próprio</v>
          </cell>
          <cell r="G142" t="str">
            <v>Edificado - Comercial</v>
          </cell>
          <cell r="H142"/>
          <cell r="I142" t="str">
            <v>Imobiliário</v>
          </cell>
          <cell r="J142" t="str">
            <v>Rua Lauro Linhares, nº 2.123</v>
          </cell>
          <cell r="K142">
            <v>0</v>
          </cell>
          <cell r="L142" t="str">
            <v>Salas, lojas, Quiosques e Vagas de Garagem</v>
          </cell>
          <cell r="M142" t="str">
            <v>Trindade</v>
          </cell>
          <cell r="N142" t="str">
            <v>Florianópolis</v>
          </cell>
          <cell r="O142" t="str">
            <v>Santa Catarina</v>
          </cell>
          <cell r="P142" t="str">
            <v>Brasil</v>
          </cell>
          <cell r="Q142"/>
        </row>
        <row r="143">
          <cell r="A143">
            <v>58520</v>
          </cell>
          <cell r="B143" t="str">
            <v>Rua Lauro Linhares, nº 2.123Salas, lojas, Quiosques e Vagas de GaragemTrindade</v>
          </cell>
          <cell r="C143" t="str">
            <v>Edifício Trindade Center</v>
          </cell>
          <cell r="D143" t="str">
            <v>UNIÃO CATARINENSE DE EDUCAÇÃO - UCE</v>
          </cell>
          <cell r="E143" t="str">
            <v>UNIÃO CATARINENSE DE EDUCAÇÃO - UCE</v>
          </cell>
          <cell r="F143" t="str">
            <v>Próprio</v>
          </cell>
          <cell r="G143" t="str">
            <v>Edificado - Comercial</v>
          </cell>
          <cell r="H143"/>
          <cell r="I143" t="str">
            <v>Imobiliário</v>
          </cell>
          <cell r="J143" t="str">
            <v>Rua Lauro Linhares, nº 2.123</v>
          </cell>
          <cell r="K143">
            <v>0</v>
          </cell>
          <cell r="L143" t="str">
            <v>Salas, lojas, Quiosques e Vagas de Garagem</v>
          </cell>
          <cell r="M143" t="str">
            <v>Trindade</v>
          </cell>
          <cell r="N143" t="str">
            <v>Florianópolis</v>
          </cell>
          <cell r="O143" t="str">
            <v>Santa Catarina</v>
          </cell>
          <cell r="P143" t="str">
            <v>Brasil</v>
          </cell>
          <cell r="Q143"/>
        </row>
        <row r="144">
          <cell r="A144">
            <v>58521</v>
          </cell>
          <cell r="B144" t="str">
            <v>Rua Lauro Linhares, nº 2.123Salas, lojas, Quiosques e Vagas de GaragemTrindade</v>
          </cell>
          <cell r="C144" t="str">
            <v>Edifício Trindade Center</v>
          </cell>
          <cell r="D144" t="str">
            <v>UNIÃO CATARINENSE DE EDUCAÇÃO - UCE</v>
          </cell>
          <cell r="E144" t="str">
            <v>UNIÃO CATARINENSE DE EDUCAÇÃO - UCE</v>
          </cell>
          <cell r="F144" t="str">
            <v>Próprio</v>
          </cell>
          <cell r="G144" t="str">
            <v>Edificado - Comercial</v>
          </cell>
          <cell r="H144"/>
          <cell r="I144" t="str">
            <v>Imobiliário</v>
          </cell>
          <cell r="J144" t="str">
            <v>Rua Lauro Linhares, nº 2.123</v>
          </cell>
          <cell r="K144">
            <v>0</v>
          </cell>
          <cell r="L144" t="str">
            <v>Salas, lojas, Quiosques e Vagas de Garagem</v>
          </cell>
          <cell r="M144" t="str">
            <v>Trindade</v>
          </cell>
          <cell r="N144" t="str">
            <v>Florianópolis</v>
          </cell>
          <cell r="O144" t="str">
            <v>Santa Catarina</v>
          </cell>
          <cell r="P144" t="str">
            <v>Brasil</v>
          </cell>
          <cell r="Q144"/>
        </row>
        <row r="145">
          <cell r="A145">
            <v>58522</v>
          </cell>
          <cell r="B145" t="str">
            <v>Rua Lauro Linhares, nº 2.123Salas, lojas, Quiosques e Vagas de GaragemTrindade</v>
          </cell>
          <cell r="C145" t="str">
            <v>Edifício Trindade Center</v>
          </cell>
          <cell r="D145" t="str">
            <v>UNIÃO CATARINENSE DE EDUCAÇÃO - UCE</v>
          </cell>
          <cell r="E145" t="str">
            <v>UNIÃO CATARINENSE DE EDUCAÇÃO - UCE</v>
          </cell>
          <cell r="F145" t="str">
            <v>Próprio</v>
          </cell>
          <cell r="G145" t="str">
            <v>Edificado - Comercial</v>
          </cell>
          <cell r="H145"/>
          <cell r="I145" t="str">
            <v>Imobiliário</v>
          </cell>
          <cell r="J145" t="str">
            <v>Rua Lauro Linhares, nº 2.123</v>
          </cell>
          <cell r="K145">
            <v>0</v>
          </cell>
          <cell r="L145" t="str">
            <v>Salas, lojas, Quiosques e Vagas de Garagem</v>
          </cell>
          <cell r="M145" t="str">
            <v>Trindade</v>
          </cell>
          <cell r="N145" t="str">
            <v>Florianópolis</v>
          </cell>
          <cell r="O145" t="str">
            <v>Santa Catarina</v>
          </cell>
          <cell r="P145" t="str">
            <v>Brasil</v>
          </cell>
          <cell r="Q145"/>
        </row>
        <row r="146">
          <cell r="A146">
            <v>60422</v>
          </cell>
          <cell r="B146" t="str">
            <v>Rua Prof. Simão José Hess, nº 191Aptos e Vagas de GaragemTrindade</v>
          </cell>
          <cell r="C146" t="str">
            <v>Edifício Champagnat</v>
          </cell>
          <cell r="D146" t="str">
            <v>UNIÃO CATARINENSE DE EDUCAÇÃO - UCE</v>
          </cell>
          <cell r="E146" t="str">
            <v>UNIÃO CATARINENSE DE EDUCAÇÃO - UCE</v>
          </cell>
          <cell r="F146" t="str">
            <v>Próprio</v>
          </cell>
          <cell r="G146" t="str">
            <v>Edificado - Comercial</v>
          </cell>
          <cell r="H146"/>
          <cell r="I146" t="str">
            <v>Imobiliário</v>
          </cell>
          <cell r="J146" t="str">
            <v>Rua Prof. Simão José Hess, nº 191</v>
          </cell>
          <cell r="K146">
            <v>0</v>
          </cell>
          <cell r="L146" t="str">
            <v>Aptos e Vagas de Garagem</v>
          </cell>
          <cell r="M146" t="str">
            <v>Trindade</v>
          </cell>
          <cell r="N146" t="str">
            <v>Florianópolis</v>
          </cell>
          <cell r="O146" t="str">
            <v>Santa Catarina</v>
          </cell>
          <cell r="P146" t="str">
            <v>Brasil</v>
          </cell>
          <cell r="Q146"/>
        </row>
        <row r="147">
          <cell r="A147">
            <v>60423</v>
          </cell>
          <cell r="B147" t="str">
            <v>Rua Prof. Simão José Hess, nº 191Aptos e Vagas de GaragemTrindade</v>
          </cell>
          <cell r="C147" t="str">
            <v>Edifício Champagnat</v>
          </cell>
          <cell r="D147" t="str">
            <v>UNIÃO CATARINENSE DE EDUCAÇÃO - UCE</v>
          </cell>
          <cell r="E147" t="str">
            <v>UNIÃO CATARINENSE DE EDUCAÇÃO - UCE</v>
          </cell>
          <cell r="F147" t="str">
            <v>Próprio</v>
          </cell>
          <cell r="G147" t="str">
            <v>Edificado - Comercial</v>
          </cell>
          <cell r="H147"/>
          <cell r="I147" t="str">
            <v>Imobiliário</v>
          </cell>
          <cell r="J147" t="str">
            <v>Rua Prof. Simão José Hess, nº 191</v>
          </cell>
          <cell r="K147">
            <v>0</v>
          </cell>
          <cell r="L147" t="str">
            <v>Aptos e Vagas de Garagem</v>
          </cell>
          <cell r="M147" t="str">
            <v>Trindade</v>
          </cell>
          <cell r="N147" t="str">
            <v>Florianópolis</v>
          </cell>
          <cell r="O147" t="str">
            <v>Santa Catarina</v>
          </cell>
          <cell r="P147" t="str">
            <v>Brasil</v>
          </cell>
          <cell r="Q147"/>
        </row>
        <row r="148">
          <cell r="A148">
            <v>60424</v>
          </cell>
          <cell r="B148" t="str">
            <v>Rua Prof. Simão José Hess, nº 191Aptos e Vagas de GaragemTrindade</v>
          </cell>
          <cell r="C148" t="str">
            <v>Edifício Champagnat</v>
          </cell>
          <cell r="D148" t="str">
            <v>UNIÃO CATARINENSE DE EDUCAÇÃO - UCE</v>
          </cell>
          <cell r="E148" t="str">
            <v>UNIÃO CATARINENSE DE EDUCAÇÃO - UCE</v>
          </cell>
          <cell r="F148" t="str">
            <v>Próprio</v>
          </cell>
          <cell r="G148" t="str">
            <v>Edificado - Comercial</v>
          </cell>
          <cell r="H148"/>
          <cell r="I148" t="str">
            <v>Imobiliário</v>
          </cell>
          <cell r="J148" t="str">
            <v>Rua Prof. Simão José Hess, nº 191</v>
          </cell>
          <cell r="K148">
            <v>0</v>
          </cell>
          <cell r="L148" t="str">
            <v>Aptos e Vagas de Garagem</v>
          </cell>
          <cell r="M148" t="str">
            <v>Trindade</v>
          </cell>
          <cell r="N148" t="str">
            <v>Florianópolis</v>
          </cell>
          <cell r="O148" t="str">
            <v>Santa Catarina</v>
          </cell>
          <cell r="P148" t="str">
            <v>Brasil</v>
          </cell>
          <cell r="Q148"/>
        </row>
        <row r="149">
          <cell r="A149">
            <v>60425</v>
          </cell>
          <cell r="B149" t="str">
            <v>Rua Prof. Simão José Hess, nº 191Aptos e Vagas de GaragemTrindade</v>
          </cell>
          <cell r="C149" t="str">
            <v>Edifício Champagnat</v>
          </cell>
          <cell r="D149" t="str">
            <v>UNIÃO CATARINENSE DE EDUCAÇÃO - UCE</v>
          </cell>
          <cell r="E149" t="str">
            <v>UNIÃO CATARINENSE DE EDUCAÇÃO - UCE</v>
          </cell>
          <cell r="F149" t="str">
            <v>Próprio</v>
          </cell>
          <cell r="G149" t="str">
            <v>Edificado - Comercial</v>
          </cell>
          <cell r="H149"/>
          <cell r="I149" t="str">
            <v>Imobiliário</v>
          </cell>
          <cell r="J149" t="str">
            <v>Rua Prof. Simão José Hess, nº 191</v>
          </cell>
          <cell r="K149">
            <v>0</v>
          </cell>
          <cell r="L149" t="str">
            <v>Aptos e Vagas de Garagem</v>
          </cell>
          <cell r="M149" t="str">
            <v>Trindade</v>
          </cell>
          <cell r="N149" t="str">
            <v>Florianópolis</v>
          </cell>
          <cell r="O149" t="str">
            <v>Santa Catarina</v>
          </cell>
          <cell r="P149" t="str">
            <v>Brasil</v>
          </cell>
          <cell r="Q149"/>
        </row>
        <row r="150">
          <cell r="A150">
            <v>60426</v>
          </cell>
          <cell r="B150" t="str">
            <v>Rua Prof. Simão José Hess, nº 191Aptos e Vagas de GaragemTrindade</v>
          </cell>
          <cell r="C150" t="str">
            <v>Edifício Champagnat</v>
          </cell>
          <cell r="D150" t="str">
            <v>UNIÃO CATARINENSE DE EDUCAÇÃO - UCE</v>
          </cell>
          <cell r="E150" t="str">
            <v>UNIÃO CATARINENSE DE EDUCAÇÃO - UCE</v>
          </cell>
          <cell r="F150" t="str">
            <v>Próprio</v>
          </cell>
          <cell r="G150" t="str">
            <v>Edificado - Comercial</v>
          </cell>
          <cell r="H150"/>
          <cell r="I150" t="str">
            <v>Imobiliário</v>
          </cell>
          <cell r="J150" t="str">
            <v>Rua Prof. Simão José Hess, nº 191</v>
          </cell>
          <cell r="K150">
            <v>0</v>
          </cell>
          <cell r="L150" t="str">
            <v>Aptos e Vagas de Garagem</v>
          </cell>
          <cell r="M150" t="str">
            <v>Trindade</v>
          </cell>
          <cell r="N150" t="str">
            <v>Florianópolis</v>
          </cell>
          <cell r="O150" t="str">
            <v>Santa Catarina</v>
          </cell>
          <cell r="P150" t="str">
            <v>Brasil</v>
          </cell>
          <cell r="Q150"/>
        </row>
        <row r="151">
          <cell r="A151">
            <v>60427</v>
          </cell>
          <cell r="B151" t="str">
            <v>Rua Prof. Simão José Hess, nº 191Aptos e Vagas de GaragemTrindade</v>
          </cell>
          <cell r="C151" t="str">
            <v>Edifício Champagnat</v>
          </cell>
          <cell r="D151" t="str">
            <v>UNIÃO CATARINENSE DE EDUCAÇÃO - UCE</v>
          </cell>
          <cell r="E151" t="str">
            <v>UNIÃO CATARINENSE DE EDUCAÇÃO - UCE</v>
          </cell>
          <cell r="F151" t="str">
            <v>Próprio</v>
          </cell>
          <cell r="G151" t="str">
            <v>Edificado - Comercial</v>
          </cell>
          <cell r="H151"/>
          <cell r="I151" t="str">
            <v>Imobiliário</v>
          </cell>
          <cell r="J151" t="str">
            <v>Rua Prof. Simão José Hess, nº 191</v>
          </cell>
          <cell r="K151">
            <v>0</v>
          </cell>
          <cell r="L151" t="str">
            <v>Aptos e Vagas de Garagem</v>
          </cell>
          <cell r="M151" t="str">
            <v>Trindade</v>
          </cell>
          <cell r="N151" t="str">
            <v>Florianópolis</v>
          </cell>
          <cell r="O151" t="str">
            <v>Santa Catarina</v>
          </cell>
          <cell r="P151" t="str">
            <v>Brasil</v>
          </cell>
          <cell r="Q151"/>
        </row>
        <row r="152">
          <cell r="A152">
            <v>60428</v>
          </cell>
          <cell r="B152" t="str">
            <v>Rua Prof. Simão José Hess, nº 191Aptos e Vagas de GaragemTrindade</v>
          </cell>
          <cell r="C152" t="str">
            <v>Edifício Champagnat</v>
          </cell>
          <cell r="D152" t="str">
            <v>UNIÃO CATARINENSE DE EDUCAÇÃO - UCE</v>
          </cell>
          <cell r="E152" t="str">
            <v>UNIÃO CATARINENSE DE EDUCAÇÃO - UCE</v>
          </cell>
          <cell r="F152" t="str">
            <v>Próprio</v>
          </cell>
          <cell r="G152" t="str">
            <v>Edificado - Comercial</v>
          </cell>
          <cell r="H152"/>
          <cell r="I152" t="str">
            <v>Imobiliário</v>
          </cell>
          <cell r="J152" t="str">
            <v>Rua Prof. Simão José Hess, nº 191</v>
          </cell>
          <cell r="K152">
            <v>0</v>
          </cell>
          <cell r="L152" t="str">
            <v>Aptos e Vagas de Garagem</v>
          </cell>
          <cell r="M152" t="str">
            <v>Trindade</v>
          </cell>
          <cell r="N152" t="str">
            <v>Florianópolis</v>
          </cell>
          <cell r="O152" t="str">
            <v>Santa Catarina</v>
          </cell>
          <cell r="P152" t="str">
            <v>Brasil</v>
          </cell>
          <cell r="Q152"/>
        </row>
        <row r="153">
          <cell r="A153">
            <v>60429</v>
          </cell>
          <cell r="B153" t="str">
            <v>Rua Prof. Simão José Hess, nº 191Aptos e Vagas de GaragemTrindade</v>
          </cell>
          <cell r="C153" t="str">
            <v>Edifício Champagnat</v>
          </cell>
          <cell r="D153" t="str">
            <v>UNIÃO CATARINENSE DE EDUCAÇÃO - UCE</v>
          </cell>
          <cell r="E153" t="str">
            <v>UNIÃO CATARINENSE DE EDUCAÇÃO - UCE</v>
          </cell>
          <cell r="F153" t="str">
            <v>Próprio</v>
          </cell>
          <cell r="G153" t="str">
            <v>Edificado - Comercial</v>
          </cell>
          <cell r="H153"/>
          <cell r="I153" t="str">
            <v>Imobiliário</v>
          </cell>
          <cell r="J153" t="str">
            <v>Rua Prof. Simão José Hess, nº 191</v>
          </cell>
          <cell r="K153">
            <v>0</v>
          </cell>
          <cell r="L153" t="str">
            <v>Aptos e Vagas de Garagem</v>
          </cell>
          <cell r="M153" t="str">
            <v>Trindade</v>
          </cell>
          <cell r="N153" t="str">
            <v>Florianópolis</v>
          </cell>
          <cell r="O153" t="str">
            <v>Santa Catarina</v>
          </cell>
          <cell r="P153" t="str">
            <v>Brasil</v>
          </cell>
          <cell r="Q153"/>
        </row>
        <row r="154">
          <cell r="A154">
            <v>60430</v>
          </cell>
          <cell r="B154" t="str">
            <v>Rua Prof. Simão José Hess, nº 191Aptos e Vagas de GaragemTrindade</v>
          </cell>
          <cell r="C154" t="str">
            <v>Edifício Champagnat</v>
          </cell>
          <cell r="D154" t="str">
            <v>UNIÃO CATARINENSE DE EDUCAÇÃO - UCE</v>
          </cell>
          <cell r="E154" t="str">
            <v>UNIÃO CATARINENSE DE EDUCAÇÃO - UCE</v>
          </cell>
          <cell r="F154" t="str">
            <v>Próprio</v>
          </cell>
          <cell r="G154" t="str">
            <v>Edificado - Comercial</v>
          </cell>
          <cell r="H154"/>
          <cell r="I154" t="str">
            <v>Imobiliário</v>
          </cell>
          <cell r="J154" t="str">
            <v>Rua Prof. Simão José Hess, nº 191</v>
          </cell>
          <cell r="K154">
            <v>0</v>
          </cell>
          <cell r="L154" t="str">
            <v>Aptos e Vagas de Garagem</v>
          </cell>
          <cell r="M154" t="str">
            <v>Trindade</v>
          </cell>
          <cell r="N154" t="str">
            <v>Florianópolis</v>
          </cell>
          <cell r="O154" t="str">
            <v>Santa Catarina</v>
          </cell>
          <cell r="P154" t="str">
            <v>Brasil</v>
          </cell>
          <cell r="Q154"/>
        </row>
        <row r="155">
          <cell r="A155">
            <v>60431</v>
          </cell>
          <cell r="B155" t="str">
            <v>Rua Prof. Simão José Hess, nº 191Aptos e Vagas de GaragemTrindade</v>
          </cell>
          <cell r="C155" t="str">
            <v>Edifício Champagnat</v>
          </cell>
          <cell r="D155" t="str">
            <v>UNIÃO CATARINENSE DE EDUCAÇÃO - UCE</v>
          </cell>
          <cell r="E155" t="str">
            <v>UNIÃO CATARINENSE DE EDUCAÇÃO - UCE</v>
          </cell>
          <cell r="F155" t="str">
            <v>Próprio</v>
          </cell>
          <cell r="G155" t="str">
            <v>Edificado - Comercial</v>
          </cell>
          <cell r="H155"/>
          <cell r="I155" t="str">
            <v>Imobiliário</v>
          </cell>
          <cell r="J155" t="str">
            <v>Rua Prof. Simão José Hess, nº 191</v>
          </cell>
          <cell r="K155">
            <v>0</v>
          </cell>
          <cell r="L155" t="str">
            <v>Aptos e Vagas de Garagem</v>
          </cell>
          <cell r="M155" t="str">
            <v>Trindade</v>
          </cell>
          <cell r="N155" t="str">
            <v>Florianópolis</v>
          </cell>
          <cell r="O155" t="str">
            <v>Santa Catarina</v>
          </cell>
          <cell r="P155" t="str">
            <v>Brasil</v>
          </cell>
          <cell r="Q155"/>
        </row>
        <row r="156">
          <cell r="A156">
            <v>60432</v>
          </cell>
          <cell r="B156" t="str">
            <v>Rua Prof. Simão José Hess, nº 191Aptos e Vagas de GaragemTrindade</v>
          </cell>
          <cell r="C156" t="str">
            <v>Edifício Champagnat</v>
          </cell>
          <cell r="D156" t="str">
            <v>UNIÃO CATARINENSE DE EDUCAÇÃO - UCE</v>
          </cell>
          <cell r="E156" t="str">
            <v>UNIÃO CATARINENSE DE EDUCAÇÃO - UCE</v>
          </cell>
          <cell r="F156" t="str">
            <v>Próprio</v>
          </cell>
          <cell r="G156" t="str">
            <v>Edificado - Comercial</v>
          </cell>
          <cell r="H156"/>
          <cell r="I156" t="str">
            <v>Imobiliário</v>
          </cell>
          <cell r="J156" t="str">
            <v>Rua Prof. Simão José Hess, nº 191</v>
          </cell>
          <cell r="K156">
            <v>0</v>
          </cell>
          <cell r="L156" t="str">
            <v>Aptos e Vagas de Garagem</v>
          </cell>
          <cell r="M156" t="str">
            <v>Trindade</v>
          </cell>
          <cell r="N156" t="str">
            <v>Florianópolis</v>
          </cell>
          <cell r="O156" t="str">
            <v>Santa Catarina</v>
          </cell>
          <cell r="P156" t="str">
            <v>Brasil</v>
          </cell>
          <cell r="Q156"/>
        </row>
        <row r="157">
          <cell r="A157">
            <v>60433</v>
          </cell>
          <cell r="B157" t="str">
            <v>Rua Prof. Simão José Hess, nº 191Aptos e Vagas de GaragemTrindade</v>
          </cell>
          <cell r="C157" t="str">
            <v>Edifício Champagnat</v>
          </cell>
          <cell r="D157" t="str">
            <v>UNIÃO CATARINENSE DE EDUCAÇÃO - UCE</v>
          </cell>
          <cell r="E157" t="str">
            <v>UNIÃO CATARINENSE DE EDUCAÇÃO - UCE</v>
          </cell>
          <cell r="F157" t="str">
            <v>Próprio</v>
          </cell>
          <cell r="G157" t="str">
            <v>Edificado - Comercial</v>
          </cell>
          <cell r="H157"/>
          <cell r="I157" t="str">
            <v>Imobiliário</v>
          </cell>
          <cell r="J157" t="str">
            <v>Rua Prof. Simão José Hess, nº 191</v>
          </cell>
          <cell r="K157">
            <v>0</v>
          </cell>
          <cell r="L157" t="str">
            <v>Aptos e Vagas de Garagem</v>
          </cell>
          <cell r="M157" t="str">
            <v>Trindade</v>
          </cell>
          <cell r="N157" t="str">
            <v>Florianópolis</v>
          </cell>
          <cell r="O157" t="str">
            <v>Santa Catarina</v>
          </cell>
          <cell r="P157" t="str">
            <v>Brasil</v>
          </cell>
          <cell r="Q157"/>
        </row>
        <row r="158">
          <cell r="A158">
            <v>60434</v>
          </cell>
          <cell r="B158" t="str">
            <v>Rua Prof. Simão José Hess, nº 191Aptos e Vagas de GaragemTrindade</v>
          </cell>
          <cell r="C158" t="str">
            <v>Edifício Champagnat</v>
          </cell>
          <cell r="D158" t="str">
            <v>UNIÃO CATARINENSE DE EDUCAÇÃO - UCE</v>
          </cell>
          <cell r="E158" t="str">
            <v>UNIÃO CATARINENSE DE EDUCAÇÃO - UCE</v>
          </cell>
          <cell r="F158" t="str">
            <v>Próprio</v>
          </cell>
          <cell r="G158" t="str">
            <v>Edificado - Comercial</v>
          </cell>
          <cell r="H158"/>
          <cell r="I158" t="str">
            <v>Imobiliário</v>
          </cell>
          <cell r="J158" t="str">
            <v>Rua Prof. Simão José Hess, nº 191</v>
          </cell>
          <cell r="K158">
            <v>0</v>
          </cell>
          <cell r="L158" t="str">
            <v>Aptos e Vagas de Garagem</v>
          </cell>
          <cell r="M158" t="str">
            <v>Trindade</v>
          </cell>
          <cell r="N158" t="str">
            <v>Florianópolis</v>
          </cell>
          <cell r="O158" t="str">
            <v>Santa Catarina</v>
          </cell>
          <cell r="P158" t="str">
            <v>Brasil</v>
          </cell>
          <cell r="Q158"/>
        </row>
        <row r="159">
          <cell r="A159">
            <v>60435</v>
          </cell>
          <cell r="B159" t="str">
            <v>Rua Prof. Simão José Hess, nº 191Aptos e Vagas de GaragemTrindade</v>
          </cell>
          <cell r="C159" t="str">
            <v>Edifício Champagnat</v>
          </cell>
          <cell r="D159" t="str">
            <v>UNIÃO CATARINENSE DE EDUCAÇÃO - UCE</v>
          </cell>
          <cell r="E159" t="str">
            <v>UNIÃO CATARINENSE DE EDUCAÇÃO - UCE</v>
          </cell>
          <cell r="F159" t="str">
            <v>Próprio</v>
          </cell>
          <cell r="G159" t="str">
            <v>Edificado - Comercial</v>
          </cell>
          <cell r="H159"/>
          <cell r="I159" t="str">
            <v>Imobiliário</v>
          </cell>
          <cell r="J159" t="str">
            <v>Rua Prof. Simão José Hess, nº 191</v>
          </cell>
          <cell r="K159">
            <v>0</v>
          </cell>
          <cell r="L159" t="str">
            <v>Aptos e Vagas de Garagem</v>
          </cell>
          <cell r="M159" t="str">
            <v>Trindade</v>
          </cell>
          <cell r="N159" t="str">
            <v>Florianópolis</v>
          </cell>
          <cell r="O159" t="str">
            <v>Santa Catarina</v>
          </cell>
          <cell r="P159" t="str">
            <v>Brasil</v>
          </cell>
          <cell r="Q159"/>
        </row>
        <row r="160">
          <cell r="A160">
            <v>60436</v>
          </cell>
          <cell r="B160" t="str">
            <v>Rua Prof. Simão José Hess, nº 191Aptos e Vagas de GaragemTrindade</v>
          </cell>
          <cell r="C160" t="str">
            <v>Edifício Champagnat</v>
          </cell>
          <cell r="D160" t="str">
            <v>UNIÃO CATARINENSE DE EDUCAÇÃO - UCE</v>
          </cell>
          <cell r="E160" t="str">
            <v>UNIÃO CATARINENSE DE EDUCAÇÃO - UCE</v>
          </cell>
          <cell r="F160" t="str">
            <v>Próprio</v>
          </cell>
          <cell r="G160" t="str">
            <v>Edificado - Comercial</v>
          </cell>
          <cell r="H160"/>
          <cell r="I160" t="str">
            <v>Imobiliário</v>
          </cell>
          <cell r="J160" t="str">
            <v>Rua Prof. Simão José Hess, nº 191</v>
          </cell>
          <cell r="K160">
            <v>0</v>
          </cell>
          <cell r="L160" t="str">
            <v>Aptos e Vagas de Garagem</v>
          </cell>
          <cell r="M160" t="str">
            <v>Trindade</v>
          </cell>
          <cell r="N160" t="str">
            <v>Florianópolis</v>
          </cell>
          <cell r="O160" t="str">
            <v>Santa Catarina</v>
          </cell>
          <cell r="P160" t="str">
            <v>Brasil</v>
          </cell>
          <cell r="Q160"/>
        </row>
        <row r="161">
          <cell r="A161">
            <v>60437</v>
          </cell>
          <cell r="B161" t="str">
            <v>Rua Prof. Simão José Hess, nº 191Aptos e Vagas de GaragemTrindade</v>
          </cell>
          <cell r="C161" t="str">
            <v>Edifício Champagnat</v>
          </cell>
          <cell r="D161" t="str">
            <v>UNIÃO CATARINENSE DE EDUCAÇÃO - UCE</v>
          </cell>
          <cell r="E161" t="str">
            <v>UNIÃO CATARINENSE DE EDUCAÇÃO - UCE</v>
          </cell>
          <cell r="F161" t="str">
            <v>Próprio</v>
          </cell>
          <cell r="G161" t="str">
            <v>Edificado - Comercial</v>
          </cell>
          <cell r="H161"/>
          <cell r="I161" t="str">
            <v>Imobiliário</v>
          </cell>
          <cell r="J161" t="str">
            <v>Rua Prof. Simão José Hess, nº 191</v>
          </cell>
          <cell r="K161">
            <v>0</v>
          </cell>
          <cell r="L161" t="str">
            <v>Aptos e Vagas de Garagem</v>
          </cell>
          <cell r="M161" t="str">
            <v>Trindade</v>
          </cell>
          <cell r="N161" t="str">
            <v>Florianópolis</v>
          </cell>
          <cell r="O161" t="str">
            <v>Santa Catarina</v>
          </cell>
          <cell r="P161" t="str">
            <v>Brasil</v>
          </cell>
          <cell r="Q161"/>
        </row>
        <row r="162">
          <cell r="A162">
            <v>60438</v>
          </cell>
          <cell r="B162" t="str">
            <v>Rua Prof. Simão José Hess, nº 191Aptos e Vagas de GaragemTrindade</v>
          </cell>
          <cell r="C162" t="str">
            <v>Edifício Champagnat</v>
          </cell>
          <cell r="D162" t="str">
            <v>UNIÃO CATARINENSE DE EDUCAÇÃO - UCE</v>
          </cell>
          <cell r="E162" t="str">
            <v>UNIÃO CATARINENSE DE EDUCAÇÃO - UCE</v>
          </cell>
          <cell r="F162" t="str">
            <v>Próprio</v>
          </cell>
          <cell r="G162" t="str">
            <v>Edificado - Comercial</v>
          </cell>
          <cell r="H162"/>
          <cell r="I162" t="str">
            <v>Imobiliário</v>
          </cell>
          <cell r="J162" t="str">
            <v>Rua Prof. Simão José Hess, nº 191</v>
          </cell>
          <cell r="K162">
            <v>0</v>
          </cell>
          <cell r="L162" t="str">
            <v>Aptos e Vagas de Garagem</v>
          </cell>
          <cell r="M162" t="str">
            <v>Trindade</v>
          </cell>
          <cell r="N162" t="str">
            <v>Florianópolis</v>
          </cell>
          <cell r="O162" t="str">
            <v>Santa Catarina</v>
          </cell>
          <cell r="P162" t="str">
            <v>Brasil</v>
          </cell>
          <cell r="Q162"/>
        </row>
        <row r="163">
          <cell r="A163">
            <v>60439</v>
          </cell>
          <cell r="B163" t="str">
            <v>Rua Prof. Simão José Hess, nº 191Aptos e Vagas de GaragemTrindade</v>
          </cell>
          <cell r="C163" t="str">
            <v>Edifício Champagnat</v>
          </cell>
          <cell r="D163" t="str">
            <v>UNIÃO CATARINENSE DE EDUCAÇÃO - UCE</v>
          </cell>
          <cell r="E163" t="str">
            <v>UNIÃO CATARINENSE DE EDUCAÇÃO - UCE</v>
          </cell>
          <cell r="F163" t="str">
            <v>Próprio</v>
          </cell>
          <cell r="G163" t="str">
            <v>Edificado - Comercial</v>
          </cell>
          <cell r="H163"/>
          <cell r="I163" t="str">
            <v>Imobiliário</v>
          </cell>
          <cell r="J163" t="str">
            <v>Rua Prof. Simão José Hess, nº 191</v>
          </cell>
          <cell r="K163">
            <v>0</v>
          </cell>
          <cell r="L163" t="str">
            <v>Aptos e Vagas de Garagem</v>
          </cell>
          <cell r="M163" t="str">
            <v>Trindade</v>
          </cell>
          <cell r="N163" t="str">
            <v>Florianópolis</v>
          </cell>
          <cell r="O163" t="str">
            <v>Santa Catarina</v>
          </cell>
          <cell r="P163" t="str">
            <v>Brasil</v>
          </cell>
          <cell r="Q163"/>
        </row>
        <row r="164">
          <cell r="A164">
            <v>60440</v>
          </cell>
          <cell r="B164" t="str">
            <v>Rua Prof. Simão José Hess, nº 191Aptos e Vagas de GaragemTrindade</v>
          </cell>
          <cell r="C164" t="str">
            <v>Edifício Champagnat</v>
          </cell>
          <cell r="D164" t="str">
            <v>UNIÃO CATARINENSE DE EDUCAÇÃO - UCE</v>
          </cell>
          <cell r="E164" t="str">
            <v>UNIÃO CATARINENSE DE EDUCAÇÃO - UCE</v>
          </cell>
          <cell r="F164" t="str">
            <v>Próprio</v>
          </cell>
          <cell r="G164" t="str">
            <v>Edificado - Comercial</v>
          </cell>
          <cell r="H164"/>
          <cell r="I164" t="str">
            <v>Imobiliário</v>
          </cell>
          <cell r="J164" t="str">
            <v>Rua Prof. Simão José Hess, nº 191</v>
          </cell>
          <cell r="K164">
            <v>0</v>
          </cell>
          <cell r="L164" t="str">
            <v>Aptos e Vagas de Garagem</v>
          </cell>
          <cell r="M164" t="str">
            <v>Trindade</v>
          </cell>
          <cell r="N164" t="str">
            <v>Florianópolis</v>
          </cell>
          <cell r="O164" t="str">
            <v>Santa Catarina</v>
          </cell>
          <cell r="P164" t="str">
            <v>Brasil</v>
          </cell>
          <cell r="Q164"/>
        </row>
        <row r="165">
          <cell r="A165">
            <v>60441</v>
          </cell>
          <cell r="B165" t="str">
            <v>Rua Prof. Simão José Hess, nº 191Aptos e Vagas de GaragemTrindade</v>
          </cell>
          <cell r="C165" t="str">
            <v>Edifício Champagnat</v>
          </cell>
          <cell r="D165" t="str">
            <v>UNIÃO CATARINENSE DE EDUCAÇÃO - UCE</v>
          </cell>
          <cell r="E165" t="str">
            <v>UNIÃO CATARINENSE DE EDUCAÇÃO - UCE</v>
          </cell>
          <cell r="F165" t="str">
            <v>Próprio</v>
          </cell>
          <cell r="G165" t="str">
            <v>Edificado - Comercial</v>
          </cell>
          <cell r="H165"/>
          <cell r="I165" t="str">
            <v>Imobiliário</v>
          </cell>
          <cell r="J165" t="str">
            <v>Rua Prof. Simão José Hess, nº 191</v>
          </cell>
          <cell r="K165">
            <v>0</v>
          </cell>
          <cell r="L165" t="str">
            <v>Aptos e Vagas de Garagem</v>
          </cell>
          <cell r="M165" t="str">
            <v>Trindade</v>
          </cell>
          <cell r="N165" t="str">
            <v>Florianópolis</v>
          </cell>
          <cell r="O165" t="str">
            <v>Santa Catarina</v>
          </cell>
          <cell r="P165" t="str">
            <v>Brasil</v>
          </cell>
          <cell r="Q165"/>
        </row>
        <row r="166">
          <cell r="A166">
            <v>60442</v>
          </cell>
          <cell r="B166" t="str">
            <v>Rua Prof. Simão José Hess, nº 191Aptos e Vagas de GaragemTrindade</v>
          </cell>
          <cell r="C166" t="str">
            <v>Edifício Champagnat</v>
          </cell>
          <cell r="D166" t="str">
            <v>UNIÃO CATARINENSE DE EDUCAÇÃO - UCE</v>
          </cell>
          <cell r="E166" t="str">
            <v>UNIÃO CATARINENSE DE EDUCAÇÃO - UCE</v>
          </cell>
          <cell r="F166" t="str">
            <v>Próprio</v>
          </cell>
          <cell r="G166" t="str">
            <v>Edificado - Comercial</v>
          </cell>
          <cell r="H166"/>
          <cell r="I166" t="str">
            <v>Imobiliário</v>
          </cell>
          <cell r="J166" t="str">
            <v>Rua Prof. Simão José Hess, nº 191</v>
          </cell>
          <cell r="K166">
            <v>0</v>
          </cell>
          <cell r="L166" t="str">
            <v>Aptos e Vagas de Garagem</v>
          </cell>
          <cell r="M166" t="str">
            <v>Trindade</v>
          </cell>
          <cell r="N166" t="str">
            <v>Florianópolis</v>
          </cell>
          <cell r="O166" t="str">
            <v>Santa Catarina</v>
          </cell>
          <cell r="P166" t="str">
            <v>Brasil</v>
          </cell>
          <cell r="Q166"/>
        </row>
        <row r="167">
          <cell r="A167">
            <v>60443</v>
          </cell>
          <cell r="B167" t="str">
            <v>Rua Prof. Simão José Hess, nº 191Aptos e Vagas de GaragemTrindade</v>
          </cell>
          <cell r="C167" t="str">
            <v>Edifício Champagnat</v>
          </cell>
          <cell r="D167" t="str">
            <v>UNIÃO CATARINENSE DE EDUCAÇÃO - UCE</v>
          </cell>
          <cell r="E167" t="str">
            <v>UNIÃO CATARINENSE DE EDUCAÇÃO - UCE</v>
          </cell>
          <cell r="F167" t="str">
            <v>Próprio</v>
          </cell>
          <cell r="G167" t="str">
            <v>Edificado - Comercial</v>
          </cell>
          <cell r="H167"/>
          <cell r="I167" t="str">
            <v>Imobiliário</v>
          </cell>
          <cell r="J167" t="str">
            <v>Rua Prof. Simão José Hess, nº 191</v>
          </cell>
          <cell r="K167">
            <v>0</v>
          </cell>
          <cell r="L167" t="str">
            <v>Aptos e Vagas de Garagem</v>
          </cell>
          <cell r="M167" t="str">
            <v>Trindade</v>
          </cell>
          <cell r="N167" t="str">
            <v>Florianópolis</v>
          </cell>
          <cell r="O167" t="str">
            <v>Santa Catarina</v>
          </cell>
          <cell r="P167" t="str">
            <v>Brasil</v>
          </cell>
          <cell r="Q167"/>
        </row>
        <row r="168">
          <cell r="A168">
            <v>60444</v>
          </cell>
          <cell r="B168" t="str">
            <v>Rua Prof. Simão José Hess, nº 191Aptos e Vagas de GaragemTrindade</v>
          </cell>
          <cell r="C168" t="str">
            <v>Edifício Champagnat</v>
          </cell>
          <cell r="D168" t="str">
            <v>UNIÃO CATARINENSE DE EDUCAÇÃO - UCE</v>
          </cell>
          <cell r="E168" t="str">
            <v>UNIÃO CATARINENSE DE EDUCAÇÃO - UCE</v>
          </cell>
          <cell r="F168" t="str">
            <v>Próprio</v>
          </cell>
          <cell r="G168" t="str">
            <v>Edificado - Comercial</v>
          </cell>
          <cell r="H168"/>
          <cell r="I168" t="str">
            <v>Imobiliário</v>
          </cell>
          <cell r="J168" t="str">
            <v>Rua Prof. Simão José Hess, nº 191</v>
          </cell>
          <cell r="K168">
            <v>0</v>
          </cell>
          <cell r="L168" t="str">
            <v>Aptos e Vagas de Garagem</v>
          </cell>
          <cell r="M168" t="str">
            <v>Trindade</v>
          </cell>
          <cell r="N168" t="str">
            <v>Florianópolis</v>
          </cell>
          <cell r="O168" t="str">
            <v>Santa Catarina</v>
          </cell>
          <cell r="P168" t="str">
            <v>Brasil</v>
          </cell>
          <cell r="Q168"/>
        </row>
        <row r="169">
          <cell r="A169">
            <v>60445</v>
          </cell>
          <cell r="B169" t="str">
            <v>Rua Prof. Simão José Hess, nº 191Aptos e Vagas de GaragemTrindade</v>
          </cell>
          <cell r="C169" t="str">
            <v>Edifício Champagnat</v>
          </cell>
          <cell r="D169" t="str">
            <v>UNIÃO CATARINENSE DE EDUCAÇÃO - UCE</v>
          </cell>
          <cell r="E169" t="str">
            <v>UNIÃO CATARINENSE DE EDUCAÇÃO - UCE</v>
          </cell>
          <cell r="F169" t="str">
            <v>Próprio</v>
          </cell>
          <cell r="G169" t="str">
            <v>Edificado - Comercial</v>
          </cell>
          <cell r="H169"/>
          <cell r="I169" t="str">
            <v>Imobiliário</v>
          </cell>
          <cell r="J169" t="str">
            <v>Rua Prof. Simão José Hess, nº 191</v>
          </cell>
          <cell r="K169">
            <v>0</v>
          </cell>
          <cell r="L169" t="str">
            <v>Aptos e Vagas de Garagem</v>
          </cell>
          <cell r="M169" t="str">
            <v>Trindade</v>
          </cell>
          <cell r="N169" t="str">
            <v>Florianópolis</v>
          </cell>
          <cell r="O169" t="str">
            <v>Santa Catarina</v>
          </cell>
          <cell r="P169" t="str">
            <v>Brasil</v>
          </cell>
          <cell r="Q169"/>
        </row>
        <row r="170">
          <cell r="A170">
            <v>60446</v>
          </cell>
          <cell r="B170" t="str">
            <v>Rua Prof. Simão José Hess, nº 191Aptos e Vagas de GaragemTrindade</v>
          </cell>
          <cell r="C170" t="str">
            <v>Edifício Champagnat</v>
          </cell>
          <cell r="D170" t="str">
            <v>UNIÃO CATARINENSE DE EDUCAÇÃO - UCE</v>
          </cell>
          <cell r="E170" t="str">
            <v>UNIÃO CATARINENSE DE EDUCAÇÃO - UCE</v>
          </cell>
          <cell r="F170" t="str">
            <v>Próprio</v>
          </cell>
          <cell r="G170" t="str">
            <v>Edificado - Comercial</v>
          </cell>
          <cell r="H170"/>
          <cell r="I170" t="str">
            <v>Imobiliário</v>
          </cell>
          <cell r="J170" t="str">
            <v>Rua Prof. Simão José Hess, nº 191</v>
          </cell>
          <cell r="K170">
            <v>0</v>
          </cell>
          <cell r="L170" t="str">
            <v>Aptos e Vagas de Garagem</v>
          </cell>
          <cell r="M170" t="str">
            <v>Trindade</v>
          </cell>
          <cell r="N170" t="str">
            <v>Florianópolis</v>
          </cell>
          <cell r="O170" t="str">
            <v>Santa Catarina</v>
          </cell>
          <cell r="P170" t="str">
            <v>Brasil</v>
          </cell>
          <cell r="Q170"/>
        </row>
        <row r="171">
          <cell r="A171">
            <v>60447</v>
          </cell>
          <cell r="B171" t="str">
            <v>Rua Prof. Simão José Hess, nº 191Aptos e Vagas de GaragemTrindade</v>
          </cell>
          <cell r="C171" t="str">
            <v>Edifício Champagnat</v>
          </cell>
          <cell r="D171" t="str">
            <v>UNIÃO CATARINENSE DE EDUCAÇÃO - UCE</v>
          </cell>
          <cell r="E171" t="str">
            <v>UNIÃO CATARINENSE DE EDUCAÇÃO - UCE</v>
          </cell>
          <cell r="F171" t="str">
            <v>Próprio</v>
          </cell>
          <cell r="G171" t="str">
            <v>Edificado - Comercial</v>
          </cell>
          <cell r="H171"/>
          <cell r="I171" t="str">
            <v>Imobiliário</v>
          </cell>
          <cell r="J171" t="str">
            <v>Rua Prof. Simão José Hess, nº 191</v>
          </cell>
          <cell r="K171">
            <v>0</v>
          </cell>
          <cell r="L171" t="str">
            <v>Aptos e Vagas de Garagem</v>
          </cell>
          <cell r="M171" t="str">
            <v>Trindade</v>
          </cell>
          <cell r="N171" t="str">
            <v>Florianópolis</v>
          </cell>
          <cell r="O171" t="str">
            <v>Santa Catarina</v>
          </cell>
          <cell r="P171" t="str">
            <v>Brasil</v>
          </cell>
          <cell r="Q171"/>
        </row>
        <row r="172">
          <cell r="A172">
            <v>60448</v>
          </cell>
          <cell r="B172" t="str">
            <v>Rua Prof. Simão José Hess, nº 191Aptos e Vagas de GaragemTrindade</v>
          </cell>
          <cell r="C172" t="str">
            <v>Edifício Champagnat</v>
          </cell>
          <cell r="D172" t="str">
            <v>UNIÃO CATARINENSE DE EDUCAÇÃO - UCE</v>
          </cell>
          <cell r="E172" t="str">
            <v>UNIÃO CATARINENSE DE EDUCAÇÃO - UCE</v>
          </cell>
          <cell r="F172" t="str">
            <v>Próprio</v>
          </cell>
          <cell r="G172" t="str">
            <v>Edificado - Comercial</v>
          </cell>
          <cell r="H172"/>
          <cell r="I172" t="str">
            <v>Imobiliário</v>
          </cell>
          <cell r="J172" t="str">
            <v>Rua Prof. Simão José Hess, nº 191</v>
          </cell>
          <cell r="K172">
            <v>0</v>
          </cell>
          <cell r="L172" t="str">
            <v>Aptos e Vagas de Garagem</v>
          </cell>
          <cell r="M172" t="str">
            <v>Trindade</v>
          </cell>
          <cell r="N172" t="str">
            <v>Florianópolis</v>
          </cell>
          <cell r="O172" t="str">
            <v>Santa Catarina</v>
          </cell>
          <cell r="P172" t="str">
            <v>Brasil</v>
          </cell>
          <cell r="Q172"/>
        </row>
        <row r="173">
          <cell r="A173">
            <v>60449</v>
          </cell>
          <cell r="B173" t="str">
            <v>Rua Prof. Simão José Hess, nº 191Aptos e Vagas de GaragemTrindade</v>
          </cell>
          <cell r="C173" t="str">
            <v>Edifício Champagnat</v>
          </cell>
          <cell r="D173" t="str">
            <v>UNIÃO CATARINENSE DE EDUCAÇÃO - UCE</v>
          </cell>
          <cell r="E173" t="str">
            <v>UNIÃO CATARINENSE DE EDUCAÇÃO - UCE</v>
          </cell>
          <cell r="F173" t="str">
            <v>Próprio</v>
          </cell>
          <cell r="G173" t="str">
            <v>Edificado - Comercial</v>
          </cell>
          <cell r="H173"/>
          <cell r="I173" t="str">
            <v>Imobiliário</v>
          </cell>
          <cell r="J173" t="str">
            <v>Rua Prof. Simão José Hess, nº 191</v>
          </cell>
          <cell r="K173">
            <v>0</v>
          </cell>
          <cell r="L173" t="str">
            <v>Aptos e Vagas de Garagem</v>
          </cell>
          <cell r="M173" t="str">
            <v>Trindade</v>
          </cell>
          <cell r="N173" t="str">
            <v>Florianópolis</v>
          </cell>
          <cell r="O173" t="str">
            <v>Santa Catarina</v>
          </cell>
          <cell r="P173" t="str">
            <v>Brasil</v>
          </cell>
          <cell r="Q173"/>
        </row>
        <row r="174">
          <cell r="A174">
            <v>60450</v>
          </cell>
          <cell r="B174" t="str">
            <v>Rua Prof. Simão José Hess, nº 191Aptos e Vagas de GaragemTrindade</v>
          </cell>
          <cell r="C174" t="str">
            <v>Edifício Champagnat</v>
          </cell>
          <cell r="D174" t="str">
            <v>UNIÃO CATARINENSE DE EDUCAÇÃO - UCE</v>
          </cell>
          <cell r="E174" t="str">
            <v>UNIÃO CATARINENSE DE EDUCAÇÃO - UCE</v>
          </cell>
          <cell r="F174" t="str">
            <v>Próprio</v>
          </cell>
          <cell r="G174" t="str">
            <v>Edificado - Comercial</v>
          </cell>
          <cell r="H174"/>
          <cell r="I174" t="str">
            <v>Imobiliário</v>
          </cell>
          <cell r="J174" t="str">
            <v>Rua Prof. Simão José Hess, nº 191</v>
          </cell>
          <cell r="K174">
            <v>0</v>
          </cell>
          <cell r="L174" t="str">
            <v>Aptos e Vagas de Garagem</v>
          </cell>
          <cell r="M174" t="str">
            <v>Trindade</v>
          </cell>
          <cell r="N174" t="str">
            <v>Florianópolis</v>
          </cell>
          <cell r="O174" t="str">
            <v>Santa Catarina</v>
          </cell>
          <cell r="P174" t="str">
            <v>Brasil</v>
          </cell>
          <cell r="Q174"/>
        </row>
        <row r="175">
          <cell r="A175">
            <v>60451</v>
          </cell>
          <cell r="B175" t="str">
            <v>Rua Prof. Simão José Hess, nº 191Aptos e Vagas de GaragemTrindade</v>
          </cell>
          <cell r="C175" t="str">
            <v>Edifício Champagnat</v>
          </cell>
          <cell r="D175" t="str">
            <v>UNIÃO CATARINENSE DE EDUCAÇÃO - UCE</v>
          </cell>
          <cell r="E175" t="str">
            <v>UNIÃO CATARINENSE DE EDUCAÇÃO - UCE</v>
          </cell>
          <cell r="F175" t="str">
            <v>Próprio</v>
          </cell>
          <cell r="G175" t="str">
            <v>Edificado - Comercial</v>
          </cell>
          <cell r="H175"/>
          <cell r="I175" t="str">
            <v>Imobiliário</v>
          </cell>
          <cell r="J175" t="str">
            <v>Rua Prof. Simão José Hess, nº 191</v>
          </cell>
          <cell r="K175">
            <v>0</v>
          </cell>
          <cell r="L175" t="str">
            <v>Aptos e Vagas de Garagem</v>
          </cell>
          <cell r="M175" t="str">
            <v>Trindade</v>
          </cell>
          <cell r="N175" t="str">
            <v>Florianópolis</v>
          </cell>
          <cell r="O175" t="str">
            <v>Santa Catarina</v>
          </cell>
          <cell r="P175" t="str">
            <v>Brasil</v>
          </cell>
          <cell r="Q175"/>
        </row>
        <row r="176">
          <cell r="A176">
            <v>60452</v>
          </cell>
          <cell r="B176" t="str">
            <v>Rua Prof. Simão José Hess, nº 191Aptos e Vagas de GaragemTrindade</v>
          </cell>
          <cell r="C176" t="str">
            <v>Edifício Champagnat</v>
          </cell>
          <cell r="D176" t="str">
            <v>UNIÃO CATARINENSE DE EDUCAÇÃO - UCE</v>
          </cell>
          <cell r="E176" t="str">
            <v>UNIÃO CATARINENSE DE EDUCAÇÃO - UCE</v>
          </cell>
          <cell r="F176" t="str">
            <v>Próprio</v>
          </cell>
          <cell r="G176" t="str">
            <v>Edificado - Comercial</v>
          </cell>
          <cell r="H176"/>
          <cell r="I176" t="str">
            <v>Imobiliário</v>
          </cell>
          <cell r="J176" t="str">
            <v>Rua Prof. Simão José Hess, nº 191</v>
          </cell>
          <cell r="K176">
            <v>0</v>
          </cell>
          <cell r="L176" t="str">
            <v>Aptos e Vagas de Garagem</v>
          </cell>
          <cell r="M176" t="str">
            <v>Trindade</v>
          </cell>
          <cell r="N176" t="str">
            <v>Florianópolis</v>
          </cell>
          <cell r="O176" t="str">
            <v>Santa Catarina</v>
          </cell>
          <cell r="P176" t="str">
            <v>Brasil</v>
          </cell>
          <cell r="Q176"/>
        </row>
        <row r="177">
          <cell r="A177">
            <v>60453</v>
          </cell>
          <cell r="B177" t="str">
            <v>Rua Prof. Simão José Hess, nº 191Aptos e Vagas de GaragemTrindade</v>
          </cell>
          <cell r="C177" t="str">
            <v>Edifício Champagnat</v>
          </cell>
          <cell r="D177" t="str">
            <v>UNIÃO CATARINENSE DE EDUCAÇÃO - UCE</v>
          </cell>
          <cell r="E177" t="str">
            <v>UNIÃO CATARINENSE DE EDUCAÇÃO - UCE</v>
          </cell>
          <cell r="F177" t="str">
            <v>Próprio</v>
          </cell>
          <cell r="G177" t="str">
            <v>Edificado - Comercial</v>
          </cell>
          <cell r="H177"/>
          <cell r="I177" t="str">
            <v>Imobiliário</v>
          </cell>
          <cell r="J177" t="str">
            <v>Rua Prof. Simão José Hess, nº 191</v>
          </cell>
          <cell r="K177">
            <v>0</v>
          </cell>
          <cell r="L177" t="str">
            <v>Aptos e Vagas de Garagem</v>
          </cell>
          <cell r="M177" t="str">
            <v>Trindade</v>
          </cell>
          <cell r="N177" t="str">
            <v>Florianópolis</v>
          </cell>
          <cell r="O177" t="str">
            <v>Santa Catarina</v>
          </cell>
          <cell r="P177" t="str">
            <v>Brasil</v>
          </cell>
          <cell r="Q177"/>
        </row>
        <row r="178">
          <cell r="A178">
            <v>44597</v>
          </cell>
          <cell r="B178" t="str">
            <v>Avenida Rio Branco, nº 354Salas e Vagas de GaragemCentro</v>
          </cell>
          <cell r="C178" t="str">
            <v>Edifício Maxim's - Centro Executivo</v>
          </cell>
          <cell r="D178" t="str">
            <v>UNIÃO CATARINENSE DE EDUCAÇÃO - UCE</v>
          </cell>
          <cell r="E178" t="str">
            <v>UNIÃO CATARINENSE DE EDUCAÇÃO - UCE</v>
          </cell>
          <cell r="F178" t="str">
            <v>Próprio</v>
          </cell>
          <cell r="G178" t="str">
            <v>Edificado - Comercial</v>
          </cell>
          <cell r="H178"/>
          <cell r="I178" t="str">
            <v>Imobiliário</v>
          </cell>
          <cell r="J178" t="str">
            <v>Avenida Rio Branco, nº 354</v>
          </cell>
          <cell r="K178">
            <v>0</v>
          </cell>
          <cell r="L178" t="str">
            <v>Salas e Vagas de Garagem</v>
          </cell>
          <cell r="M178" t="str">
            <v>Centro</v>
          </cell>
          <cell r="N178" t="str">
            <v>Florianópolis</v>
          </cell>
          <cell r="O178" t="str">
            <v>Santa Catarina</v>
          </cell>
          <cell r="P178" t="str">
            <v>Brasil</v>
          </cell>
          <cell r="Q178"/>
        </row>
        <row r="179">
          <cell r="A179">
            <v>44598</v>
          </cell>
          <cell r="B179" t="str">
            <v>Avenida Rio Branco, nº 354Salas e Vagas de GaragemCentro</v>
          </cell>
          <cell r="C179" t="str">
            <v>Edifício Maxim's - Centro Executivo</v>
          </cell>
          <cell r="D179" t="str">
            <v>UNIÃO CATARINENSE DE EDUCAÇÃO - UCE</v>
          </cell>
          <cell r="E179" t="str">
            <v>UNIÃO CATARINENSE DE EDUCAÇÃO - UCE</v>
          </cell>
          <cell r="F179" t="str">
            <v>Próprio</v>
          </cell>
          <cell r="G179" t="str">
            <v>Edificado - Comercial</v>
          </cell>
          <cell r="H179"/>
          <cell r="I179" t="str">
            <v>Imobiliário</v>
          </cell>
          <cell r="J179" t="str">
            <v>Avenida Rio Branco, nº 354</v>
          </cell>
          <cell r="K179">
            <v>0</v>
          </cell>
          <cell r="L179" t="str">
            <v>Salas e Vagas de Garagem</v>
          </cell>
          <cell r="M179" t="str">
            <v>Centro</v>
          </cell>
          <cell r="N179" t="str">
            <v>Florianópolis</v>
          </cell>
          <cell r="O179" t="str">
            <v>Santa Catarina</v>
          </cell>
          <cell r="P179" t="str">
            <v>Brasil</v>
          </cell>
          <cell r="Q179"/>
        </row>
        <row r="180">
          <cell r="A180">
            <v>44599</v>
          </cell>
          <cell r="B180" t="str">
            <v>Avenida Rio Branco, nº 354Salas e Vagas de GaragemCentro</v>
          </cell>
          <cell r="C180" t="str">
            <v>Edifício Maxim's - Centro Executivo</v>
          </cell>
          <cell r="D180" t="str">
            <v>UNIÃO CATARINENSE DE EDUCAÇÃO - UCE</v>
          </cell>
          <cell r="E180" t="str">
            <v>UNIÃO CATARINENSE DE EDUCAÇÃO - UCE</v>
          </cell>
          <cell r="F180" t="str">
            <v>Próprio</v>
          </cell>
          <cell r="G180" t="str">
            <v>Edificado - Comercial</v>
          </cell>
          <cell r="H180"/>
          <cell r="I180" t="str">
            <v>Imobiliário</v>
          </cell>
          <cell r="J180" t="str">
            <v>Avenida Rio Branco, nº 354</v>
          </cell>
          <cell r="K180">
            <v>0</v>
          </cell>
          <cell r="L180" t="str">
            <v>Salas e Vagas de Garagem</v>
          </cell>
          <cell r="M180" t="str">
            <v>Centro</v>
          </cell>
          <cell r="N180" t="str">
            <v>Florianópolis</v>
          </cell>
          <cell r="O180" t="str">
            <v>Santa Catarina</v>
          </cell>
          <cell r="P180" t="str">
            <v>Brasil</v>
          </cell>
          <cell r="Q180"/>
        </row>
        <row r="181">
          <cell r="A181">
            <v>44600</v>
          </cell>
          <cell r="B181" t="str">
            <v>Avenida Rio Branco, nº 354Salas e Vagas de GaragemCentro</v>
          </cell>
          <cell r="C181" t="str">
            <v>Edifício Maxim's - Centro Executivo</v>
          </cell>
          <cell r="D181" t="str">
            <v>UNIÃO CATARINENSE DE EDUCAÇÃO - UCE</v>
          </cell>
          <cell r="E181" t="str">
            <v>UNIÃO CATARINENSE DE EDUCAÇÃO - UCE</v>
          </cell>
          <cell r="F181" t="str">
            <v>Próprio</v>
          </cell>
          <cell r="G181" t="str">
            <v>Edificado - Comercial</v>
          </cell>
          <cell r="H181"/>
          <cell r="I181" t="str">
            <v>Imobiliário</v>
          </cell>
          <cell r="J181" t="str">
            <v>Avenida Rio Branco, nº 354</v>
          </cell>
          <cell r="K181">
            <v>0</v>
          </cell>
          <cell r="L181" t="str">
            <v>Salas e Vagas de Garagem</v>
          </cell>
          <cell r="M181" t="str">
            <v>Centro</v>
          </cell>
          <cell r="N181" t="str">
            <v>Florianópolis</v>
          </cell>
          <cell r="O181" t="str">
            <v>Santa Catarina</v>
          </cell>
          <cell r="P181" t="str">
            <v>Brasil</v>
          </cell>
          <cell r="Q181"/>
        </row>
        <row r="182">
          <cell r="A182">
            <v>44601</v>
          </cell>
          <cell r="B182" t="str">
            <v>Avenida Rio Branco, nº 354Salas e Vagas de GaragemCentro</v>
          </cell>
          <cell r="C182" t="str">
            <v>Edifício Maxim's - Centro Executivo</v>
          </cell>
          <cell r="D182" t="str">
            <v>UNIÃO CATARINENSE DE EDUCAÇÃO - UCE</v>
          </cell>
          <cell r="E182" t="str">
            <v>UNIÃO CATARINENSE DE EDUCAÇÃO - UCE</v>
          </cell>
          <cell r="F182" t="str">
            <v>Próprio</v>
          </cell>
          <cell r="G182" t="str">
            <v>Edificado - Comercial</v>
          </cell>
          <cell r="H182"/>
          <cell r="I182" t="str">
            <v>Imobiliário</v>
          </cell>
          <cell r="J182" t="str">
            <v>Avenida Rio Branco, nº 354</v>
          </cell>
          <cell r="K182">
            <v>0</v>
          </cell>
          <cell r="L182" t="str">
            <v>Salas e Vagas de Garagem</v>
          </cell>
          <cell r="M182" t="str">
            <v>Centro</v>
          </cell>
          <cell r="N182" t="str">
            <v>Florianópolis</v>
          </cell>
          <cell r="O182" t="str">
            <v>Santa Catarina</v>
          </cell>
          <cell r="P182" t="str">
            <v>Brasil</v>
          </cell>
          <cell r="Q182"/>
        </row>
        <row r="183">
          <cell r="A183">
            <v>44602</v>
          </cell>
          <cell r="B183" t="str">
            <v>Avenida Rio Branco, nº 354Salas e Vagas de GaragemCentro</v>
          </cell>
          <cell r="C183" t="str">
            <v>Edifício Maxim's - Centro Executivo</v>
          </cell>
          <cell r="D183" t="str">
            <v>UNIÃO CATARINENSE DE EDUCAÇÃO - UCE</v>
          </cell>
          <cell r="E183" t="str">
            <v>UNIÃO CATARINENSE DE EDUCAÇÃO - UCE</v>
          </cell>
          <cell r="F183" t="str">
            <v>Próprio</v>
          </cell>
          <cell r="G183" t="str">
            <v>Edificado - Comercial</v>
          </cell>
          <cell r="H183"/>
          <cell r="I183" t="str">
            <v>Imobiliário</v>
          </cell>
          <cell r="J183" t="str">
            <v>Avenida Rio Branco, nº 354</v>
          </cell>
          <cell r="K183">
            <v>0</v>
          </cell>
          <cell r="L183" t="str">
            <v>Salas e Vagas de Garagem</v>
          </cell>
          <cell r="M183" t="str">
            <v>Centro</v>
          </cell>
          <cell r="N183" t="str">
            <v>Florianópolis</v>
          </cell>
          <cell r="O183" t="str">
            <v>Santa Catarina</v>
          </cell>
          <cell r="P183" t="str">
            <v>Brasil</v>
          </cell>
          <cell r="Q183"/>
        </row>
        <row r="184">
          <cell r="A184">
            <v>44603</v>
          </cell>
          <cell r="B184" t="str">
            <v>Avenida Rio Branco, nº 354Salas e Vagas de GaragemCentro</v>
          </cell>
          <cell r="C184" t="str">
            <v>Edifício Maxim's - Centro Executivo</v>
          </cell>
          <cell r="D184" t="str">
            <v>UNIÃO CATARINENSE DE EDUCAÇÃO - UCE</v>
          </cell>
          <cell r="E184" t="str">
            <v>UNIÃO CATARINENSE DE EDUCAÇÃO - UCE</v>
          </cell>
          <cell r="F184" t="str">
            <v>Próprio</v>
          </cell>
          <cell r="G184" t="str">
            <v>Edificado - Comercial</v>
          </cell>
          <cell r="H184"/>
          <cell r="I184" t="str">
            <v>Imobiliário</v>
          </cell>
          <cell r="J184" t="str">
            <v>Avenida Rio Branco, nº 354</v>
          </cell>
          <cell r="K184">
            <v>0</v>
          </cell>
          <cell r="L184" t="str">
            <v>Salas e Vagas de Garagem</v>
          </cell>
          <cell r="M184" t="str">
            <v>Centro</v>
          </cell>
          <cell r="N184" t="str">
            <v>Florianópolis</v>
          </cell>
          <cell r="O184" t="str">
            <v>Santa Catarina</v>
          </cell>
          <cell r="P184" t="str">
            <v>Brasil</v>
          </cell>
          <cell r="Q184"/>
        </row>
        <row r="185">
          <cell r="A185">
            <v>44604</v>
          </cell>
          <cell r="B185" t="str">
            <v>Avenida Rio Branco, nº 354Salas e Vagas de GaragemCentro</v>
          </cell>
          <cell r="C185" t="str">
            <v>Edifício Maxim's - Centro Executivo</v>
          </cell>
          <cell r="D185" t="str">
            <v>UNIÃO CATARINENSE DE EDUCAÇÃO - UCE</v>
          </cell>
          <cell r="E185" t="str">
            <v>UNIÃO CATARINENSE DE EDUCAÇÃO - UCE</v>
          </cell>
          <cell r="F185" t="str">
            <v>Próprio</v>
          </cell>
          <cell r="G185" t="str">
            <v>Edificado - Comercial</v>
          </cell>
          <cell r="H185"/>
          <cell r="I185" t="str">
            <v>Imobiliário</v>
          </cell>
          <cell r="J185" t="str">
            <v>Avenida Rio Branco, nº 354</v>
          </cell>
          <cell r="K185">
            <v>0</v>
          </cell>
          <cell r="L185" t="str">
            <v>Salas e Vagas de Garagem</v>
          </cell>
          <cell r="M185" t="str">
            <v>Centro</v>
          </cell>
          <cell r="N185" t="str">
            <v>Florianópolis</v>
          </cell>
          <cell r="O185" t="str">
            <v>Santa Catarina</v>
          </cell>
          <cell r="P185" t="str">
            <v>Brasil</v>
          </cell>
          <cell r="Q185"/>
        </row>
        <row r="186">
          <cell r="A186">
            <v>44605</v>
          </cell>
          <cell r="B186" t="str">
            <v>Avenida Rio Branco, nº 354Salas e Vagas de GaragemCentro</v>
          </cell>
          <cell r="C186" t="str">
            <v>Edifício Maxim's - Centro Executivo</v>
          </cell>
          <cell r="D186" t="str">
            <v>UNIÃO CATARINENSE DE EDUCAÇÃO - UCE</v>
          </cell>
          <cell r="E186" t="str">
            <v>UNIÃO CATARINENSE DE EDUCAÇÃO - UCE</v>
          </cell>
          <cell r="F186" t="str">
            <v>Próprio</v>
          </cell>
          <cell r="G186" t="str">
            <v>Edificado - Comercial</v>
          </cell>
          <cell r="H186"/>
          <cell r="I186" t="str">
            <v>Imobiliário</v>
          </cell>
          <cell r="J186" t="str">
            <v>Avenida Rio Branco, nº 354</v>
          </cell>
          <cell r="K186">
            <v>0</v>
          </cell>
          <cell r="L186" t="str">
            <v>Salas e Vagas de Garagem</v>
          </cell>
          <cell r="M186" t="str">
            <v>Centro</v>
          </cell>
          <cell r="N186" t="str">
            <v>Florianópolis</v>
          </cell>
          <cell r="O186" t="str">
            <v>Santa Catarina</v>
          </cell>
          <cell r="P186" t="str">
            <v>Brasil</v>
          </cell>
          <cell r="Q186"/>
        </row>
        <row r="187">
          <cell r="A187">
            <v>44606</v>
          </cell>
          <cell r="B187" t="str">
            <v>Avenida Rio Branco, nº 354Salas e Vagas de GaragemCentro</v>
          </cell>
          <cell r="C187" t="str">
            <v>Edifício Maxim's - Centro Executivo</v>
          </cell>
          <cell r="D187" t="str">
            <v>UNIÃO CATARINENSE DE EDUCAÇÃO - UCE</v>
          </cell>
          <cell r="E187" t="str">
            <v>UNIÃO CATARINENSE DE EDUCAÇÃO - UCE</v>
          </cell>
          <cell r="F187" t="str">
            <v>Próprio</v>
          </cell>
          <cell r="G187" t="str">
            <v>Edificado - Comercial</v>
          </cell>
          <cell r="H187"/>
          <cell r="I187" t="str">
            <v>Imobiliário</v>
          </cell>
          <cell r="J187" t="str">
            <v>Avenida Rio Branco, nº 354</v>
          </cell>
          <cell r="K187">
            <v>0</v>
          </cell>
          <cell r="L187" t="str">
            <v>Salas e Vagas de Garagem</v>
          </cell>
          <cell r="M187" t="str">
            <v>Centro</v>
          </cell>
          <cell r="N187" t="str">
            <v>Florianópolis</v>
          </cell>
          <cell r="O187" t="str">
            <v>Santa Catarina</v>
          </cell>
          <cell r="P187" t="str">
            <v>Brasil</v>
          </cell>
          <cell r="Q187"/>
        </row>
        <row r="188">
          <cell r="A188">
            <v>44607</v>
          </cell>
          <cell r="B188" t="str">
            <v>Avenida Rio Branco, nº 354Salas e Vagas de GaragemCentro</v>
          </cell>
          <cell r="C188" t="str">
            <v>Edifício Maxim's - Centro Executivo</v>
          </cell>
          <cell r="D188" t="str">
            <v>UNIÃO CATARINENSE DE EDUCAÇÃO - UCE</v>
          </cell>
          <cell r="E188" t="str">
            <v>UNIÃO CATARINENSE DE EDUCAÇÃO - UCE</v>
          </cell>
          <cell r="F188" t="str">
            <v>Próprio</v>
          </cell>
          <cell r="G188" t="str">
            <v>Edificado - Comercial</v>
          </cell>
          <cell r="H188"/>
          <cell r="I188" t="str">
            <v>Imobiliário</v>
          </cell>
          <cell r="J188" t="str">
            <v>Avenida Rio Branco, nº 354</v>
          </cell>
          <cell r="K188">
            <v>0</v>
          </cell>
          <cell r="L188" t="str">
            <v>Salas e Vagas de Garagem</v>
          </cell>
          <cell r="M188" t="str">
            <v>Centro</v>
          </cell>
          <cell r="N188" t="str">
            <v>Florianópolis</v>
          </cell>
          <cell r="O188" t="str">
            <v>Santa Catarina</v>
          </cell>
          <cell r="P188" t="str">
            <v>Brasil</v>
          </cell>
          <cell r="Q188"/>
        </row>
        <row r="189">
          <cell r="A189">
            <v>44608</v>
          </cell>
          <cell r="B189" t="str">
            <v>Avenida Rio Branco, nº 354Salas e Vagas de GaragemCentro</v>
          </cell>
          <cell r="C189" t="str">
            <v>Edifício Maxim's - Centro Executivo</v>
          </cell>
          <cell r="D189" t="str">
            <v>UNIÃO CATARINENSE DE EDUCAÇÃO - UCE</v>
          </cell>
          <cell r="E189" t="str">
            <v>UNIÃO CATARINENSE DE EDUCAÇÃO - UCE</v>
          </cell>
          <cell r="F189" t="str">
            <v>Próprio</v>
          </cell>
          <cell r="G189" t="str">
            <v>Edificado - Comercial</v>
          </cell>
          <cell r="H189"/>
          <cell r="I189" t="str">
            <v>Imobiliário</v>
          </cell>
          <cell r="J189" t="str">
            <v>Avenida Rio Branco, nº 354</v>
          </cell>
          <cell r="K189">
            <v>0</v>
          </cell>
          <cell r="L189" t="str">
            <v>Salas e Vagas de Garagem</v>
          </cell>
          <cell r="M189" t="str">
            <v>Centro</v>
          </cell>
          <cell r="N189" t="str">
            <v>Florianópolis</v>
          </cell>
          <cell r="O189" t="str">
            <v>Santa Catarina</v>
          </cell>
          <cell r="P189" t="str">
            <v>Brasil</v>
          </cell>
          <cell r="Q189"/>
        </row>
        <row r="190">
          <cell r="A190">
            <v>44609</v>
          </cell>
          <cell r="B190" t="str">
            <v>Avenida Rio Branco, nº 354Salas e Vagas de GaragemCentro</v>
          </cell>
          <cell r="C190" t="str">
            <v>Edifício Maxim's - Centro Executivo</v>
          </cell>
          <cell r="D190" t="str">
            <v>UNIÃO CATARINENSE DE EDUCAÇÃO - UCE</v>
          </cell>
          <cell r="E190" t="str">
            <v>UNIÃO CATARINENSE DE EDUCAÇÃO - UCE</v>
          </cell>
          <cell r="F190" t="str">
            <v>Próprio</v>
          </cell>
          <cell r="G190" t="str">
            <v>Edificado - Comercial</v>
          </cell>
          <cell r="H190"/>
          <cell r="I190" t="str">
            <v>Imobiliário</v>
          </cell>
          <cell r="J190" t="str">
            <v>Avenida Rio Branco, nº 354</v>
          </cell>
          <cell r="K190">
            <v>0</v>
          </cell>
          <cell r="L190" t="str">
            <v>Salas e Vagas de Garagem</v>
          </cell>
          <cell r="M190" t="str">
            <v>Centro</v>
          </cell>
          <cell r="N190" t="str">
            <v>Florianópolis</v>
          </cell>
          <cell r="O190" t="str">
            <v>Santa Catarina</v>
          </cell>
          <cell r="P190" t="str">
            <v>Brasil</v>
          </cell>
          <cell r="Q190"/>
        </row>
        <row r="191">
          <cell r="A191">
            <v>44610</v>
          </cell>
          <cell r="B191" t="str">
            <v>Avenida Rio Branco, nº 354Salas e Vagas de GaragemCentro</v>
          </cell>
          <cell r="C191" t="str">
            <v>Edifício Maxim's - Centro Executivo</v>
          </cell>
          <cell r="D191" t="str">
            <v>UNIÃO CATARINENSE DE EDUCAÇÃO - UCE</v>
          </cell>
          <cell r="E191" t="str">
            <v>UNIÃO CATARINENSE DE EDUCAÇÃO - UCE</v>
          </cell>
          <cell r="F191" t="str">
            <v>Próprio</v>
          </cell>
          <cell r="G191" t="str">
            <v>Edificado - Comercial</v>
          </cell>
          <cell r="H191"/>
          <cell r="I191" t="str">
            <v>Imobiliário</v>
          </cell>
          <cell r="J191" t="str">
            <v>Avenida Rio Branco, nº 354</v>
          </cell>
          <cell r="K191">
            <v>0</v>
          </cell>
          <cell r="L191" t="str">
            <v>Salas e Vagas de Garagem</v>
          </cell>
          <cell r="M191" t="str">
            <v>Centro</v>
          </cell>
          <cell r="N191" t="str">
            <v>Florianópolis</v>
          </cell>
          <cell r="O191" t="str">
            <v>Santa Catarina</v>
          </cell>
          <cell r="P191" t="str">
            <v>Brasil</v>
          </cell>
          <cell r="Q191"/>
        </row>
        <row r="192">
          <cell r="A192">
            <v>44611</v>
          </cell>
          <cell r="B192" t="str">
            <v>Avenida Rio Branco, nº 354Salas e Vagas de GaragemCentro</v>
          </cell>
          <cell r="C192" t="str">
            <v>Edifício Maxim's - Centro Executivo</v>
          </cell>
          <cell r="D192" t="str">
            <v>UNIÃO CATARINENSE DE EDUCAÇÃO - UCE</v>
          </cell>
          <cell r="E192" t="str">
            <v>UNIÃO CATARINENSE DE EDUCAÇÃO - UCE</v>
          </cell>
          <cell r="F192" t="str">
            <v>Próprio</v>
          </cell>
          <cell r="G192" t="str">
            <v>Edificado - Comercial</v>
          </cell>
          <cell r="H192"/>
          <cell r="I192" t="str">
            <v>Imobiliário</v>
          </cell>
          <cell r="J192" t="str">
            <v>Avenida Rio Branco, nº 354</v>
          </cell>
          <cell r="K192">
            <v>0</v>
          </cell>
          <cell r="L192" t="str">
            <v>Salas e Vagas de Garagem</v>
          </cell>
          <cell r="M192" t="str">
            <v>Centro</v>
          </cell>
          <cell r="N192" t="str">
            <v>Florianópolis</v>
          </cell>
          <cell r="O192" t="str">
            <v>Santa Catarina</v>
          </cell>
          <cell r="P192" t="str">
            <v>Brasil</v>
          </cell>
          <cell r="Q192"/>
        </row>
        <row r="193">
          <cell r="A193">
            <v>44612</v>
          </cell>
          <cell r="B193" t="str">
            <v>Avenida Rio Branco, nº 354Salas e Vagas de GaragemCentro</v>
          </cell>
          <cell r="C193" t="str">
            <v>Edifício Maxim's - Centro Executivo</v>
          </cell>
          <cell r="D193" t="str">
            <v>UNIÃO CATARINENSE DE EDUCAÇÃO - UCE</v>
          </cell>
          <cell r="E193" t="str">
            <v>UNIÃO CATARINENSE DE EDUCAÇÃO - UCE</v>
          </cell>
          <cell r="F193" t="str">
            <v>Próprio</v>
          </cell>
          <cell r="G193" t="str">
            <v>Edificado - Comercial</v>
          </cell>
          <cell r="H193"/>
          <cell r="I193" t="str">
            <v>Imobiliário</v>
          </cell>
          <cell r="J193" t="str">
            <v>Avenida Rio Branco, nº 354</v>
          </cell>
          <cell r="K193">
            <v>0</v>
          </cell>
          <cell r="L193" t="str">
            <v>Salas e Vagas de Garagem</v>
          </cell>
          <cell r="M193" t="str">
            <v>Centro</v>
          </cell>
          <cell r="N193" t="str">
            <v>Florianópolis</v>
          </cell>
          <cell r="O193" t="str">
            <v>Santa Catarina</v>
          </cell>
          <cell r="P193" t="str">
            <v>Brasil</v>
          </cell>
          <cell r="Q193"/>
        </row>
        <row r="194">
          <cell r="A194">
            <v>44613</v>
          </cell>
          <cell r="B194" t="str">
            <v>Avenida Rio Branco, nº 354Salas e Vagas de GaragemCentro</v>
          </cell>
          <cell r="C194" t="str">
            <v>Edifício Maxim's - Centro Executivo</v>
          </cell>
          <cell r="D194" t="str">
            <v>UNIÃO CATARINENSE DE EDUCAÇÃO - UCE</v>
          </cell>
          <cell r="E194" t="str">
            <v>UNIÃO CATARINENSE DE EDUCAÇÃO - UCE</v>
          </cell>
          <cell r="F194" t="str">
            <v>Próprio</v>
          </cell>
          <cell r="G194" t="str">
            <v>Edificado - Comercial</v>
          </cell>
          <cell r="H194"/>
          <cell r="I194" t="str">
            <v>Imobiliário</v>
          </cell>
          <cell r="J194" t="str">
            <v>Avenida Rio Branco, nº 354</v>
          </cell>
          <cell r="K194">
            <v>0</v>
          </cell>
          <cell r="L194" t="str">
            <v>Salas e Vagas de Garagem</v>
          </cell>
          <cell r="M194" t="str">
            <v>Centro</v>
          </cell>
          <cell r="N194" t="str">
            <v>Florianópolis</v>
          </cell>
          <cell r="O194" t="str">
            <v>Santa Catarina</v>
          </cell>
          <cell r="P194" t="str">
            <v>Brasil</v>
          </cell>
          <cell r="Q194"/>
        </row>
        <row r="195">
          <cell r="A195">
            <v>44614</v>
          </cell>
          <cell r="B195" t="str">
            <v>Avenida Rio Branco, nº 354Salas e Vagas de GaragemCentro</v>
          </cell>
          <cell r="C195" t="str">
            <v>Edifício Maxim's - Centro Executivo</v>
          </cell>
          <cell r="D195" t="str">
            <v>UNIÃO CATARINENSE DE EDUCAÇÃO - UCE</v>
          </cell>
          <cell r="E195" t="str">
            <v>UNIÃO CATARINENSE DE EDUCAÇÃO - UCE</v>
          </cell>
          <cell r="F195" t="str">
            <v>Próprio</v>
          </cell>
          <cell r="G195" t="str">
            <v>Edificado - Comercial</v>
          </cell>
          <cell r="H195"/>
          <cell r="I195" t="str">
            <v>Imobiliário</v>
          </cell>
          <cell r="J195" t="str">
            <v>Avenida Rio Branco, nº 354</v>
          </cell>
          <cell r="K195">
            <v>0</v>
          </cell>
          <cell r="L195" t="str">
            <v>Salas e Vagas de Garagem</v>
          </cell>
          <cell r="M195" t="str">
            <v>Centro</v>
          </cell>
          <cell r="N195" t="str">
            <v>Florianópolis</v>
          </cell>
          <cell r="O195" t="str">
            <v>Santa Catarina</v>
          </cell>
          <cell r="P195" t="str">
            <v>Brasil</v>
          </cell>
          <cell r="Q195"/>
        </row>
        <row r="196">
          <cell r="A196">
            <v>44615</v>
          </cell>
          <cell r="B196" t="str">
            <v>Avenida Rio Branco, nº 354Salas e Vagas de GaragemCentro</v>
          </cell>
          <cell r="C196" t="str">
            <v>Edifício Maxim's - Centro Executivo</v>
          </cell>
          <cell r="D196" t="str">
            <v>UNIÃO CATARINENSE DE EDUCAÇÃO - UCE</v>
          </cell>
          <cell r="E196" t="str">
            <v>UNIÃO CATARINENSE DE EDUCAÇÃO - UCE</v>
          </cell>
          <cell r="F196" t="str">
            <v>Próprio</v>
          </cell>
          <cell r="G196" t="str">
            <v>Edificado - Comercial</v>
          </cell>
          <cell r="H196"/>
          <cell r="I196" t="str">
            <v>Imobiliário</v>
          </cell>
          <cell r="J196" t="str">
            <v>Avenida Rio Branco, nº 354</v>
          </cell>
          <cell r="K196">
            <v>0</v>
          </cell>
          <cell r="L196" t="str">
            <v>Salas e Vagas de Garagem</v>
          </cell>
          <cell r="M196" t="str">
            <v>Centro</v>
          </cell>
          <cell r="N196" t="str">
            <v>Florianópolis</v>
          </cell>
          <cell r="O196" t="str">
            <v>Santa Catarina</v>
          </cell>
          <cell r="P196" t="str">
            <v>Brasil</v>
          </cell>
          <cell r="Q196"/>
        </row>
        <row r="197">
          <cell r="A197">
            <v>44616</v>
          </cell>
          <cell r="B197" t="str">
            <v>Avenida Rio Branco, nº 354Salas e Vagas de GaragemCentro</v>
          </cell>
          <cell r="C197" t="str">
            <v>Edifício Maxim's - Centro Executivo</v>
          </cell>
          <cell r="D197" t="str">
            <v>UNIÃO CATARINENSE DE EDUCAÇÃO - UCE</v>
          </cell>
          <cell r="E197" t="str">
            <v>UNIÃO CATARINENSE DE EDUCAÇÃO - UCE</v>
          </cell>
          <cell r="F197" t="str">
            <v>Próprio</v>
          </cell>
          <cell r="G197" t="str">
            <v>Edificado - Comercial</v>
          </cell>
          <cell r="H197"/>
          <cell r="I197" t="str">
            <v>Imobiliário</v>
          </cell>
          <cell r="J197" t="str">
            <v>Avenida Rio Branco, nº 354</v>
          </cell>
          <cell r="K197">
            <v>0</v>
          </cell>
          <cell r="L197" t="str">
            <v>Salas e Vagas de Garagem</v>
          </cell>
          <cell r="M197" t="str">
            <v>Centro</v>
          </cell>
          <cell r="N197" t="str">
            <v>Florianópolis</v>
          </cell>
          <cell r="O197" t="str">
            <v>Santa Catarina</v>
          </cell>
          <cell r="P197" t="str">
            <v>Brasil</v>
          </cell>
          <cell r="Q197"/>
        </row>
        <row r="198">
          <cell r="A198">
            <v>44617</v>
          </cell>
          <cell r="B198" t="str">
            <v>Avenida Rio Branco, nº 354Salas e Vagas de GaragemCentro</v>
          </cell>
          <cell r="C198" t="str">
            <v>Edifício Maxim's - Centro Executivo</v>
          </cell>
          <cell r="D198" t="str">
            <v>UNIÃO CATARINENSE DE EDUCAÇÃO - UCE</v>
          </cell>
          <cell r="E198" t="str">
            <v>UNIÃO CATARINENSE DE EDUCAÇÃO - UCE</v>
          </cell>
          <cell r="F198" t="str">
            <v>Próprio</v>
          </cell>
          <cell r="G198" t="str">
            <v>Edificado - Comercial</v>
          </cell>
          <cell r="H198"/>
          <cell r="I198" t="str">
            <v>Imobiliário</v>
          </cell>
          <cell r="J198" t="str">
            <v>Avenida Rio Branco, nº 354</v>
          </cell>
          <cell r="K198">
            <v>0</v>
          </cell>
          <cell r="L198" t="str">
            <v>Salas e Vagas de Garagem</v>
          </cell>
          <cell r="M198" t="str">
            <v>Centro</v>
          </cell>
          <cell r="N198" t="str">
            <v>Florianópolis</v>
          </cell>
          <cell r="O198" t="str">
            <v>Santa Catarina</v>
          </cell>
          <cell r="P198" t="str">
            <v>Brasil</v>
          </cell>
          <cell r="Q198"/>
        </row>
        <row r="199">
          <cell r="A199">
            <v>44618</v>
          </cell>
          <cell r="B199" t="str">
            <v>Avenida Rio Branco, nº 354Salas e Vagas de GaragemCentro</v>
          </cell>
          <cell r="C199" t="str">
            <v>Edifício Maxim's - Centro Executivo</v>
          </cell>
          <cell r="D199" t="str">
            <v>UNIÃO CATARINENSE DE EDUCAÇÃO - UCE</v>
          </cell>
          <cell r="E199" t="str">
            <v>UNIÃO CATARINENSE DE EDUCAÇÃO - UCE</v>
          </cell>
          <cell r="F199" t="str">
            <v>Próprio</v>
          </cell>
          <cell r="G199" t="str">
            <v>Edificado - Comercial</v>
          </cell>
          <cell r="H199"/>
          <cell r="I199" t="str">
            <v>Imobiliário</v>
          </cell>
          <cell r="J199" t="str">
            <v>Avenida Rio Branco, nº 354</v>
          </cell>
          <cell r="K199">
            <v>0</v>
          </cell>
          <cell r="L199" t="str">
            <v>Salas e Vagas de Garagem</v>
          </cell>
          <cell r="M199" t="str">
            <v>Centro</v>
          </cell>
          <cell r="N199" t="str">
            <v>Florianópolis</v>
          </cell>
          <cell r="O199" t="str">
            <v>Santa Catarina</v>
          </cell>
          <cell r="P199" t="str">
            <v>Brasil</v>
          </cell>
          <cell r="Q199"/>
        </row>
        <row r="200">
          <cell r="A200">
            <v>44619</v>
          </cell>
          <cell r="B200" t="str">
            <v>Avenida Rio Branco, nº 354Salas e Vagas de GaragemCentro</v>
          </cell>
          <cell r="C200" t="str">
            <v>Edifício Maxim's - Centro Executivo</v>
          </cell>
          <cell r="D200" t="str">
            <v>UNIÃO CATARINENSE DE EDUCAÇÃO - UCE</v>
          </cell>
          <cell r="E200" t="str">
            <v>UNIÃO CATARINENSE DE EDUCAÇÃO - UCE</v>
          </cell>
          <cell r="F200" t="str">
            <v>Próprio</v>
          </cell>
          <cell r="G200" t="str">
            <v>Edificado - Comercial</v>
          </cell>
          <cell r="H200"/>
          <cell r="I200" t="str">
            <v>Imobiliário</v>
          </cell>
          <cell r="J200" t="str">
            <v>Avenida Rio Branco, nº 354</v>
          </cell>
          <cell r="K200">
            <v>0</v>
          </cell>
          <cell r="L200" t="str">
            <v>Salas e Vagas de Garagem</v>
          </cell>
          <cell r="M200" t="str">
            <v>Centro</v>
          </cell>
          <cell r="N200" t="str">
            <v>Florianópolis</v>
          </cell>
          <cell r="O200" t="str">
            <v>Santa Catarina</v>
          </cell>
          <cell r="P200" t="str">
            <v>Brasil</v>
          </cell>
          <cell r="Q200"/>
        </row>
        <row r="201">
          <cell r="A201">
            <v>44620</v>
          </cell>
          <cell r="B201" t="str">
            <v>Avenida Rio Branco, nº 354Salas e Vagas de GaragemCentro</v>
          </cell>
          <cell r="C201" t="str">
            <v>Edifício Maxim's - Centro Executivo</v>
          </cell>
          <cell r="D201" t="str">
            <v>UNIÃO CATARINENSE DE EDUCAÇÃO - UCE</v>
          </cell>
          <cell r="E201" t="str">
            <v>UNIÃO CATARINENSE DE EDUCAÇÃO - UCE</v>
          </cell>
          <cell r="F201" t="str">
            <v>Próprio</v>
          </cell>
          <cell r="G201" t="str">
            <v>Edificado - Comercial</v>
          </cell>
          <cell r="H201"/>
          <cell r="I201" t="str">
            <v>Imobiliário</v>
          </cell>
          <cell r="J201" t="str">
            <v>Avenida Rio Branco, nº 354</v>
          </cell>
          <cell r="K201">
            <v>0</v>
          </cell>
          <cell r="L201" t="str">
            <v>Salas e Vagas de Garagem</v>
          </cell>
          <cell r="M201" t="str">
            <v>Centro</v>
          </cell>
          <cell r="N201" t="str">
            <v>Florianópolis</v>
          </cell>
          <cell r="O201" t="str">
            <v>Santa Catarina</v>
          </cell>
          <cell r="P201" t="str">
            <v>Brasil</v>
          </cell>
          <cell r="Q201"/>
        </row>
        <row r="202">
          <cell r="A202">
            <v>44621</v>
          </cell>
          <cell r="B202" t="str">
            <v>Avenida Rio Branco, nº 354Salas e Vagas de GaragemCentro</v>
          </cell>
          <cell r="C202" t="str">
            <v>Edifício Maxim's - Centro Executivo</v>
          </cell>
          <cell r="D202" t="str">
            <v>UNIÃO CATARINENSE DE EDUCAÇÃO - UCE</v>
          </cell>
          <cell r="E202" t="str">
            <v>UNIÃO CATARINENSE DE EDUCAÇÃO - UCE</v>
          </cell>
          <cell r="F202" t="str">
            <v>Próprio</v>
          </cell>
          <cell r="G202" t="str">
            <v>Edificado - Comercial</v>
          </cell>
          <cell r="H202"/>
          <cell r="I202" t="str">
            <v>Imobiliário</v>
          </cell>
          <cell r="J202" t="str">
            <v>Avenida Rio Branco, nº 354</v>
          </cell>
          <cell r="K202">
            <v>0</v>
          </cell>
          <cell r="L202" t="str">
            <v>Salas e Vagas de Garagem</v>
          </cell>
          <cell r="M202" t="str">
            <v>Centro</v>
          </cell>
          <cell r="N202" t="str">
            <v>Florianópolis</v>
          </cell>
          <cell r="O202" t="str">
            <v>Santa Catarina</v>
          </cell>
          <cell r="P202" t="str">
            <v>Brasil</v>
          </cell>
          <cell r="Q202"/>
        </row>
        <row r="203">
          <cell r="A203">
            <v>44622</v>
          </cell>
          <cell r="B203" t="str">
            <v>Avenida Rio Branco, nº 354Salas e Vagas de GaragemCentro</v>
          </cell>
          <cell r="C203" t="str">
            <v>Edifício Maxim's - Centro Executivo</v>
          </cell>
          <cell r="D203" t="str">
            <v>UNIÃO CATARINENSE DE EDUCAÇÃO - UCE</v>
          </cell>
          <cell r="E203" t="str">
            <v>UNIÃO CATARINENSE DE EDUCAÇÃO - UCE</v>
          </cell>
          <cell r="F203" t="str">
            <v>Próprio</v>
          </cell>
          <cell r="G203" t="str">
            <v>Edificado - Comercial</v>
          </cell>
          <cell r="H203"/>
          <cell r="I203" t="str">
            <v>Imobiliário</v>
          </cell>
          <cell r="J203" t="str">
            <v>Avenida Rio Branco, nº 354</v>
          </cell>
          <cell r="K203">
            <v>0</v>
          </cell>
          <cell r="L203" t="str">
            <v>Salas e Vagas de Garagem</v>
          </cell>
          <cell r="M203" t="str">
            <v>Centro</v>
          </cell>
          <cell r="N203" t="str">
            <v>Florianópolis</v>
          </cell>
          <cell r="O203" t="str">
            <v>Santa Catarina</v>
          </cell>
          <cell r="P203" t="str">
            <v>Brasil</v>
          </cell>
          <cell r="Q203"/>
        </row>
        <row r="204">
          <cell r="A204">
            <v>53434</v>
          </cell>
          <cell r="B204" t="str">
            <v>Avenida Rio Branco, nº 333Salas e Vagas de GaragemCentro</v>
          </cell>
          <cell r="C204" t="str">
            <v>Edifício Mirage Tower</v>
          </cell>
          <cell r="D204" t="str">
            <v>UNIÃO CATARINENSE DE EDUCAÇÃO - UCE</v>
          </cell>
          <cell r="E204" t="str">
            <v>UNIÃO CATARINENSE DE EDUCAÇÃO - UCE</v>
          </cell>
          <cell r="F204" t="str">
            <v>Próprio</v>
          </cell>
          <cell r="G204" t="str">
            <v>Edificado - Comercial</v>
          </cell>
          <cell r="H204"/>
          <cell r="I204" t="str">
            <v>Imobiliário</v>
          </cell>
          <cell r="J204" t="str">
            <v>Avenida Rio Branco, nº 333</v>
          </cell>
          <cell r="K204">
            <v>0</v>
          </cell>
          <cell r="L204" t="str">
            <v>Salas e Vagas de Garagem</v>
          </cell>
          <cell r="M204" t="str">
            <v>Centro</v>
          </cell>
          <cell r="N204" t="str">
            <v>Florianópolis</v>
          </cell>
          <cell r="O204" t="str">
            <v>Santa Catarina</v>
          </cell>
          <cell r="P204" t="str">
            <v>Brasil</v>
          </cell>
          <cell r="Q204"/>
        </row>
        <row r="205">
          <cell r="A205">
            <v>53435</v>
          </cell>
          <cell r="B205" t="str">
            <v>Avenida Rio Branco, nº 333Salas e Vagas de GaragemCentro</v>
          </cell>
          <cell r="C205" t="str">
            <v>Edifício Mirage Tower</v>
          </cell>
          <cell r="D205" t="str">
            <v>UNIÃO CATARINENSE DE EDUCAÇÃO - UCE</v>
          </cell>
          <cell r="E205" t="str">
            <v>UNIÃO CATARINENSE DE EDUCAÇÃO - UCE</v>
          </cell>
          <cell r="F205" t="str">
            <v>Próprio</v>
          </cell>
          <cell r="G205" t="str">
            <v>Edificado - Comercial</v>
          </cell>
          <cell r="H205"/>
          <cell r="I205" t="str">
            <v>Imobiliário</v>
          </cell>
          <cell r="J205" t="str">
            <v>Avenida Rio Branco, nº 333</v>
          </cell>
          <cell r="K205">
            <v>0</v>
          </cell>
          <cell r="L205" t="str">
            <v>Salas e Vagas de Garagem</v>
          </cell>
          <cell r="M205" t="str">
            <v>Centro</v>
          </cell>
          <cell r="N205" t="str">
            <v>Florianópolis</v>
          </cell>
          <cell r="O205" t="str">
            <v>Santa Catarina</v>
          </cell>
          <cell r="P205" t="str">
            <v>Brasil</v>
          </cell>
          <cell r="Q205"/>
        </row>
        <row r="206">
          <cell r="A206">
            <v>53442</v>
          </cell>
          <cell r="B206" t="str">
            <v>Avenida Rio Branco, nº 333Salas e Vagas de GaragemCentro</v>
          </cell>
          <cell r="C206" t="str">
            <v>Edifício Mirage Tower</v>
          </cell>
          <cell r="D206" t="str">
            <v>UNIÃO CATARINENSE DE EDUCAÇÃO - UCE</v>
          </cell>
          <cell r="E206" t="str">
            <v>UNIÃO CATARINENSE DE EDUCAÇÃO - UCE</v>
          </cell>
          <cell r="F206" t="str">
            <v>Próprio</v>
          </cell>
          <cell r="G206" t="str">
            <v>Edificado - Comercial</v>
          </cell>
          <cell r="H206"/>
          <cell r="I206" t="str">
            <v>Imobiliário</v>
          </cell>
          <cell r="J206" t="str">
            <v>Avenida Rio Branco, nº 333</v>
          </cell>
          <cell r="K206">
            <v>0</v>
          </cell>
          <cell r="L206" t="str">
            <v>Salas e Vagas de Garagem</v>
          </cell>
          <cell r="M206" t="str">
            <v>Centro</v>
          </cell>
          <cell r="N206" t="str">
            <v>Florianópolis</v>
          </cell>
          <cell r="O206" t="str">
            <v>Santa Catarina</v>
          </cell>
          <cell r="P206" t="str">
            <v>Brasil</v>
          </cell>
          <cell r="Q206"/>
        </row>
        <row r="207">
          <cell r="A207">
            <v>53443</v>
          </cell>
          <cell r="B207" t="str">
            <v>Avenida Rio Branco, nº 333Salas e Vagas de GaragemCentro</v>
          </cell>
          <cell r="C207" t="str">
            <v>Edifício Mirage Tower</v>
          </cell>
          <cell r="D207" t="str">
            <v>UNIÃO CATARINENSE DE EDUCAÇÃO - UCE</v>
          </cell>
          <cell r="E207" t="str">
            <v>UNIÃO CATARINENSE DE EDUCAÇÃO - UCE</v>
          </cell>
          <cell r="F207" t="str">
            <v>Próprio</v>
          </cell>
          <cell r="G207" t="str">
            <v>Edificado - Comercial</v>
          </cell>
          <cell r="H207"/>
          <cell r="I207" t="str">
            <v>Imobiliário</v>
          </cell>
          <cell r="J207" t="str">
            <v>Avenida Rio Branco, nº 333</v>
          </cell>
          <cell r="K207">
            <v>0</v>
          </cell>
          <cell r="L207" t="str">
            <v>Salas e Vagas de Garagem</v>
          </cell>
          <cell r="M207" t="str">
            <v>Centro</v>
          </cell>
          <cell r="N207" t="str">
            <v>Florianópolis</v>
          </cell>
          <cell r="O207" t="str">
            <v>Santa Catarina</v>
          </cell>
          <cell r="P207" t="str">
            <v>Brasil</v>
          </cell>
          <cell r="Q207"/>
        </row>
        <row r="208">
          <cell r="A208">
            <v>53444</v>
          </cell>
          <cell r="B208" t="str">
            <v>Avenida Rio Branco, nº 333Salas e Vagas de GaragemCentro</v>
          </cell>
          <cell r="C208" t="str">
            <v>Edifício Mirage Tower</v>
          </cell>
          <cell r="D208" t="str">
            <v>UNIÃO CATARINENSE DE EDUCAÇÃO - UCE</v>
          </cell>
          <cell r="E208" t="str">
            <v>UNIÃO CATARINENSE DE EDUCAÇÃO - UCE</v>
          </cell>
          <cell r="F208" t="str">
            <v>Próprio</v>
          </cell>
          <cell r="G208" t="str">
            <v>Edificado - Comercial</v>
          </cell>
          <cell r="H208"/>
          <cell r="I208" t="str">
            <v>Imobiliário</v>
          </cell>
          <cell r="J208" t="str">
            <v>Avenida Rio Branco, nº 333</v>
          </cell>
          <cell r="K208">
            <v>0</v>
          </cell>
          <cell r="L208" t="str">
            <v>Salas e Vagas de Garagem</v>
          </cell>
          <cell r="M208" t="str">
            <v>Centro</v>
          </cell>
          <cell r="N208" t="str">
            <v>Florianópolis</v>
          </cell>
          <cell r="O208" t="str">
            <v>Santa Catarina</v>
          </cell>
          <cell r="P208" t="str">
            <v>Brasil</v>
          </cell>
          <cell r="Q208"/>
        </row>
        <row r="209">
          <cell r="A209">
            <v>53448</v>
          </cell>
          <cell r="B209" t="str">
            <v>Avenida Rio Branco, nº 333Salas e Vagas de GaragemCentro</v>
          </cell>
          <cell r="C209" t="str">
            <v>Edifício Mirage Tower</v>
          </cell>
          <cell r="D209" t="str">
            <v>UNIÃO CATARINENSE DE EDUCAÇÃO - UCE</v>
          </cell>
          <cell r="E209" t="str">
            <v>UNIÃO CATARINENSE DE EDUCAÇÃO - UCE</v>
          </cell>
          <cell r="F209" t="str">
            <v>Próprio</v>
          </cell>
          <cell r="G209" t="str">
            <v>Edificado - Comercial</v>
          </cell>
          <cell r="H209"/>
          <cell r="I209" t="str">
            <v>Imobiliário</v>
          </cell>
          <cell r="J209" t="str">
            <v>Avenida Rio Branco, nº 333</v>
          </cell>
          <cell r="K209">
            <v>0</v>
          </cell>
          <cell r="L209" t="str">
            <v>Salas e Vagas de Garagem</v>
          </cell>
          <cell r="M209" t="str">
            <v>Centro</v>
          </cell>
          <cell r="N209" t="str">
            <v>Florianópolis</v>
          </cell>
          <cell r="O209" t="str">
            <v>Santa Catarina</v>
          </cell>
          <cell r="P209" t="str">
            <v>Brasil</v>
          </cell>
          <cell r="Q209"/>
        </row>
        <row r="210">
          <cell r="A210">
            <v>53455</v>
          </cell>
          <cell r="B210" t="str">
            <v>Avenida Rio Branco, nº 333Salas e Vagas de GaragemCentro</v>
          </cell>
          <cell r="C210" t="str">
            <v>Edifício Mirage Tower</v>
          </cell>
          <cell r="D210" t="str">
            <v>UNIÃO CATARINENSE DE EDUCAÇÃO - UCE</v>
          </cell>
          <cell r="E210" t="str">
            <v>UNIÃO CATARINENSE DE EDUCAÇÃO - UCE</v>
          </cell>
          <cell r="F210" t="str">
            <v>Próprio</v>
          </cell>
          <cell r="G210" t="str">
            <v>Edificado - Comercial</v>
          </cell>
          <cell r="H210"/>
          <cell r="I210" t="str">
            <v>Imobiliário</v>
          </cell>
          <cell r="J210" t="str">
            <v>Avenida Rio Branco, nº 333</v>
          </cell>
          <cell r="K210">
            <v>0</v>
          </cell>
          <cell r="L210" t="str">
            <v>Salas e Vagas de Garagem</v>
          </cell>
          <cell r="M210" t="str">
            <v>Centro</v>
          </cell>
          <cell r="N210" t="str">
            <v>Florianópolis</v>
          </cell>
          <cell r="O210" t="str">
            <v>Santa Catarina</v>
          </cell>
          <cell r="P210" t="str">
            <v>Brasil</v>
          </cell>
          <cell r="Q210"/>
        </row>
        <row r="211">
          <cell r="A211">
            <v>53456</v>
          </cell>
          <cell r="B211" t="str">
            <v>Avenida Rio Branco, nº 333Salas e Vagas de GaragemCentro</v>
          </cell>
          <cell r="C211" t="str">
            <v>Edifício Mirage Tower</v>
          </cell>
          <cell r="D211" t="str">
            <v>UNIÃO CATARINENSE DE EDUCAÇÃO - UCE</v>
          </cell>
          <cell r="E211" t="str">
            <v>UNIÃO CATARINENSE DE EDUCAÇÃO - UCE</v>
          </cell>
          <cell r="F211" t="str">
            <v>Próprio</v>
          </cell>
          <cell r="G211" t="str">
            <v>Edificado - Comercial</v>
          </cell>
          <cell r="H211"/>
          <cell r="I211" t="str">
            <v>Imobiliário</v>
          </cell>
          <cell r="J211" t="str">
            <v>Avenida Rio Branco, nº 333</v>
          </cell>
          <cell r="K211">
            <v>0</v>
          </cell>
          <cell r="L211" t="str">
            <v>Salas e Vagas de Garagem</v>
          </cell>
          <cell r="M211" t="str">
            <v>Centro</v>
          </cell>
          <cell r="N211" t="str">
            <v>Florianópolis</v>
          </cell>
          <cell r="O211" t="str">
            <v>Santa Catarina</v>
          </cell>
          <cell r="P211" t="str">
            <v>Brasil</v>
          </cell>
          <cell r="Q211"/>
        </row>
        <row r="212">
          <cell r="A212">
            <v>53457</v>
          </cell>
          <cell r="B212" t="str">
            <v>Avenida Rio Branco, nº 333Salas e Vagas de GaragemCentro</v>
          </cell>
          <cell r="C212" t="str">
            <v>Edifício Mirage Tower</v>
          </cell>
          <cell r="D212" t="str">
            <v>UNIÃO CATARINENSE DE EDUCAÇÃO - UCE</v>
          </cell>
          <cell r="E212" t="str">
            <v>UNIÃO CATARINENSE DE EDUCAÇÃO - UCE</v>
          </cell>
          <cell r="F212" t="str">
            <v>Próprio</v>
          </cell>
          <cell r="G212" t="str">
            <v>Edificado - Comercial</v>
          </cell>
          <cell r="H212"/>
          <cell r="I212" t="str">
            <v>Imobiliário</v>
          </cell>
          <cell r="J212" t="str">
            <v>Avenida Rio Branco, nº 333</v>
          </cell>
          <cell r="K212">
            <v>0</v>
          </cell>
          <cell r="L212" t="str">
            <v>Salas e Vagas de Garagem</v>
          </cell>
          <cell r="M212" t="str">
            <v>Centro</v>
          </cell>
          <cell r="N212" t="str">
            <v>Florianópolis</v>
          </cell>
          <cell r="O212" t="str">
            <v>Santa Catarina</v>
          </cell>
          <cell r="P212" t="str">
            <v>Brasil</v>
          </cell>
          <cell r="Q212"/>
        </row>
        <row r="213">
          <cell r="A213">
            <v>53458</v>
          </cell>
          <cell r="B213" t="str">
            <v>Avenida Rio Branco, nº 333Salas e Vagas de GaragemCentro</v>
          </cell>
          <cell r="C213" t="str">
            <v>Edifício Mirage Tower</v>
          </cell>
          <cell r="D213" t="str">
            <v>UNIÃO CATARINENSE DE EDUCAÇÃO - UCE</v>
          </cell>
          <cell r="E213" t="str">
            <v>UNIÃO CATARINENSE DE EDUCAÇÃO - UCE</v>
          </cell>
          <cell r="F213" t="str">
            <v>Próprio</v>
          </cell>
          <cell r="G213" t="str">
            <v>Edificado - Comercial</v>
          </cell>
          <cell r="H213"/>
          <cell r="I213" t="str">
            <v>Imobiliário</v>
          </cell>
          <cell r="J213" t="str">
            <v>Avenida Rio Branco, nº 333</v>
          </cell>
          <cell r="K213">
            <v>0</v>
          </cell>
          <cell r="L213" t="str">
            <v>Salas e Vagas de Garagem</v>
          </cell>
          <cell r="M213" t="str">
            <v>Centro</v>
          </cell>
          <cell r="N213" t="str">
            <v>Florianópolis</v>
          </cell>
          <cell r="O213" t="str">
            <v>Santa Catarina</v>
          </cell>
          <cell r="P213" t="str">
            <v>Brasil</v>
          </cell>
          <cell r="Q213"/>
        </row>
        <row r="214">
          <cell r="A214">
            <v>53460</v>
          </cell>
          <cell r="B214" t="str">
            <v>Avenida Rio Branco, nº 333Salas e Vagas de GaragemCentro</v>
          </cell>
          <cell r="C214" t="str">
            <v>Edifício Mirage Tower</v>
          </cell>
          <cell r="D214" t="str">
            <v>UNIÃO CATARINENSE DE EDUCAÇÃO - UCE</v>
          </cell>
          <cell r="E214" t="str">
            <v>UNIÃO CATARINENSE DE EDUCAÇÃO - UCE</v>
          </cell>
          <cell r="F214" t="str">
            <v>Próprio</v>
          </cell>
          <cell r="G214" t="str">
            <v>Edificado - Comercial</v>
          </cell>
          <cell r="H214"/>
          <cell r="I214" t="str">
            <v>Imobiliário</v>
          </cell>
          <cell r="J214" t="str">
            <v>Avenida Rio Branco, nº 333</v>
          </cell>
          <cell r="K214">
            <v>0</v>
          </cell>
          <cell r="L214" t="str">
            <v>Salas e Vagas de Garagem</v>
          </cell>
          <cell r="M214" t="str">
            <v>Centro</v>
          </cell>
          <cell r="N214" t="str">
            <v>Florianópolis</v>
          </cell>
          <cell r="O214" t="str">
            <v>Santa Catarina</v>
          </cell>
          <cell r="P214" t="str">
            <v>Brasil</v>
          </cell>
          <cell r="Q214"/>
        </row>
        <row r="215">
          <cell r="A215">
            <v>53495</v>
          </cell>
          <cell r="B215" t="str">
            <v>Avenida Rio Branco, nº 333Salas e Vagas de GaragemCentro</v>
          </cell>
          <cell r="C215" t="str">
            <v>Edifício Mirage Tower</v>
          </cell>
          <cell r="D215" t="str">
            <v>UNIÃO CATARINENSE DE EDUCAÇÃO - UCE</v>
          </cell>
          <cell r="E215" t="str">
            <v>UNIÃO CATARINENSE DE EDUCAÇÃO - UCE</v>
          </cell>
          <cell r="F215" t="str">
            <v>Próprio</v>
          </cell>
          <cell r="G215" t="str">
            <v>Edificado - Comercial</v>
          </cell>
          <cell r="H215"/>
          <cell r="I215" t="str">
            <v>Imobiliário</v>
          </cell>
          <cell r="J215" t="str">
            <v>Avenida Rio Branco, nº 333</v>
          </cell>
          <cell r="K215">
            <v>0</v>
          </cell>
          <cell r="L215" t="str">
            <v>Salas e Vagas de Garagem</v>
          </cell>
          <cell r="M215" t="str">
            <v>Centro</v>
          </cell>
          <cell r="N215" t="str">
            <v>Florianópolis</v>
          </cell>
          <cell r="O215" t="str">
            <v>Santa Catarina</v>
          </cell>
          <cell r="P215" t="str">
            <v>Brasil</v>
          </cell>
          <cell r="Q215"/>
        </row>
        <row r="216">
          <cell r="A216">
            <v>53496</v>
          </cell>
          <cell r="B216" t="str">
            <v>Avenida Rio Branco, nº 333Salas e Vagas de GaragemCentro</v>
          </cell>
          <cell r="C216" t="str">
            <v>Edifício Mirage Tower</v>
          </cell>
          <cell r="D216" t="str">
            <v>UNIÃO CATARINENSE DE EDUCAÇÃO - UCE</v>
          </cell>
          <cell r="E216" t="str">
            <v>UNIÃO CATARINENSE DE EDUCAÇÃO - UCE</v>
          </cell>
          <cell r="F216" t="str">
            <v>Próprio</v>
          </cell>
          <cell r="G216" t="str">
            <v>Edificado - Comercial</v>
          </cell>
          <cell r="H216"/>
          <cell r="I216" t="str">
            <v>Imobiliário</v>
          </cell>
          <cell r="J216" t="str">
            <v>Avenida Rio Branco, nº 333</v>
          </cell>
          <cell r="K216">
            <v>0</v>
          </cell>
          <cell r="L216" t="str">
            <v>Salas e Vagas de Garagem</v>
          </cell>
          <cell r="M216" t="str">
            <v>Centro</v>
          </cell>
          <cell r="N216" t="str">
            <v>Florianópolis</v>
          </cell>
          <cell r="O216" t="str">
            <v>Santa Catarina</v>
          </cell>
          <cell r="P216" t="str">
            <v>Brasil</v>
          </cell>
          <cell r="Q216"/>
        </row>
        <row r="217">
          <cell r="A217">
            <v>53497</v>
          </cell>
          <cell r="B217" t="str">
            <v>Avenida Rio Branco, nº 333Salas e Vagas de GaragemCentro</v>
          </cell>
          <cell r="C217" t="str">
            <v>Edifício Mirage Tower</v>
          </cell>
          <cell r="D217" t="str">
            <v>UNIÃO CATARINENSE DE EDUCAÇÃO - UCE</v>
          </cell>
          <cell r="E217" t="str">
            <v>UNIÃO CATARINENSE DE EDUCAÇÃO - UCE</v>
          </cell>
          <cell r="F217" t="str">
            <v>Próprio</v>
          </cell>
          <cell r="G217" t="str">
            <v>Edificado - Comercial</v>
          </cell>
          <cell r="H217"/>
          <cell r="I217" t="str">
            <v>Imobiliário</v>
          </cell>
          <cell r="J217" t="str">
            <v>Avenida Rio Branco, nº 333</v>
          </cell>
          <cell r="K217">
            <v>0</v>
          </cell>
          <cell r="L217" t="str">
            <v>Salas e Vagas de Garagem</v>
          </cell>
          <cell r="M217" t="str">
            <v>Centro</v>
          </cell>
          <cell r="N217" t="str">
            <v>Florianópolis</v>
          </cell>
          <cell r="O217" t="str">
            <v>Santa Catarina</v>
          </cell>
          <cell r="P217" t="str">
            <v>Brasil</v>
          </cell>
          <cell r="Q217"/>
        </row>
        <row r="218">
          <cell r="A218">
            <v>53498</v>
          </cell>
          <cell r="B218" t="str">
            <v>Avenida Rio Branco, nº 333Salas e Vagas de GaragemCentro</v>
          </cell>
          <cell r="C218" t="str">
            <v>Edifício Mirage Tower</v>
          </cell>
          <cell r="D218" t="str">
            <v>UNIÃO CATARINENSE DE EDUCAÇÃO - UCE</v>
          </cell>
          <cell r="E218" t="str">
            <v>UNIÃO CATARINENSE DE EDUCAÇÃO - UCE</v>
          </cell>
          <cell r="F218" t="str">
            <v>Próprio</v>
          </cell>
          <cell r="G218" t="str">
            <v>Edificado - Comercial</v>
          </cell>
          <cell r="H218"/>
          <cell r="I218" t="str">
            <v>Imobiliário</v>
          </cell>
          <cell r="J218" t="str">
            <v>Avenida Rio Branco, nº 333</v>
          </cell>
          <cell r="K218">
            <v>0</v>
          </cell>
          <cell r="L218" t="str">
            <v>Salas e Vagas de Garagem</v>
          </cell>
          <cell r="M218" t="str">
            <v>Centro</v>
          </cell>
          <cell r="N218" t="str">
            <v>Florianópolis</v>
          </cell>
          <cell r="O218" t="str">
            <v>Santa Catarina</v>
          </cell>
          <cell r="P218" t="str">
            <v>Brasil</v>
          </cell>
          <cell r="Q218"/>
        </row>
        <row r="219">
          <cell r="A219">
            <v>53499</v>
          </cell>
          <cell r="B219" t="str">
            <v>Avenida Rio Branco, nº 333Salas e Vagas de GaragemCentro</v>
          </cell>
          <cell r="C219" t="str">
            <v>Edifício Mirage Tower</v>
          </cell>
          <cell r="D219" t="str">
            <v>UNIÃO CATARINENSE DE EDUCAÇÃO - UCE</v>
          </cell>
          <cell r="E219" t="str">
            <v>UNIÃO CATARINENSE DE EDUCAÇÃO - UCE</v>
          </cell>
          <cell r="F219" t="str">
            <v>Próprio</v>
          </cell>
          <cell r="G219" t="str">
            <v>Edificado - Comercial</v>
          </cell>
          <cell r="H219"/>
          <cell r="I219" t="str">
            <v>Imobiliário</v>
          </cell>
          <cell r="J219" t="str">
            <v>Avenida Rio Branco, nº 333</v>
          </cell>
          <cell r="K219">
            <v>0</v>
          </cell>
          <cell r="L219" t="str">
            <v>Salas e Vagas de Garagem</v>
          </cell>
          <cell r="M219" t="str">
            <v>Centro</v>
          </cell>
          <cell r="N219" t="str">
            <v>Florianópolis</v>
          </cell>
          <cell r="O219" t="str">
            <v>Santa Catarina</v>
          </cell>
          <cell r="P219" t="str">
            <v>Brasil</v>
          </cell>
          <cell r="Q219"/>
        </row>
        <row r="220">
          <cell r="A220">
            <v>53500</v>
          </cell>
          <cell r="B220" t="str">
            <v>Avenida Rio Branco, nº 333Salas e Vagas de GaragemCentro</v>
          </cell>
          <cell r="C220" t="str">
            <v>Edifício Mirage Tower</v>
          </cell>
          <cell r="D220" t="str">
            <v>UNIÃO CATARINENSE DE EDUCAÇÃO - UCE</v>
          </cell>
          <cell r="E220" t="str">
            <v>UNIÃO CATARINENSE DE EDUCAÇÃO - UCE</v>
          </cell>
          <cell r="F220" t="str">
            <v>Próprio</v>
          </cell>
          <cell r="G220" t="str">
            <v>Edificado - Comercial</v>
          </cell>
          <cell r="H220"/>
          <cell r="I220" t="str">
            <v>Imobiliário</v>
          </cell>
          <cell r="J220" t="str">
            <v>Avenida Rio Branco, nº 333</v>
          </cell>
          <cell r="K220">
            <v>0</v>
          </cell>
          <cell r="L220" t="str">
            <v>Salas e Vagas de Garagem</v>
          </cell>
          <cell r="M220" t="str">
            <v>Centro</v>
          </cell>
          <cell r="N220" t="str">
            <v>Florianópolis</v>
          </cell>
          <cell r="O220" t="str">
            <v>Santa Catarina</v>
          </cell>
          <cell r="P220" t="str">
            <v>Brasil</v>
          </cell>
          <cell r="Q220"/>
        </row>
        <row r="221">
          <cell r="A221">
            <v>53501</v>
          </cell>
          <cell r="B221" t="str">
            <v>Avenida Rio Branco, nº 333Salas e Vagas de GaragemCentro</v>
          </cell>
          <cell r="C221" t="str">
            <v>Edifício Mirage Tower</v>
          </cell>
          <cell r="D221" t="str">
            <v>UNIÃO CATARINENSE DE EDUCAÇÃO - UCE</v>
          </cell>
          <cell r="E221" t="str">
            <v>UNIÃO CATARINENSE DE EDUCAÇÃO - UCE</v>
          </cell>
          <cell r="F221" t="str">
            <v>Próprio</v>
          </cell>
          <cell r="G221" t="str">
            <v>Edificado - Comercial</v>
          </cell>
          <cell r="H221"/>
          <cell r="I221" t="str">
            <v>Imobiliário</v>
          </cell>
          <cell r="J221" t="str">
            <v>Avenida Rio Branco, nº 333</v>
          </cell>
          <cell r="K221">
            <v>0</v>
          </cell>
          <cell r="L221" t="str">
            <v>Salas e Vagas de Garagem</v>
          </cell>
          <cell r="M221" t="str">
            <v>Centro</v>
          </cell>
          <cell r="N221" t="str">
            <v>Florianópolis</v>
          </cell>
          <cell r="O221" t="str">
            <v>Santa Catarina</v>
          </cell>
          <cell r="P221" t="str">
            <v>Brasil</v>
          </cell>
          <cell r="Q221"/>
        </row>
        <row r="222">
          <cell r="A222">
            <v>53502</v>
          </cell>
          <cell r="B222" t="str">
            <v>Avenida Rio Branco, nº 333Salas e Vagas de GaragemCentro</v>
          </cell>
          <cell r="C222" t="str">
            <v>Edifício Mirage Tower</v>
          </cell>
          <cell r="D222" t="str">
            <v>UNIÃO CATARINENSE DE EDUCAÇÃO - UCE</v>
          </cell>
          <cell r="E222" t="str">
            <v>UNIÃO CATARINENSE DE EDUCAÇÃO - UCE</v>
          </cell>
          <cell r="F222" t="str">
            <v>Próprio</v>
          </cell>
          <cell r="G222" t="str">
            <v>Edificado - Comercial</v>
          </cell>
          <cell r="H222"/>
          <cell r="I222" t="str">
            <v>Imobiliário</v>
          </cell>
          <cell r="J222" t="str">
            <v>Avenida Rio Branco, nº 333</v>
          </cell>
          <cell r="K222">
            <v>0</v>
          </cell>
          <cell r="L222" t="str">
            <v>Salas e Vagas de Garagem</v>
          </cell>
          <cell r="M222" t="str">
            <v>Centro</v>
          </cell>
          <cell r="N222" t="str">
            <v>Florianópolis</v>
          </cell>
          <cell r="O222" t="str">
            <v>Santa Catarina</v>
          </cell>
          <cell r="P222" t="str">
            <v>Brasil</v>
          </cell>
          <cell r="Q222"/>
        </row>
        <row r="223">
          <cell r="A223">
            <v>53503</v>
          </cell>
          <cell r="B223" t="str">
            <v>Avenida Rio Branco, nº 333Salas e Vagas de GaragemCentro</v>
          </cell>
          <cell r="C223" t="str">
            <v>Edifício Mirage Tower</v>
          </cell>
          <cell r="D223" t="str">
            <v>UNIÃO CATARINENSE DE EDUCAÇÃO - UCE</v>
          </cell>
          <cell r="E223" t="str">
            <v>UNIÃO CATARINENSE DE EDUCAÇÃO - UCE</v>
          </cell>
          <cell r="F223" t="str">
            <v>Próprio</v>
          </cell>
          <cell r="G223" t="str">
            <v>Edificado - Comercial</v>
          </cell>
          <cell r="H223"/>
          <cell r="I223" t="str">
            <v>Imobiliário</v>
          </cell>
          <cell r="J223" t="str">
            <v>Avenida Rio Branco, nº 333</v>
          </cell>
          <cell r="K223">
            <v>0</v>
          </cell>
          <cell r="L223" t="str">
            <v>Salas e Vagas de Garagem</v>
          </cell>
          <cell r="M223" t="str">
            <v>Centro</v>
          </cell>
          <cell r="N223" t="str">
            <v>Florianópolis</v>
          </cell>
          <cell r="O223" t="str">
            <v>Santa Catarina</v>
          </cell>
          <cell r="P223" t="str">
            <v>Brasil</v>
          </cell>
          <cell r="Q223"/>
        </row>
        <row r="224">
          <cell r="A224">
            <v>53504</v>
          </cell>
          <cell r="B224" t="str">
            <v>Avenida Rio Branco, nº 333Salas e Vagas de GaragemCentro</v>
          </cell>
          <cell r="C224" t="str">
            <v>Edifício Mirage Tower</v>
          </cell>
          <cell r="D224" t="str">
            <v>UNIÃO CATARINENSE DE EDUCAÇÃO - UCE</v>
          </cell>
          <cell r="E224" t="str">
            <v>UNIÃO CATARINENSE DE EDUCAÇÃO - UCE</v>
          </cell>
          <cell r="F224" t="str">
            <v>Próprio</v>
          </cell>
          <cell r="G224" t="str">
            <v>Edificado - Comercial</v>
          </cell>
          <cell r="H224"/>
          <cell r="I224" t="str">
            <v>Imobiliário</v>
          </cell>
          <cell r="J224" t="str">
            <v>Avenida Rio Branco, nº 333</v>
          </cell>
          <cell r="K224">
            <v>0</v>
          </cell>
          <cell r="L224" t="str">
            <v>Salas e Vagas de Garagem</v>
          </cell>
          <cell r="M224" t="str">
            <v>Centro</v>
          </cell>
          <cell r="N224" t="str">
            <v>Florianópolis</v>
          </cell>
          <cell r="O224" t="str">
            <v>Santa Catarina</v>
          </cell>
          <cell r="P224" t="str">
            <v>Brasil</v>
          </cell>
          <cell r="Q224"/>
        </row>
        <row r="225">
          <cell r="A225">
            <v>53505</v>
          </cell>
          <cell r="B225" t="str">
            <v>Avenida Rio Branco, nº 333Salas e Vagas de GaragemCentro</v>
          </cell>
          <cell r="C225" t="str">
            <v>Edifício Mirage Tower</v>
          </cell>
          <cell r="D225" t="str">
            <v>UNIÃO CATARINENSE DE EDUCAÇÃO - UCE</v>
          </cell>
          <cell r="E225" t="str">
            <v>UNIÃO CATARINENSE DE EDUCAÇÃO - UCE</v>
          </cell>
          <cell r="F225" t="str">
            <v>Próprio</v>
          </cell>
          <cell r="G225" t="str">
            <v>Edificado - Comercial</v>
          </cell>
          <cell r="H225"/>
          <cell r="I225" t="str">
            <v>Imobiliário</v>
          </cell>
          <cell r="J225" t="str">
            <v>Avenida Rio Branco, nº 333</v>
          </cell>
          <cell r="K225">
            <v>0</v>
          </cell>
          <cell r="L225" t="str">
            <v>Salas e Vagas de Garagem</v>
          </cell>
          <cell r="M225" t="str">
            <v>Centro</v>
          </cell>
          <cell r="N225" t="str">
            <v>Florianópolis</v>
          </cell>
          <cell r="O225" t="str">
            <v>Santa Catarina</v>
          </cell>
          <cell r="P225" t="str">
            <v>Brasil</v>
          </cell>
          <cell r="Q225"/>
        </row>
        <row r="226">
          <cell r="A226">
            <v>53506</v>
          </cell>
          <cell r="B226" t="str">
            <v>Avenida Rio Branco, nº 333Salas e Vagas de GaragemCentro</v>
          </cell>
          <cell r="C226" t="str">
            <v>Edifício Mirage Tower</v>
          </cell>
          <cell r="D226" t="str">
            <v>UNIÃO CATARINENSE DE EDUCAÇÃO - UCE</v>
          </cell>
          <cell r="E226" t="str">
            <v>UNIÃO CATARINENSE DE EDUCAÇÃO - UCE</v>
          </cell>
          <cell r="F226" t="str">
            <v>Próprio</v>
          </cell>
          <cell r="G226" t="str">
            <v>Edificado - Comercial</v>
          </cell>
          <cell r="H226"/>
          <cell r="I226" t="str">
            <v>Imobiliário</v>
          </cell>
          <cell r="J226" t="str">
            <v>Avenida Rio Branco, nº 333</v>
          </cell>
          <cell r="K226">
            <v>0</v>
          </cell>
          <cell r="L226" t="str">
            <v>Salas e Vagas de Garagem</v>
          </cell>
          <cell r="M226" t="str">
            <v>Centro</v>
          </cell>
          <cell r="N226" t="str">
            <v>Florianópolis</v>
          </cell>
          <cell r="O226" t="str">
            <v>Santa Catarina</v>
          </cell>
          <cell r="P226" t="str">
            <v>Brasil</v>
          </cell>
          <cell r="Q226"/>
        </row>
        <row r="227">
          <cell r="A227">
            <v>53507</v>
          </cell>
          <cell r="B227" t="str">
            <v>Avenida Rio Branco, nº 333Salas e Vagas de GaragemCentro</v>
          </cell>
          <cell r="C227" t="str">
            <v>Edifício Mirage Tower</v>
          </cell>
          <cell r="D227" t="str">
            <v>UNIÃO CATARINENSE DE EDUCAÇÃO - UCE</v>
          </cell>
          <cell r="E227" t="str">
            <v>UNIÃO CATARINENSE DE EDUCAÇÃO - UCE</v>
          </cell>
          <cell r="F227" t="str">
            <v>Próprio</v>
          </cell>
          <cell r="G227" t="str">
            <v>Edificado - Comercial</v>
          </cell>
          <cell r="H227"/>
          <cell r="I227" t="str">
            <v>Imobiliário</v>
          </cell>
          <cell r="J227" t="str">
            <v>Avenida Rio Branco, nº 333</v>
          </cell>
          <cell r="K227">
            <v>0</v>
          </cell>
          <cell r="L227" t="str">
            <v>Salas e Vagas de Garagem</v>
          </cell>
          <cell r="M227" t="str">
            <v>Centro</v>
          </cell>
          <cell r="N227" t="str">
            <v>Florianópolis</v>
          </cell>
          <cell r="O227" t="str">
            <v>Santa Catarina</v>
          </cell>
          <cell r="P227" t="str">
            <v>Brasil</v>
          </cell>
          <cell r="Q227"/>
        </row>
        <row r="228">
          <cell r="A228">
            <v>53508</v>
          </cell>
          <cell r="B228" t="str">
            <v>Avenida Rio Branco, nº 333Salas e Vagas de GaragemCentro</v>
          </cell>
          <cell r="C228" t="str">
            <v>Edifício Mirage Tower</v>
          </cell>
          <cell r="D228" t="str">
            <v>UNIÃO CATARINENSE DE EDUCAÇÃO - UCE</v>
          </cell>
          <cell r="E228" t="str">
            <v>UNIÃO CATARINENSE DE EDUCAÇÃO - UCE</v>
          </cell>
          <cell r="F228" t="str">
            <v>Próprio</v>
          </cell>
          <cell r="G228" t="str">
            <v>Edificado - Comercial</v>
          </cell>
          <cell r="H228"/>
          <cell r="I228" t="str">
            <v>Imobiliário</v>
          </cell>
          <cell r="J228" t="str">
            <v>Avenida Rio Branco, nº 333</v>
          </cell>
          <cell r="K228">
            <v>0</v>
          </cell>
          <cell r="L228" t="str">
            <v>Salas e Vagas de Garagem</v>
          </cell>
          <cell r="M228" t="str">
            <v>Centro</v>
          </cell>
          <cell r="N228" t="str">
            <v>Florianópolis</v>
          </cell>
          <cell r="O228" t="str">
            <v>Santa Catarina</v>
          </cell>
          <cell r="P228" t="str">
            <v>Brasil</v>
          </cell>
          <cell r="Q228"/>
        </row>
        <row r="229">
          <cell r="A229">
            <v>53509</v>
          </cell>
          <cell r="B229" t="str">
            <v>Avenida Rio Branco, nº 333Salas e Vagas de GaragemCentro</v>
          </cell>
          <cell r="C229" t="str">
            <v>Edifício Mirage Tower</v>
          </cell>
          <cell r="D229" t="str">
            <v>UNIÃO CATARINENSE DE EDUCAÇÃO - UCE</v>
          </cell>
          <cell r="E229" t="str">
            <v>UNIÃO CATARINENSE DE EDUCAÇÃO - UCE</v>
          </cell>
          <cell r="F229" t="str">
            <v>Próprio</v>
          </cell>
          <cell r="G229" t="str">
            <v>Edificado - Comercial</v>
          </cell>
          <cell r="H229"/>
          <cell r="I229" t="str">
            <v>Imobiliário</v>
          </cell>
          <cell r="J229" t="str">
            <v>Avenida Rio Branco, nº 333</v>
          </cell>
          <cell r="K229">
            <v>0</v>
          </cell>
          <cell r="L229" t="str">
            <v>Salas e Vagas de Garagem</v>
          </cell>
          <cell r="M229" t="str">
            <v>Centro</v>
          </cell>
          <cell r="N229" t="str">
            <v>Florianópolis</v>
          </cell>
          <cell r="O229" t="str">
            <v>Santa Catarina</v>
          </cell>
          <cell r="P229" t="str">
            <v>Brasil</v>
          </cell>
          <cell r="Q229"/>
        </row>
        <row r="230">
          <cell r="A230">
            <v>53510</v>
          </cell>
          <cell r="B230" t="str">
            <v>Avenida Rio Branco, nº 333Salas e Vagas de GaragemCentro</v>
          </cell>
          <cell r="C230" t="str">
            <v>Edifício Mirage Tower</v>
          </cell>
          <cell r="D230" t="str">
            <v>UNIÃO CATARINENSE DE EDUCAÇÃO - UCE</v>
          </cell>
          <cell r="E230" t="str">
            <v>UNIÃO CATARINENSE DE EDUCAÇÃO - UCE</v>
          </cell>
          <cell r="F230" t="str">
            <v>Próprio</v>
          </cell>
          <cell r="G230" t="str">
            <v>Edificado - Comercial</v>
          </cell>
          <cell r="H230"/>
          <cell r="I230" t="str">
            <v>Imobiliário</v>
          </cell>
          <cell r="J230" t="str">
            <v>Avenida Rio Branco, nº 333</v>
          </cell>
          <cell r="K230">
            <v>0</v>
          </cell>
          <cell r="L230" t="str">
            <v>Salas e Vagas de Garagem</v>
          </cell>
          <cell r="M230" t="str">
            <v>Centro</v>
          </cell>
          <cell r="N230" t="str">
            <v>Florianópolis</v>
          </cell>
          <cell r="O230" t="str">
            <v>Santa Catarina</v>
          </cell>
          <cell r="P230" t="str">
            <v>Brasil</v>
          </cell>
          <cell r="Q230"/>
        </row>
        <row r="231">
          <cell r="A231">
            <v>53511</v>
          </cell>
          <cell r="B231" t="str">
            <v>Avenida Rio Branco, nº 333Salas e Vagas de GaragemCentro</v>
          </cell>
          <cell r="C231" t="str">
            <v>Edifício Mirage Tower</v>
          </cell>
          <cell r="D231" t="str">
            <v>UNIÃO CATARINENSE DE EDUCAÇÃO - UCE</v>
          </cell>
          <cell r="E231" t="str">
            <v>UNIÃO CATARINENSE DE EDUCAÇÃO - UCE</v>
          </cell>
          <cell r="F231" t="str">
            <v>Próprio</v>
          </cell>
          <cell r="G231" t="str">
            <v>Edificado - Comercial</v>
          </cell>
          <cell r="H231"/>
          <cell r="I231" t="str">
            <v>Imobiliário</v>
          </cell>
          <cell r="J231" t="str">
            <v>Avenida Rio Branco, nº 333</v>
          </cell>
          <cell r="K231">
            <v>0</v>
          </cell>
          <cell r="L231" t="str">
            <v>Salas e Vagas de Garagem</v>
          </cell>
          <cell r="M231" t="str">
            <v>Centro</v>
          </cell>
          <cell r="N231" t="str">
            <v>Florianópolis</v>
          </cell>
          <cell r="O231" t="str">
            <v>Santa Catarina</v>
          </cell>
          <cell r="P231" t="str">
            <v>Brasil</v>
          </cell>
          <cell r="Q231"/>
        </row>
        <row r="232">
          <cell r="A232">
            <v>53512</v>
          </cell>
          <cell r="B232" t="str">
            <v>Avenida Rio Branco, nº 333Salas e Vagas de GaragemCentro</v>
          </cell>
          <cell r="C232" t="str">
            <v>Edifício Mirage Tower</v>
          </cell>
          <cell r="D232" t="str">
            <v>UNIÃO CATARINENSE DE EDUCAÇÃO - UCE</v>
          </cell>
          <cell r="E232" t="str">
            <v>UNIÃO CATARINENSE DE EDUCAÇÃO - UCE</v>
          </cell>
          <cell r="F232" t="str">
            <v>Próprio</v>
          </cell>
          <cell r="G232" t="str">
            <v>Edificado - Comercial</v>
          </cell>
          <cell r="H232"/>
          <cell r="I232" t="str">
            <v>Imobiliário</v>
          </cell>
          <cell r="J232" t="str">
            <v>Avenida Rio Branco, nº 333</v>
          </cell>
          <cell r="K232">
            <v>0</v>
          </cell>
          <cell r="L232" t="str">
            <v>Salas e Vagas de Garagem</v>
          </cell>
          <cell r="M232" t="str">
            <v>Centro</v>
          </cell>
          <cell r="N232" t="str">
            <v>Florianópolis</v>
          </cell>
          <cell r="O232" t="str">
            <v>Santa Catarina</v>
          </cell>
          <cell r="P232" t="str">
            <v>Brasil</v>
          </cell>
          <cell r="Q232"/>
        </row>
        <row r="233">
          <cell r="A233">
            <v>53513</v>
          </cell>
          <cell r="B233" t="str">
            <v>Avenida Rio Branco, nº 333Salas e Vagas de GaragemCentro</v>
          </cell>
          <cell r="C233" t="str">
            <v>Edifício Mirage Tower</v>
          </cell>
          <cell r="D233" t="str">
            <v>UNIÃO CATARINENSE DE EDUCAÇÃO - UCE</v>
          </cell>
          <cell r="E233" t="str">
            <v>UNIÃO CATARINENSE DE EDUCAÇÃO - UCE</v>
          </cell>
          <cell r="F233" t="str">
            <v>Próprio</v>
          </cell>
          <cell r="G233" t="str">
            <v>Edificado - Comercial</v>
          </cell>
          <cell r="H233"/>
          <cell r="I233" t="str">
            <v>Imobiliário</v>
          </cell>
          <cell r="J233" t="str">
            <v>Avenida Rio Branco, nº 333</v>
          </cell>
          <cell r="K233">
            <v>0</v>
          </cell>
          <cell r="L233" t="str">
            <v>Salas e Vagas de Garagem</v>
          </cell>
          <cell r="M233" t="str">
            <v>Centro</v>
          </cell>
          <cell r="N233" t="str">
            <v>Florianópolis</v>
          </cell>
          <cell r="O233" t="str">
            <v>Santa Catarina</v>
          </cell>
          <cell r="P233" t="str">
            <v>Brasil</v>
          </cell>
          <cell r="Q233"/>
        </row>
        <row r="234">
          <cell r="A234">
            <v>53514</v>
          </cell>
          <cell r="B234" t="str">
            <v>Avenida Rio Branco, nº 333Salas e Vagas de GaragemCentro</v>
          </cell>
          <cell r="C234" t="str">
            <v>Edifício Mirage Tower</v>
          </cell>
          <cell r="D234" t="str">
            <v>UNIÃO CATARINENSE DE EDUCAÇÃO - UCE</v>
          </cell>
          <cell r="E234" t="str">
            <v>UNIÃO CATARINENSE DE EDUCAÇÃO - UCE</v>
          </cell>
          <cell r="F234" t="str">
            <v>Próprio</v>
          </cell>
          <cell r="G234" t="str">
            <v>Edificado - Comercial</v>
          </cell>
          <cell r="H234"/>
          <cell r="I234" t="str">
            <v>Imobiliário</v>
          </cell>
          <cell r="J234" t="str">
            <v>Avenida Rio Branco, nº 333</v>
          </cell>
          <cell r="K234">
            <v>0</v>
          </cell>
          <cell r="L234" t="str">
            <v>Salas e Vagas de Garagem</v>
          </cell>
          <cell r="M234" t="str">
            <v>Centro</v>
          </cell>
          <cell r="N234" t="str">
            <v>Florianópolis</v>
          </cell>
          <cell r="O234" t="str">
            <v>Santa Catarina</v>
          </cell>
          <cell r="P234" t="str">
            <v>Brasil</v>
          </cell>
          <cell r="Q234"/>
        </row>
        <row r="235">
          <cell r="A235">
            <v>53515</v>
          </cell>
          <cell r="B235" t="str">
            <v>Avenida Rio Branco, nº 333Salas e Vagas de GaragemCentro</v>
          </cell>
          <cell r="C235" t="str">
            <v>Edifício Mirage Tower</v>
          </cell>
          <cell r="D235" t="str">
            <v>UNIÃO CATARINENSE DE EDUCAÇÃO - UCE</v>
          </cell>
          <cell r="E235" t="str">
            <v>UNIÃO CATARINENSE DE EDUCAÇÃO - UCE</v>
          </cell>
          <cell r="F235" t="str">
            <v>Próprio</v>
          </cell>
          <cell r="G235" t="str">
            <v>Edificado - Comercial</v>
          </cell>
          <cell r="H235"/>
          <cell r="I235" t="str">
            <v>Imobiliário</v>
          </cell>
          <cell r="J235" t="str">
            <v>Avenida Rio Branco, nº 333</v>
          </cell>
          <cell r="K235">
            <v>0</v>
          </cell>
          <cell r="L235" t="str">
            <v>Salas e Vagas de Garagem</v>
          </cell>
          <cell r="M235" t="str">
            <v>Centro</v>
          </cell>
          <cell r="N235" t="str">
            <v>Florianópolis</v>
          </cell>
          <cell r="O235" t="str">
            <v>Santa Catarina</v>
          </cell>
          <cell r="P235" t="str">
            <v>Brasil</v>
          </cell>
          <cell r="Q235"/>
        </row>
        <row r="236">
          <cell r="A236">
            <v>53516</v>
          </cell>
          <cell r="B236" t="str">
            <v>Avenida Rio Branco, nº 333Salas e Vagas de GaragemCentro</v>
          </cell>
          <cell r="C236" t="str">
            <v>Edifício Mirage Tower</v>
          </cell>
          <cell r="D236" t="str">
            <v>UNIÃO CATARINENSE DE EDUCAÇÃO - UCE</v>
          </cell>
          <cell r="E236" t="str">
            <v>UNIÃO CATARINENSE DE EDUCAÇÃO - UCE</v>
          </cell>
          <cell r="F236" t="str">
            <v>Próprio</v>
          </cell>
          <cell r="G236" t="str">
            <v>Edificado - Comercial</v>
          </cell>
          <cell r="H236"/>
          <cell r="I236" t="str">
            <v>Imobiliário</v>
          </cell>
          <cell r="J236" t="str">
            <v>Avenida Rio Branco, nº 333</v>
          </cell>
          <cell r="K236">
            <v>0</v>
          </cell>
          <cell r="L236" t="str">
            <v>Salas e Vagas de Garagem</v>
          </cell>
          <cell r="M236" t="str">
            <v>Centro</v>
          </cell>
          <cell r="N236" t="str">
            <v>Florianópolis</v>
          </cell>
          <cell r="O236" t="str">
            <v>Santa Catarina</v>
          </cell>
          <cell r="P236" t="str">
            <v>Brasil</v>
          </cell>
          <cell r="Q236"/>
        </row>
        <row r="237">
          <cell r="A237">
            <v>53517</v>
          </cell>
          <cell r="B237" t="str">
            <v>Avenida Rio Branco, nº 333Salas e Vagas de GaragemCentro</v>
          </cell>
          <cell r="C237" t="str">
            <v>Edifício Mirage Tower</v>
          </cell>
          <cell r="D237" t="str">
            <v>UNIÃO CATARINENSE DE EDUCAÇÃO - UCE</v>
          </cell>
          <cell r="E237" t="str">
            <v>UNIÃO CATARINENSE DE EDUCAÇÃO - UCE</v>
          </cell>
          <cell r="F237" t="str">
            <v>Próprio</v>
          </cell>
          <cell r="G237" t="str">
            <v>Edificado - Comercial</v>
          </cell>
          <cell r="H237"/>
          <cell r="I237" t="str">
            <v>Imobiliário</v>
          </cell>
          <cell r="J237" t="str">
            <v>Avenida Rio Branco, nº 333</v>
          </cell>
          <cell r="K237">
            <v>0</v>
          </cell>
          <cell r="L237" t="str">
            <v>Salas e Vagas de Garagem</v>
          </cell>
          <cell r="M237" t="str">
            <v>Centro</v>
          </cell>
          <cell r="N237" t="str">
            <v>Florianópolis</v>
          </cell>
          <cell r="O237" t="str">
            <v>Santa Catarina</v>
          </cell>
          <cell r="P237" t="str">
            <v>Brasil</v>
          </cell>
          <cell r="Q237"/>
        </row>
        <row r="238">
          <cell r="A238">
            <v>53518</v>
          </cell>
          <cell r="B238" t="str">
            <v>Avenida Rio Branco, nº 333Salas e Vagas de GaragemCentro</v>
          </cell>
          <cell r="C238" t="str">
            <v>Edifício Mirage Tower</v>
          </cell>
          <cell r="D238" t="str">
            <v>UNIÃO CATARINENSE DE EDUCAÇÃO - UCE</v>
          </cell>
          <cell r="E238" t="str">
            <v>UNIÃO CATARINENSE DE EDUCAÇÃO - UCE</v>
          </cell>
          <cell r="F238" t="str">
            <v>Próprio</v>
          </cell>
          <cell r="G238" t="str">
            <v>Edificado - Comercial</v>
          </cell>
          <cell r="H238"/>
          <cell r="I238" t="str">
            <v>Imobiliário</v>
          </cell>
          <cell r="J238" t="str">
            <v>Avenida Rio Branco, nº 333</v>
          </cell>
          <cell r="K238">
            <v>0</v>
          </cell>
          <cell r="L238" t="str">
            <v>Salas e Vagas de Garagem</v>
          </cell>
          <cell r="M238" t="str">
            <v>Centro</v>
          </cell>
          <cell r="N238" t="str">
            <v>Florianópolis</v>
          </cell>
          <cell r="O238" t="str">
            <v>Santa Catarina</v>
          </cell>
          <cell r="P238" t="str">
            <v>Brasil</v>
          </cell>
          <cell r="Q238"/>
        </row>
        <row r="239">
          <cell r="A239">
            <v>44587</v>
          </cell>
          <cell r="B239" t="str">
            <v>Rua Presidente Coutinho, nº 311Salas e vagas de garagemCentro</v>
          </cell>
          <cell r="C239" t="str">
            <v>Edifício Saint James</v>
          </cell>
          <cell r="D239" t="str">
            <v>UNIÃO CATARINENSE DE EDUCAÇÃO - UCE</v>
          </cell>
          <cell r="E239" t="str">
            <v>UNIÃO CATARINENSE DE EDUCAÇÃO - UCE</v>
          </cell>
          <cell r="F239" t="str">
            <v>Próprio</v>
          </cell>
          <cell r="G239" t="str">
            <v>Edificado - Comercial</v>
          </cell>
          <cell r="H239"/>
          <cell r="I239" t="str">
            <v>Imobiliário</v>
          </cell>
          <cell r="J239" t="str">
            <v>Rua Presidente Coutinho, nº 311</v>
          </cell>
          <cell r="K239">
            <v>0</v>
          </cell>
          <cell r="L239" t="str">
            <v>Salas e vagas de garagem</v>
          </cell>
          <cell r="M239" t="str">
            <v>Centro</v>
          </cell>
          <cell r="N239" t="str">
            <v>Florianópolis</v>
          </cell>
          <cell r="O239" t="str">
            <v>Santa Catarina</v>
          </cell>
          <cell r="P239" t="str">
            <v>Brasil</v>
          </cell>
          <cell r="Q239"/>
        </row>
        <row r="240">
          <cell r="A240">
            <v>44588</v>
          </cell>
          <cell r="B240" t="str">
            <v>Rua Presidente Coutinho, nº 311Salas e vagas de garagemCentro</v>
          </cell>
          <cell r="C240" t="str">
            <v>Edifício Saint James</v>
          </cell>
          <cell r="D240" t="str">
            <v>UNIÃO CATARINENSE DE EDUCAÇÃO - UCE</v>
          </cell>
          <cell r="E240" t="str">
            <v>UNIÃO CATARINENSE DE EDUCAÇÃO - UCE</v>
          </cell>
          <cell r="F240" t="str">
            <v>Próprio</v>
          </cell>
          <cell r="G240" t="str">
            <v>Edificado - Comercial</v>
          </cell>
          <cell r="H240"/>
          <cell r="I240" t="str">
            <v>Imobiliário</v>
          </cell>
          <cell r="J240" t="str">
            <v>Rua Presidente Coutinho, nº 311</v>
          </cell>
          <cell r="K240">
            <v>0</v>
          </cell>
          <cell r="L240" t="str">
            <v>Salas e vagas de garagem</v>
          </cell>
          <cell r="M240" t="str">
            <v>Centro</v>
          </cell>
          <cell r="N240" t="str">
            <v>Florianópolis</v>
          </cell>
          <cell r="O240" t="str">
            <v>Santa Catarina</v>
          </cell>
          <cell r="P240" t="str">
            <v>Brasil</v>
          </cell>
          <cell r="Q240"/>
        </row>
        <row r="241">
          <cell r="A241">
            <v>44589</v>
          </cell>
          <cell r="B241" t="str">
            <v>Rua Presidente Coutinho, nº 311Salas e vagas de garagemCentro</v>
          </cell>
          <cell r="C241" t="str">
            <v>Edifício Saint James</v>
          </cell>
          <cell r="D241" t="str">
            <v>UNIÃO CATARINENSE DE EDUCAÇÃO - UCE</v>
          </cell>
          <cell r="E241" t="str">
            <v>UNIÃO CATARINENSE DE EDUCAÇÃO - UCE</v>
          </cell>
          <cell r="F241" t="str">
            <v>Próprio</v>
          </cell>
          <cell r="G241" t="str">
            <v>Edificado - Comercial</v>
          </cell>
          <cell r="H241"/>
          <cell r="I241" t="str">
            <v>Imobiliário</v>
          </cell>
          <cell r="J241" t="str">
            <v>Rua Presidente Coutinho, nº 311</v>
          </cell>
          <cell r="K241">
            <v>0</v>
          </cell>
          <cell r="L241" t="str">
            <v>Salas e vagas de garagem</v>
          </cell>
          <cell r="M241" t="str">
            <v>Centro</v>
          </cell>
          <cell r="N241" t="str">
            <v>Florianópolis</v>
          </cell>
          <cell r="O241" t="str">
            <v>Santa Catarina</v>
          </cell>
          <cell r="P241" t="str">
            <v>Brasil</v>
          </cell>
          <cell r="Q241"/>
        </row>
        <row r="242">
          <cell r="A242">
            <v>44590</v>
          </cell>
          <cell r="B242" t="str">
            <v>Rua Presidente Coutinho, nº 311Salas e vagas de garagemCentro</v>
          </cell>
          <cell r="C242" t="str">
            <v>Edifício Saint James</v>
          </cell>
          <cell r="D242" t="str">
            <v>UNIÃO CATARINENSE DE EDUCAÇÃO - UCE</v>
          </cell>
          <cell r="E242" t="str">
            <v>UNIÃO CATARINENSE DE EDUCAÇÃO - UCE</v>
          </cell>
          <cell r="F242" t="str">
            <v>Próprio</v>
          </cell>
          <cell r="G242" t="str">
            <v>Edificado - Comercial</v>
          </cell>
          <cell r="H242"/>
          <cell r="I242" t="str">
            <v>Imobiliário</v>
          </cell>
          <cell r="J242" t="str">
            <v>Rua Presidente Coutinho, nº 311</v>
          </cell>
          <cell r="K242">
            <v>0</v>
          </cell>
          <cell r="L242" t="str">
            <v>Salas e vagas de garagem</v>
          </cell>
          <cell r="M242" t="str">
            <v>Centro</v>
          </cell>
          <cell r="N242" t="str">
            <v>Florianópolis</v>
          </cell>
          <cell r="O242" t="str">
            <v>Santa Catarina</v>
          </cell>
          <cell r="P242" t="str">
            <v>Brasil</v>
          </cell>
          <cell r="Q242"/>
        </row>
        <row r="243">
          <cell r="A243">
            <v>44591</v>
          </cell>
          <cell r="B243" t="str">
            <v>Rua Presidente Coutinho, nº 311Salas e vagas de garagemCentro</v>
          </cell>
          <cell r="C243" t="str">
            <v>Edifício Saint James</v>
          </cell>
          <cell r="D243" t="str">
            <v>UNIÃO CATARINENSE DE EDUCAÇÃO - UCE</v>
          </cell>
          <cell r="E243" t="str">
            <v>UNIÃO CATARINENSE DE EDUCAÇÃO - UCE</v>
          </cell>
          <cell r="F243" t="str">
            <v>Próprio</v>
          </cell>
          <cell r="G243" t="str">
            <v>Edificado - Comercial</v>
          </cell>
          <cell r="H243"/>
          <cell r="I243" t="str">
            <v>Imobiliário</v>
          </cell>
          <cell r="J243" t="str">
            <v>Rua Presidente Coutinho, nº 311</v>
          </cell>
          <cell r="K243">
            <v>0</v>
          </cell>
          <cell r="L243" t="str">
            <v>Salas e vagas de garagem</v>
          </cell>
          <cell r="M243" t="str">
            <v>Centro</v>
          </cell>
          <cell r="N243" t="str">
            <v>Florianópolis</v>
          </cell>
          <cell r="O243" t="str">
            <v>Santa Catarina</v>
          </cell>
          <cell r="P243" t="str">
            <v>Brasil</v>
          </cell>
          <cell r="Q243"/>
        </row>
        <row r="244">
          <cell r="A244">
            <v>44592</v>
          </cell>
          <cell r="B244" t="str">
            <v>Rua Presidente Coutinho, nº 311Salas e vagas de garagemCentro</v>
          </cell>
          <cell r="C244" t="str">
            <v>Edifício Saint James</v>
          </cell>
          <cell r="D244" t="str">
            <v>UNIÃO CATARINENSE DE EDUCAÇÃO - UCE</v>
          </cell>
          <cell r="E244" t="str">
            <v>UNIÃO CATARINENSE DE EDUCAÇÃO - UCE</v>
          </cell>
          <cell r="F244" t="str">
            <v>Próprio</v>
          </cell>
          <cell r="G244" t="str">
            <v>Edificado - Comercial</v>
          </cell>
          <cell r="H244"/>
          <cell r="I244" t="str">
            <v>Imobiliário</v>
          </cell>
          <cell r="J244" t="str">
            <v>Rua Presidente Coutinho, nº 311</v>
          </cell>
          <cell r="K244">
            <v>0</v>
          </cell>
          <cell r="L244" t="str">
            <v>Salas e vagas de garagem</v>
          </cell>
          <cell r="M244" t="str">
            <v>Centro</v>
          </cell>
          <cell r="N244" t="str">
            <v>Florianópolis</v>
          </cell>
          <cell r="O244" t="str">
            <v>Santa Catarina</v>
          </cell>
          <cell r="P244" t="str">
            <v>Brasil</v>
          </cell>
          <cell r="Q244"/>
        </row>
        <row r="245">
          <cell r="A245">
            <v>44593</v>
          </cell>
          <cell r="B245" t="str">
            <v>Rua Presidente Coutinho, nº 311Salas e vagas de garagemCentro</v>
          </cell>
          <cell r="C245" t="str">
            <v>Edifício Saint James</v>
          </cell>
          <cell r="D245" t="str">
            <v>UNIÃO CATARINENSE DE EDUCAÇÃO - UCE</v>
          </cell>
          <cell r="E245" t="str">
            <v>UNIÃO CATARINENSE DE EDUCAÇÃO - UCE</v>
          </cell>
          <cell r="F245" t="str">
            <v>Próprio</v>
          </cell>
          <cell r="G245" t="str">
            <v>Edificado - Comercial</v>
          </cell>
          <cell r="H245"/>
          <cell r="I245" t="str">
            <v>Imobiliário</v>
          </cell>
          <cell r="J245" t="str">
            <v>Rua Presidente Coutinho, nº 311</v>
          </cell>
          <cell r="K245">
            <v>0</v>
          </cell>
          <cell r="L245" t="str">
            <v>Salas e vagas de garagem</v>
          </cell>
          <cell r="M245" t="str">
            <v>Centro</v>
          </cell>
          <cell r="N245" t="str">
            <v>Florianópolis</v>
          </cell>
          <cell r="O245" t="str">
            <v>Santa Catarina</v>
          </cell>
          <cell r="P245" t="str">
            <v>Brasil</v>
          </cell>
          <cell r="Q245"/>
        </row>
        <row r="246">
          <cell r="A246">
            <v>44594</v>
          </cell>
          <cell r="B246" t="str">
            <v>Rua Presidente Coutinho, nº 311Salas e vagas de garagemCentro</v>
          </cell>
          <cell r="C246" t="str">
            <v>Edifício Saint James</v>
          </cell>
          <cell r="D246" t="str">
            <v>UNIÃO CATARINENSE DE EDUCAÇÃO - UCE</v>
          </cell>
          <cell r="E246" t="str">
            <v>UNIÃO CATARINENSE DE EDUCAÇÃO - UCE</v>
          </cell>
          <cell r="F246" t="str">
            <v>Próprio</v>
          </cell>
          <cell r="G246" t="str">
            <v>Edificado - Comercial</v>
          </cell>
          <cell r="H246"/>
          <cell r="I246" t="str">
            <v>Imobiliário</v>
          </cell>
          <cell r="J246" t="str">
            <v>Rua Presidente Coutinho, nº 311</v>
          </cell>
          <cell r="K246">
            <v>0</v>
          </cell>
          <cell r="L246" t="str">
            <v>Salas e vagas de garagem</v>
          </cell>
          <cell r="M246" t="str">
            <v>Centro</v>
          </cell>
          <cell r="N246" t="str">
            <v>Florianópolis</v>
          </cell>
          <cell r="O246" t="str">
            <v>Santa Catarina</v>
          </cell>
          <cell r="P246" t="str">
            <v>Brasil</v>
          </cell>
          <cell r="Q246"/>
        </row>
        <row r="247">
          <cell r="A247">
            <v>44595</v>
          </cell>
          <cell r="B247" t="str">
            <v>Rua Presidente Coutinho, nº 311Salas e vagas de garagemCentro</v>
          </cell>
          <cell r="C247" t="str">
            <v>Edifício Saint James</v>
          </cell>
          <cell r="D247" t="str">
            <v>UNIÃO CATARINENSE DE EDUCAÇÃO - UCE</v>
          </cell>
          <cell r="E247" t="str">
            <v>UNIÃO CATARINENSE DE EDUCAÇÃO - UCE</v>
          </cell>
          <cell r="F247" t="str">
            <v>Próprio</v>
          </cell>
          <cell r="G247" t="str">
            <v>Edificado - Comercial</v>
          </cell>
          <cell r="H247"/>
          <cell r="I247" t="str">
            <v>Imobiliário</v>
          </cell>
          <cell r="J247" t="str">
            <v>Rua Presidente Coutinho, nº 311</v>
          </cell>
          <cell r="K247">
            <v>0</v>
          </cell>
          <cell r="L247" t="str">
            <v>Salas e vagas de garagem</v>
          </cell>
          <cell r="M247" t="str">
            <v>Centro</v>
          </cell>
          <cell r="N247" t="str">
            <v>Florianópolis</v>
          </cell>
          <cell r="O247" t="str">
            <v>Santa Catarina</v>
          </cell>
          <cell r="P247" t="str">
            <v>Brasil</v>
          </cell>
          <cell r="Q247"/>
        </row>
        <row r="248">
          <cell r="A248">
            <v>44596</v>
          </cell>
          <cell r="B248" t="str">
            <v>Rua Presidente Coutinho, nº 311Salas e vagas de garagemCentro</v>
          </cell>
          <cell r="C248" t="str">
            <v>Edifício Saint James</v>
          </cell>
          <cell r="D248" t="str">
            <v>UNIÃO CATARINENSE DE EDUCAÇÃO - UCE</v>
          </cell>
          <cell r="E248" t="str">
            <v>UNIÃO CATARINENSE DE EDUCAÇÃO - UCE</v>
          </cell>
          <cell r="F248" t="str">
            <v>Próprio</v>
          </cell>
          <cell r="G248" t="str">
            <v>Edificado - Comercial</v>
          </cell>
          <cell r="H248"/>
          <cell r="I248" t="str">
            <v>Imobiliário</v>
          </cell>
          <cell r="J248" t="str">
            <v>Rua Presidente Coutinho, nº 311</v>
          </cell>
          <cell r="K248">
            <v>0</v>
          </cell>
          <cell r="L248" t="str">
            <v>Salas e vagas de garagem</v>
          </cell>
          <cell r="M248" t="str">
            <v>Centro</v>
          </cell>
          <cell r="N248" t="str">
            <v>Florianópolis</v>
          </cell>
          <cell r="O248" t="str">
            <v>Santa Catarina</v>
          </cell>
          <cell r="P248" t="str">
            <v>Brasil</v>
          </cell>
          <cell r="Q248"/>
        </row>
        <row r="249">
          <cell r="A249">
            <v>44636</v>
          </cell>
          <cell r="B249" t="str">
            <v>Rua Presidente Coutinho, nº 311Salas e vagas de garagemCentro</v>
          </cell>
          <cell r="C249" t="str">
            <v>Edifício Saint James</v>
          </cell>
          <cell r="D249" t="str">
            <v>UNIÃO CATARINENSE DE EDUCAÇÃO - UCE</v>
          </cell>
          <cell r="E249" t="str">
            <v>UNIÃO CATARINENSE DE EDUCAÇÃO - UCE</v>
          </cell>
          <cell r="F249" t="str">
            <v>Próprio</v>
          </cell>
          <cell r="G249" t="str">
            <v>Edificado - Comercial</v>
          </cell>
          <cell r="H249"/>
          <cell r="I249" t="str">
            <v>Imobiliário</v>
          </cell>
          <cell r="J249" t="str">
            <v>Rua Presidente Coutinho, nº 311</v>
          </cell>
          <cell r="K249">
            <v>0</v>
          </cell>
          <cell r="L249" t="str">
            <v>Salas e vagas de garagem</v>
          </cell>
          <cell r="M249" t="str">
            <v>Centro</v>
          </cell>
          <cell r="N249" t="str">
            <v>Florianópolis</v>
          </cell>
          <cell r="O249" t="str">
            <v>Santa Catarina</v>
          </cell>
          <cell r="P249" t="str">
            <v>Brasil</v>
          </cell>
          <cell r="Q249"/>
        </row>
        <row r="250">
          <cell r="A250">
            <v>56956</v>
          </cell>
          <cell r="B250" t="str">
            <v>Avenida João Pessoa, 3200Damas</v>
          </cell>
          <cell r="C250" t="str">
            <v>Fortaleza - Lote</v>
          </cell>
          <cell r="D250" t="str">
            <v>ASSOCIAÇÃO BRASILEIRA DE EDUCAÇÃO E CULTURA - ABEC</v>
          </cell>
          <cell r="E250" t="str">
            <v>ASSOCIAÇÃO BRASILEIRA DE EDUCAÇÃO E CULTURA - ABEC</v>
          </cell>
          <cell r="F250" t="str">
            <v>Próprio</v>
          </cell>
          <cell r="G250" t="str">
            <v>Lote / Terreno</v>
          </cell>
          <cell r="H250"/>
          <cell r="I250" t="str">
            <v>Imobiliário</v>
          </cell>
          <cell r="J250" t="str">
            <v>Avenida João Pessoa, 3200</v>
          </cell>
          <cell r="K250">
            <v>0</v>
          </cell>
          <cell r="L250"/>
          <cell r="M250" t="str">
            <v>Damas</v>
          </cell>
          <cell r="N250" t="str">
            <v>Fortaleza</v>
          </cell>
          <cell r="O250" t="str">
            <v>Ceará</v>
          </cell>
          <cell r="P250" t="str">
            <v>Brasil</v>
          </cell>
          <cell r="Q250"/>
        </row>
        <row r="251">
          <cell r="A251">
            <v>12529</v>
          </cell>
          <cell r="B251" t="str">
            <v>Avenida 85 - Lote 13 - Quadra D-12-ASetor Marista</v>
          </cell>
          <cell r="C251" t="str">
            <v>Colégio Marista de Goiania</v>
          </cell>
          <cell r="D251" t="str">
            <v>ASSOCIAÇÃO BRASILEIRA DE EDUCAÇÃO E CULTURA - ABEC</v>
          </cell>
          <cell r="E251" t="str">
            <v>ASSOCIAÇÃO BRASILEIRA DE EDUCAÇÃO E CULTURA - ABEC</v>
          </cell>
          <cell r="F251" t="str">
            <v>Próprio</v>
          </cell>
          <cell r="G251" t="str">
            <v>Edificado - Operacional</v>
          </cell>
          <cell r="H251"/>
          <cell r="I251" t="str">
            <v>Imobiliário</v>
          </cell>
          <cell r="J251" t="str">
            <v>Avenida 85 - Lote 13 - Quadra D-12-A</v>
          </cell>
          <cell r="K251">
            <v>0</v>
          </cell>
          <cell r="L251"/>
          <cell r="M251" t="str">
            <v>Setor Marista</v>
          </cell>
          <cell r="N251" t="str">
            <v>Goiânia</v>
          </cell>
          <cell r="O251" t="str">
            <v>Goiás</v>
          </cell>
          <cell r="P251" t="str">
            <v>Brasil</v>
          </cell>
          <cell r="Q251"/>
        </row>
        <row r="252">
          <cell r="A252">
            <v>170129</v>
          </cell>
          <cell r="B252" t="str">
            <v>Avenida 85 - Lote 13 - Quadra D-12-ASetor Marista</v>
          </cell>
          <cell r="C252" t="str">
            <v>Colégio Marista de Goiania</v>
          </cell>
          <cell r="D252" t="str">
            <v>ASSOCIAÇÃO BRASILEIRA DE EDUCAÇÃO E CULTURA - ABEC</v>
          </cell>
          <cell r="E252" t="str">
            <v>ASSOCIAÇÃO BRASILEIRA DE EDUCAÇÃO E CULTURA - ABEC</v>
          </cell>
          <cell r="F252" t="str">
            <v>Próprio</v>
          </cell>
          <cell r="G252" t="str">
            <v>Edificado - Operacional</v>
          </cell>
          <cell r="H252"/>
          <cell r="I252" t="str">
            <v>Imobiliário</v>
          </cell>
          <cell r="J252" t="str">
            <v>Avenida 85 - Lote 13 - Quadra D-12-A</v>
          </cell>
          <cell r="K252">
            <v>0</v>
          </cell>
          <cell r="L252"/>
          <cell r="M252" t="str">
            <v>Setor Marista</v>
          </cell>
          <cell r="N252" t="str">
            <v>Goiânia</v>
          </cell>
          <cell r="O252" t="str">
            <v>Goiás</v>
          </cell>
          <cell r="P252" t="str">
            <v>Brasil</v>
          </cell>
          <cell r="Q252"/>
        </row>
        <row r="253">
          <cell r="A253">
            <v>40855</v>
          </cell>
          <cell r="B253" t="str">
            <v>Avenida dos Navegantes, 21Coroados</v>
          </cell>
          <cell r="C253" t="str">
            <v>Casa de Veraneio Guaratuba</v>
          </cell>
          <cell r="D253" t="str">
            <v>ASSOCIAÇÃO BRASILEIRA DE EDUCAÇÃO E CULTURA - ABEC</v>
          </cell>
          <cell r="E253" t="str">
            <v>ASSOCIAÇÃO BRASILEIRA DE EDUCAÇÃO E CULTURA - ABEC</v>
          </cell>
          <cell r="F253" t="str">
            <v>Próprio</v>
          </cell>
          <cell r="G253" t="str">
            <v>Edificado</v>
          </cell>
          <cell r="H253"/>
          <cell r="I253" t="str">
            <v>Imobiliário</v>
          </cell>
          <cell r="J253" t="str">
            <v>Avenida dos Navegantes, 21</v>
          </cell>
          <cell r="K253">
            <v>0</v>
          </cell>
          <cell r="L253"/>
          <cell r="M253" t="str">
            <v>Coroados</v>
          </cell>
          <cell r="N253" t="str">
            <v>Guaratuba</v>
          </cell>
          <cell r="O253" t="str">
            <v>Paraná</v>
          </cell>
          <cell r="P253" t="str">
            <v>Brasil</v>
          </cell>
          <cell r="Q253"/>
        </row>
        <row r="254">
          <cell r="A254">
            <v>378</v>
          </cell>
          <cell r="B254" t="str">
            <v>Fazenda Santa Clara - Chácaras 72 à 85Jd. São Lourenço</v>
          </cell>
          <cell r="C254" t="str">
            <v>Recanto Marista - Chácara Do Colégio Pio XII</v>
          </cell>
          <cell r="D254" t="str">
            <v>ASSOCIAÇÃO BRASILEIRA DE EDUCAÇÃO E CULTURA - ABEC</v>
          </cell>
          <cell r="E254" t="str">
            <v>ASSOCIAÇÃO BRASILEIRA DE EDUCAÇÃO E CULTURA - ABEC</v>
          </cell>
          <cell r="F254" t="str">
            <v>Próprio</v>
          </cell>
          <cell r="G254" t="str">
            <v>Chácara/Recanto/Fazenda</v>
          </cell>
          <cell r="H254"/>
          <cell r="I254" t="str">
            <v>Imobiliário</v>
          </cell>
          <cell r="J254" t="str">
            <v>Fazenda Santa Clara - Chácaras 72 à 85</v>
          </cell>
          <cell r="K254">
            <v>0</v>
          </cell>
          <cell r="L254"/>
          <cell r="M254" t="str">
            <v>Jd. São Lourenço</v>
          </cell>
          <cell r="N254" t="str">
            <v>Ipiranga</v>
          </cell>
          <cell r="O254" t="str">
            <v>Paraná</v>
          </cell>
          <cell r="P254" t="str">
            <v>Brasil</v>
          </cell>
          <cell r="Q254"/>
        </row>
        <row r="255">
          <cell r="A255">
            <v>379</v>
          </cell>
          <cell r="B255" t="str">
            <v>Fazenda Santa Clara - Chácaras 72 à 85Jd. São Lourenço</v>
          </cell>
          <cell r="C255" t="str">
            <v>Recanto Marista - Chácara Do Colégio Pio XII</v>
          </cell>
          <cell r="D255" t="str">
            <v>ASSOCIAÇÃO BRASILEIRA DE EDUCAÇÃO E CULTURA - ABEC</v>
          </cell>
          <cell r="E255" t="str">
            <v>ASSOCIAÇÃO BRASILEIRA DE EDUCAÇÃO E CULTURA - ABEC</v>
          </cell>
          <cell r="F255" t="str">
            <v>Próprio</v>
          </cell>
          <cell r="G255" t="str">
            <v>Chácara/Recanto/Fazenda</v>
          </cell>
          <cell r="H255"/>
          <cell r="I255" t="str">
            <v>Imobiliário</v>
          </cell>
          <cell r="J255" t="str">
            <v>Fazenda Santa Clara - Chácaras 72 à 85</v>
          </cell>
          <cell r="K255">
            <v>0</v>
          </cell>
          <cell r="L255"/>
          <cell r="M255" t="str">
            <v>Jd. São Lourenço</v>
          </cell>
          <cell r="N255" t="str">
            <v>Ipiranga</v>
          </cell>
          <cell r="O255" t="str">
            <v>Paraná</v>
          </cell>
          <cell r="P255" t="str">
            <v>Brasil</v>
          </cell>
          <cell r="Q255"/>
        </row>
        <row r="256">
          <cell r="A256">
            <v>380</v>
          </cell>
          <cell r="B256" t="str">
            <v>Fazenda Santa Clara - Chácaras 72 à 85Jd. São Lourenço</v>
          </cell>
          <cell r="C256" t="str">
            <v>Recanto Marista - Chácara Do Colégio Pio XII</v>
          </cell>
          <cell r="D256" t="str">
            <v>ASSOCIAÇÃO BRASILEIRA DE EDUCAÇÃO E CULTURA - ABEC</v>
          </cell>
          <cell r="E256" t="str">
            <v>ASSOCIAÇÃO BRASILEIRA DE EDUCAÇÃO E CULTURA - ABEC</v>
          </cell>
          <cell r="F256" t="str">
            <v>Próprio</v>
          </cell>
          <cell r="G256" t="str">
            <v>Chácara/Recanto/Fazenda</v>
          </cell>
          <cell r="H256"/>
          <cell r="I256" t="str">
            <v>Imobiliário</v>
          </cell>
          <cell r="J256" t="str">
            <v>Fazenda Santa Clara - Chácaras 72 à 85</v>
          </cell>
          <cell r="K256">
            <v>0</v>
          </cell>
          <cell r="L256"/>
          <cell r="M256" t="str">
            <v>Jd. São Lourenço</v>
          </cell>
          <cell r="N256" t="str">
            <v>Ipiranga</v>
          </cell>
          <cell r="O256" t="str">
            <v>Paraná</v>
          </cell>
          <cell r="P256" t="str">
            <v>Brasil</v>
          </cell>
          <cell r="Q256"/>
        </row>
        <row r="257">
          <cell r="A257">
            <v>18375</v>
          </cell>
          <cell r="B257" t="str">
            <v>Rua Marcelino Champagnat, 308Rua Fernando Ferrari esq. c/ Venceslau BrásCentro</v>
          </cell>
          <cell r="C257" t="str">
            <v>Residência Marista de Itapejara D'oeste</v>
          </cell>
          <cell r="D257" t="str">
            <v>ASSOCIAÇÃO BRASILEIRA DE EDUCAÇÃO E CULTURA - ABEC</v>
          </cell>
          <cell r="E257" t="str">
            <v>ASSOCIAÇÃO BRASILEIRA DE EDUCAÇÃO E CULTURA - ABEC</v>
          </cell>
          <cell r="F257" t="str">
            <v>Próprio</v>
          </cell>
          <cell r="G257" t="str">
            <v>Edificado - Operacional</v>
          </cell>
          <cell r="H257"/>
          <cell r="I257" t="str">
            <v>Imobiliário</v>
          </cell>
          <cell r="J257" t="str">
            <v>Rua Marcelino Champagnat, 308</v>
          </cell>
          <cell r="K257">
            <v>0</v>
          </cell>
          <cell r="L257" t="str">
            <v>Rua Fernando Ferrari esq. c/ Venceslau Brás</v>
          </cell>
          <cell r="M257" t="str">
            <v>Centro</v>
          </cell>
          <cell r="N257" t="str">
            <v>Itapejara D'Oeste</v>
          </cell>
          <cell r="O257" t="str">
            <v>Paraná</v>
          </cell>
          <cell r="P257" t="str">
            <v>Brasil</v>
          </cell>
          <cell r="Q257"/>
        </row>
        <row r="258">
          <cell r="A258">
            <v>18377</v>
          </cell>
          <cell r="B258" t="str">
            <v>Rua Marcelino Champagnat, 308Rua Fernando Ferrari esq. c/ Venceslau BrásCentro</v>
          </cell>
          <cell r="C258" t="str">
            <v>Residência Marista de Itapejara D'oeste</v>
          </cell>
          <cell r="D258" t="str">
            <v>ASSOCIAÇÃO BRASILEIRA DE EDUCAÇÃO E CULTURA - ABEC</v>
          </cell>
          <cell r="E258" t="str">
            <v>ASSOCIAÇÃO BRASILEIRA DE EDUCAÇÃO E CULTURA - ABEC</v>
          </cell>
          <cell r="F258" t="str">
            <v>Próprio</v>
          </cell>
          <cell r="G258" t="str">
            <v>Edificado - Operacional</v>
          </cell>
          <cell r="H258"/>
          <cell r="I258" t="str">
            <v>Imobiliário</v>
          </cell>
          <cell r="J258" t="str">
            <v>Rua Marcelino Champagnat, 308</v>
          </cell>
          <cell r="K258">
            <v>0</v>
          </cell>
          <cell r="L258" t="str">
            <v>Rua Fernando Ferrari esq. c/ Venceslau Brás</v>
          </cell>
          <cell r="M258" t="str">
            <v>Centro</v>
          </cell>
          <cell r="N258" t="str">
            <v>Itapejara D'Oeste</v>
          </cell>
          <cell r="O258" t="str">
            <v>Paraná</v>
          </cell>
          <cell r="P258" t="str">
            <v>Brasil</v>
          </cell>
          <cell r="Q258"/>
        </row>
        <row r="259">
          <cell r="A259">
            <v>18378</v>
          </cell>
          <cell r="B259" t="str">
            <v>Rua Marcelino Champagnat, 308Rua Fernando Ferrari esq. c/ Venceslau BrásCentro</v>
          </cell>
          <cell r="C259" t="str">
            <v>Residência Marista de Itapejara D'oeste</v>
          </cell>
          <cell r="D259" t="str">
            <v>ASSOCIAÇÃO BRASILEIRA DE EDUCAÇÃO E CULTURA - ABEC</v>
          </cell>
          <cell r="E259" t="str">
            <v>ASSOCIAÇÃO BRASILEIRA DE EDUCAÇÃO E CULTURA - ABEC</v>
          </cell>
          <cell r="F259" t="str">
            <v>Próprio</v>
          </cell>
          <cell r="G259" t="str">
            <v>Edificado - Operacional</v>
          </cell>
          <cell r="H259"/>
          <cell r="I259" t="str">
            <v>Imobiliário</v>
          </cell>
          <cell r="J259" t="str">
            <v>Rua Marcelino Champagnat, 308</v>
          </cell>
          <cell r="K259">
            <v>0</v>
          </cell>
          <cell r="L259" t="str">
            <v>Rua Fernando Ferrari esq. c/ Venceslau Brás</v>
          </cell>
          <cell r="M259" t="str">
            <v>Centro</v>
          </cell>
          <cell r="N259" t="str">
            <v>Itapejara D'Oeste</v>
          </cell>
          <cell r="O259" t="str">
            <v>Paraná</v>
          </cell>
          <cell r="P259" t="str">
            <v>Brasil</v>
          </cell>
          <cell r="Q259"/>
        </row>
        <row r="260">
          <cell r="A260">
            <v>18379</v>
          </cell>
          <cell r="B260" t="str">
            <v>Rua Marcelino Champagnat, 308Rua Fernando Ferrari esq. c/ Venceslau BrásCentro</v>
          </cell>
          <cell r="C260" t="str">
            <v>Residência Marista de Itapejara D'oeste</v>
          </cell>
          <cell r="D260" t="str">
            <v>ASSOCIAÇÃO BRASILEIRA DE EDUCAÇÃO E CULTURA - ABEC</v>
          </cell>
          <cell r="E260" t="str">
            <v>ASSOCIAÇÃO BRASILEIRA DE EDUCAÇÃO E CULTURA - ABEC</v>
          </cell>
          <cell r="F260" t="str">
            <v>Próprio</v>
          </cell>
          <cell r="G260" t="str">
            <v>Edificado - Operacional</v>
          </cell>
          <cell r="H260"/>
          <cell r="I260" t="str">
            <v>Imobiliário</v>
          </cell>
          <cell r="J260" t="str">
            <v>Rua Marcelino Champagnat, 308</v>
          </cell>
          <cell r="K260">
            <v>0</v>
          </cell>
          <cell r="L260" t="str">
            <v>Rua Fernando Ferrari esq. c/ Venceslau Brás</v>
          </cell>
          <cell r="M260" t="str">
            <v>Centro</v>
          </cell>
          <cell r="N260" t="str">
            <v>Itapejara D'Oeste</v>
          </cell>
          <cell r="O260" t="str">
            <v>Paraná</v>
          </cell>
          <cell r="P260" t="str">
            <v>Brasil</v>
          </cell>
          <cell r="Q260"/>
        </row>
        <row r="261">
          <cell r="A261">
            <v>18380</v>
          </cell>
          <cell r="B261" t="str">
            <v>Rua Marcelino Champagnat, 308Rua Fernando Ferrari esq. c/ Venceslau BrásCentro</v>
          </cell>
          <cell r="C261" t="str">
            <v>Residência Marista de Itapejara D'oeste</v>
          </cell>
          <cell r="D261" t="str">
            <v>ASSOCIAÇÃO BRASILEIRA DE EDUCAÇÃO E CULTURA - ABEC</v>
          </cell>
          <cell r="E261" t="str">
            <v>ASSOCIAÇÃO BRASILEIRA DE EDUCAÇÃO E CULTURA - ABEC</v>
          </cell>
          <cell r="F261" t="str">
            <v>Próprio</v>
          </cell>
          <cell r="G261" t="str">
            <v>Edificado - Operacional</v>
          </cell>
          <cell r="H261"/>
          <cell r="I261" t="str">
            <v>Imobiliário</v>
          </cell>
          <cell r="J261" t="str">
            <v>Rua Marcelino Champagnat, 308</v>
          </cell>
          <cell r="K261">
            <v>0</v>
          </cell>
          <cell r="L261" t="str">
            <v>Rua Fernando Ferrari esq. c/ Venceslau Brás</v>
          </cell>
          <cell r="M261" t="str">
            <v>Centro</v>
          </cell>
          <cell r="N261" t="str">
            <v>Itapejara D'Oeste</v>
          </cell>
          <cell r="O261" t="str">
            <v>Paraná</v>
          </cell>
          <cell r="P261" t="str">
            <v>Brasil</v>
          </cell>
          <cell r="Q261"/>
        </row>
        <row r="262">
          <cell r="A262">
            <v>7850</v>
          </cell>
          <cell r="B262" t="str">
            <v>Rua Marcelino Champagnat, 308Rua Fernando Ferrari esq. c/ Venceslau BrásCentro</v>
          </cell>
          <cell r="C262" t="str">
            <v>Residência Marista de Itapejara D'oeste</v>
          </cell>
          <cell r="D262" t="str">
            <v>ASSOCIAÇÃO BRASILEIRA DE EDUCAÇÃO E CULTURA - ABEC</v>
          </cell>
          <cell r="E262" t="str">
            <v>ASSOCIAÇÃO BRASILEIRA DE EDUCAÇÃO E CULTURA - ABEC</v>
          </cell>
          <cell r="F262" t="str">
            <v>Próprio</v>
          </cell>
          <cell r="G262" t="str">
            <v>Edificado - Operacional</v>
          </cell>
          <cell r="H262"/>
          <cell r="I262" t="str">
            <v>Imobiliário</v>
          </cell>
          <cell r="J262" t="str">
            <v>Rua Marcelino Champagnat, 308</v>
          </cell>
          <cell r="K262">
            <v>0</v>
          </cell>
          <cell r="L262" t="str">
            <v>Rua Fernando Ferrari esq. c/ Venceslau Brás</v>
          </cell>
          <cell r="M262" t="str">
            <v>Centro</v>
          </cell>
          <cell r="N262" t="str">
            <v>Itapejara D'Oeste</v>
          </cell>
          <cell r="O262" t="str">
            <v>Paraná</v>
          </cell>
          <cell r="P262" t="str">
            <v>Brasil</v>
          </cell>
          <cell r="Q262"/>
        </row>
        <row r="263">
          <cell r="A263">
            <v>8311</v>
          </cell>
          <cell r="B263" t="str">
            <v>Rua Fernando Ferrari, 218Parte ideal de 498,00 m2 - Lote 05 - Quadra 49Centro</v>
          </cell>
          <cell r="C263" t="str">
            <v>(VENDIDO) Lote ao lado - Escola Estadual Ir. Isidoro Dumont</v>
          </cell>
          <cell r="D263" t="str">
            <v>ASSOCIAÇÃO BRASILEIRA DE EDUCAÇÃO E CULTURA - ABEC</v>
          </cell>
          <cell r="E263" t="str">
            <v>ASSOCIAÇÃO BRASILEIRA DE EDUCAÇÃO E CULTURA - ABEC</v>
          </cell>
          <cell r="F263" t="str">
            <v>Próprio</v>
          </cell>
          <cell r="G263" t="str">
            <v>Edificado - Operacional</v>
          </cell>
          <cell r="H263"/>
          <cell r="I263" t="str">
            <v>Imobiliário</v>
          </cell>
          <cell r="J263" t="str">
            <v>Rua Fernando Ferrari, 218</v>
          </cell>
          <cell r="K263">
            <v>0</v>
          </cell>
          <cell r="L263" t="str">
            <v>Parte ideal de 498,00 m2 - Lote 05 - Quadra 49</v>
          </cell>
          <cell r="M263" t="str">
            <v>Centro</v>
          </cell>
          <cell r="N263" t="str">
            <v>Itapejara D'Oeste</v>
          </cell>
          <cell r="O263" t="str">
            <v>Paraná</v>
          </cell>
          <cell r="P263" t="str">
            <v>Brasil</v>
          </cell>
          <cell r="Q263"/>
        </row>
        <row r="264">
          <cell r="A264">
            <v>7067</v>
          </cell>
          <cell r="B264" t="str">
            <v>Rua Marcelino Champagnat esq c/ Fernando Ferrari - Lote 02 - Quadra 55Fernando Ferrari, 182Centro</v>
          </cell>
          <cell r="C264" t="str">
            <v>Centro Social Marista Itapejara D'Oeste</v>
          </cell>
          <cell r="D264" t="str">
            <v>ASSOCIAÇÃO BRASILEIRA DE EDUCAÇÃO E CULTURA - ABEC</v>
          </cell>
          <cell r="E264" t="str">
            <v>ASSOCIAÇÃO BRASILEIRA DE EDUCAÇÃO E CULTURA - ABEC</v>
          </cell>
          <cell r="F264" t="str">
            <v>Próprio</v>
          </cell>
          <cell r="G264" t="str">
            <v>Edificado</v>
          </cell>
          <cell r="H264"/>
          <cell r="I264" t="str">
            <v>Imobiliário</v>
          </cell>
          <cell r="J264" t="str">
            <v>Rua Marcelino Champagnat esq c/ Fernando Ferrari - Lote 02 - Quadra 55</v>
          </cell>
          <cell r="K264">
            <v>0</v>
          </cell>
          <cell r="L264" t="str">
            <v>Fernando Ferrari, 182</v>
          </cell>
          <cell r="M264" t="str">
            <v>Centro</v>
          </cell>
          <cell r="N264" t="str">
            <v>Itapejara D'Oeste</v>
          </cell>
          <cell r="O264" t="str">
            <v>Paraná</v>
          </cell>
          <cell r="P264" t="str">
            <v>Brasil</v>
          </cell>
          <cell r="Q264"/>
        </row>
        <row r="265">
          <cell r="A265">
            <v>20919</v>
          </cell>
          <cell r="B265" t="str">
            <v>Rua Ir. Celestino Delpine e Rua Ir. Leão MagnoAmizade</v>
          </cell>
          <cell r="C265" t="str">
            <v>Loteamento Champagnat - Jaraguá do Sul</v>
          </cell>
          <cell r="D265" t="str">
            <v>UNIÃO CATARINENSE DE EDUCAÇÃO - UCE</v>
          </cell>
          <cell r="E265" t="str">
            <v>UNIÃO CATARINENSE DE EDUCAÇÃO - UCE</v>
          </cell>
          <cell r="F265" t="str">
            <v>Próprio</v>
          </cell>
          <cell r="G265" t="str">
            <v>Lotes / Terrenos</v>
          </cell>
          <cell r="H265"/>
          <cell r="I265" t="str">
            <v>Imobiliário</v>
          </cell>
          <cell r="J265" t="str">
            <v>Rua Ir. Celestino Delpine e Rua Ir. Leão Magno</v>
          </cell>
          <cell r="K265">
            <v>0</v>
          </cell>
          <cell r="L265"/>
          <cell r="M265" t="str">
            <v>Amizade</v>
          </cell>
          <cell r="N265" t="str">
            <v>Jaraguá do Sul</v>
          </cell>
          <cell r="O265" t="str">
            <v>Santa Catarina</v>
          </cell>
          <cell r="P265" t="str">
            <v>Brasil</v>
          </cell>
          <cell r="Q265"/>
        </row>
        <row r="266">
          <cell r="A266">
            <v>19631</v>
          </cell>
          <cell r="B266" t="str">
            <v>Rua Ir. Celestino Delpine e Rua Ir. Leão MagnoAmizade</v>
          </cell>
          <cell r="C266" t="str">
            <v>Loteamento Champagnat - Jaraguá do Sul</v>
          </cell>
          <cell r="D266" t="str">
            <v>UNIÃO CATARINENSE DE EDUCAÇÃO - UCE</v>
          </cell>
          <cell r="E266" t="str">
            <v>UNIÃO CATARINENSE DE EDUCAÇÃO - UCE</v>
          </cell>
          <cell r="F266" t="str">
            <v>Próprio</v>
          </cell>
          <cell r="G266" t="str">
            <v>Lotes / Terrenos</v>
          </cell>
          <cell r="H266"/>
          <cell r="I266" t="str">
            <v>Imobiliário</v>
          </cell>
          <cell r="J266" t="str">
            <v>Rua Ir. Celestino Delpine e Rua Ir. Leão Magno</v>
          </cell>
          <cell r="K266">
            <v>0</v>
          </cell>
          <cell r="L266"/>
          <cell r="M266" t="str">
            <v>Amizade</v>
          </cell>
          <cell r="N266" t="str">
            <v>Jaraguá do Sul</v>
          </cell>
          <cell r="O266" t="str">
            <v>Santa Catarina</v>
          </cell>
          <cell r="P266" t="str">
            <v>Brasil</v>
          </cell>
          <cell r="Q266"/>
        </row>
        <row r="267">
          <cell r="A267">
            <v>19631</v>
          </cell>
          <cell r="B267" t="str">
            <v>Rua Ir. Celestino Delpine e Rua Ir. Leão MagnoAmizade</v>
          </cell>
          <cell r="C267" t="str">
            <v>Loteamento Champagnat - Jaraguá do Sul</v>
          </cell>
          <cell r="D267" t="str">
            <v>UNIÃO CATARINENSE DE EDUCAÇÃO - UCE</v>
          </cell>
          <cell r="E267" t="str">
            <v>UNIÃO CATARINENSE DE EDUCAÇÃO - UCE</v>
          </cell>
          <cell r="F267" t="str">
            <v>Próprio</v>
          </cell>
          <cell r="G267" t="str">
            <v>Lotes / Terrenos</v>
          </cell>
          <cell r="H267"/>
          <cell r="I267" t="str">
            <v>Imobiliário</v>
          </cell>
          <cell r="J267" t="str">
            <v>Rua Ir. Celestino Delpine e Rua Ir. Leão Magno</v>
          </cell>
          <cell r="K267">
            <v>0</v>
          </cell>
          <cell r="L267"/>
          <cell r="M267" t="str">
            <v>Amizade</v>
          </cell>
          <cell r="N267" t="str">
            <v>Jaraguá do Sul</v>
          </cell>
          <cell r="O267" t="str">
            <v>Santa Catarina</v>
          </cell>
          <cell r="P267" t="str">
            <v>Brasil</v>
          </cell>
          <cell r="Q267"/>
        </row>
        <row r="268">
          <cell r="A268">
            <v>19631</v>
          </cell>
          <cell r="B268" t="str">
            <v>Rua Ir. Celestino Delpine e Rua Ir. Leão MagnoAmizade</v>
          </cell>
          <cell r="C268" t="str">
            <v>Loteamento Champagnat - Jaraguá do Sul</v>
          </cell>
          <cell r="D268" t="str">
            <v>UNIÃO CATARINENSE DE EDUCAÇÃO - UCE</v>
          </cell>
          <cell r="E268" t="str">
            <v>UNIÃO CATARINENSE DE EDUCAÇÃO - UCE</v>
          </cell>
          <cell r="F268" t="str">
            <v>Próprio</v>
          </cell>
          <cell r="G268" t="str">
            <v>Lotes / Terrenos</v>
          </cell>
          <cell r="H268"/>
          <cell r="I268" t="str">
            <v>Imobiliário</v>
          </cell>
          <cell r="J268" t="str">
            <v>Rua Ir. Celestino Delpine e Rua Ir. Leão Magno</v>
          </cell>
          <cell r="K268">
            <v>0</v>
          </cell>
          <cell r="L268"/>
          <cell r="M268" t="str">
            <v>Amizade</v>
          </cell>
          <cell r="N268" t="str">
            <v>Jaraguá do Sul</v>
          </cell>
          <cell r="O268" t="str">
            <v>Santa Catarina</v>
          </cell>
          <cell r="P268" t="str">
            <v>Brasil</v>
          </cell>
          <cell r="Q268"/>
        </row>
        <row r="269">
          <cell r="A269">
            <v>19631</v>
          </cell>
          <cell r="B269" t="str">
            <v>Rua Ir. Celestino Delpine e Rua Ir. Leão MagnoAmizade</v>
          </cell>
          <cell r="C269" t="str">
            <v>Loteamento Champagnat - Jaraguá do Sul</v>
          </cell>
          <cell r="D269" t="str">
            <v>UNIÃO CATARINENSE DE EDUCAÇÃO - UCE</v>
          </cell>
          <cell r="E269" t="str">
            <v>UNIÃO CATARINENSE DE EDUCAÇÃO - UCE</v>
          </cell>
          <cell r="F269" t="str">
            <v>Próprio</v>
          </cell>
          <cell r="G269" t="str">
            <v>Lotes / Terrenos</v>
          </cell>
          <cell r="H269"/>
          <cell r="I269" t="str">
            <v>Imobiliário</v>
          </cell>
          <cell r="J269" t="str">
            <v>Rua Ir. Celestino Delpine e Rua Ir. Leão Magno</v>
          </cell>
          <cell r="K269">
            <v>0</v>
          </cell>
          <cell r="L269"/>
          <cell r="M269" t="str">
            <v>Amizade</v>
          </cell>
          <cell r="N269" t="str">
            <v>Jaraguá do Sul</v>
          </cell>
          <cell r="O269" t="str">
            <v>Santa Catarina</v>
          </cell>
          <cell r="P269" t="str">
            <v>Brasil</v>
          </cell>
          <cell r="Q269"/>
        </row>
        <row r="270">
          <cell r="A270">
            <v>19631</v>
          </cell>
          <cell r="B270" t="str">
            <v>Rua Ir. Celestino Delpine e Rua Ir. Leão MagnoAmizade</v>
          </cell>
          <cell r="C270" t="str">
            <v>Loteamento Champagnat - Jaraguá do Sul</v>
          </cell>
          <cell r="D270" t="str">
            <v>UNIÃO CATARINENSE DE EDUCAÇÃO - UCE</v>
          </cell>
          <cell r="E270" t="str">
            <v>UNIÃO CATARINENSE DE EDUCAÇÃO - UCE</v>
          </cell>
          <cell r="F270" t="str">
            <v>Próprio</v>
          </cell>
          <cell r="G270" t="str">
            <v>Lotes / Terrenos</v>
          </cell>
          <cell r="H270"/>
          <cell r="I270" t="str">
            <v>Imobiliário</v>
          </cell>
          <cell r="J270" t="str">
            <v>Rua Ir. Celestino Delpine e Rua Ir. Leão Magno</v>
          </cell>
          <cell r="K270">
            <v>0</v>
          </cell>
          <cell r="L270"/>
          <cell r="M270" t="str">
            <v>Amizade</v>
          </cell>
          <cell r="N270" t="str">
            <v>Jaraguá do Sul</v>
          </cell>
          <cell r="O270" t="str">
            <v>Santa Catarina</v>
          </cell>
          <cell r="P270" t="str">
            <v>Brasil</v>
          </cell>
          <cell r="Q270"/>
        </row>
        <row r="271">
          <cell r="A271">
            <v>19631</v>
          </cell>
          <cell r="B271" t="str">
            <v>Rua Ir. Celestino Delpine e Rua Ir. Leão MagnoAmizade</v>
          </cell>
          <cell r="C271" t="str">
            <v>Loteamento Champagnat - Jaraguá do Sul</v>
          </cell>
          <cell r="D271" t="str">
            <v>UNIÃO CATARINENSE DE EDUCAÇÃO - UCE</v>
          </cell>
          <cell r="E271" t="str">
            <v>UNIÃO CATARINENSE DE EDUCAÇÃO - UCE</v>
          </cell>
          <cell r="F271" t="str">
            <v>Próprio</v>
          </cell>
          <cell r="G271" t="str">
            <v>Lotes / Terrenos</v>
          </cell>
          <cell r="H271"/>
          <cell r="I271" t="str">
            <v>Imobiliário</v>
          </cell>
          <cell r="J271" t="str">
            <v>Rua Ir. Celestino Delpine e Rua Ir. Leão Magno</v>
          </cell>
          <cell r="K271">
            <v>0</v>
          </cell>
          <cell r="L271"/>
          <cell r="M271" t="str">
            <v>Amizade</v>
          </cell>
          <cell r="N271" t="str">
            <v>Jaraguá do Sul</v>
          </cell>
          <cell r="O271" t="str">
            <v>Santa Catarina</v>
          </cell>
          <cell r="P271" t="str">
            <v>Brasil</v>
          </cell>
          <cell r="Q271"/>
        </row>
        <row r="272">
          <cell r="A272">
            <v>19631</v>
          </cell>
          <cell r="B272" t="str">
            <v>Rua Ir. Celestino Delpine e Rua Ir. Leão MagnoAmizade</v>
          </cell>
          <cell r="C272" t="str">
            <v>Loteamento Champagnat - Jaraguá do Sul</v>
          </cell>
          <cell r="D272" t="str">
            <v>UNIÃO CATARINENSE DE EDUCAÇÃO - UCE</v>
          </cell>
          <cell r="E272" t="str">
            <v>UNIÃO CATARINENSE DE EDUCAÇÃO - UCE</v>
          </cell>
          <cell r="F272" t="str">
            <v>Próprio</v>
          </cell>
          <cell r="G272" t="str">
            <v>Lotes / Terrenos</v>
          </cell>
          <cell r="H272"/>
          <cell r="I272" t="str">
            <v>Imobiliário</v>
          </cell>
          <cell r="J272" t="str">
            <v>Rua Ir. Celestino Delpine e Rua Ir. Leão Magno</v>
          </cell>
          <cell r="K272">
            <v>0</v>
          </cell>
          <cell r="L272"/>
          <cell r="M272" t="str">
            <v>Amizade</v>
          </cell>
          <cell r="N272" t="str">
            <v>Jaraguá do Sul</v>
          </cell>
          <cell r="O272" t="str">
            <v>Santa Catarina</v>
          </cell>
          <cell r="P272" t="str">
            <v>Brasil</v>
          </cell>
          <cell r="Q272"/>
        </row>
        <row r="273">
          <cell r="A273">
            <v>19631</v>
          </cell>
          <cell r="B273" t="str">
            <v>Rua Ir. Celestino Delpine e Rua Ir. Leão MagnoAmizade</v>
          </cell>
          <cell r="C273" t="str">
            <v>Loteamento Champagnat - Jaraguá do Sul</v>
          </cell>
          <cell r="D273" t="str">
            <v>UNIÃO CATARINENSE DE EDUCAÇÃO - UCE</v>
          </cell>
          <cell r="E273" t="str">
            <v>UNIÃO CATARINENSE DE EDUCAÇÃO - UCE</v>
          </cell>
          <cell r="F273" t="str">
            <v>Próprio</v>
          </cell>
          <cell r="G273" t="str">
            <v>Lotes / Terrenos</v>
          </cell>
          <cell r="H273"/>
          <cell r="I273" t="str">
            <v>Imobiliário</v>
          </cell>
          <cell r="J273" t="str">
            <v>Rua Ir. Celestino Delpine e Rua Ir. Leão Magno</v>
          </cell>
          <cell r="K273">
            <v>0</v>
          </cell>
          <cell r="L273"/>
          <cell r="M273" t="str">
            <v>Amizade</v>
          </cell>
          <cell r="N273" t="str">
            <v>Jaraguá do Sul</v>
          </cell>
          <cell r="O273" t="str">
            <v>Santa Catarina</v>
          </cell>
          <cell r="P273" t="str">
            <v>Brasil</v>
          </cell>
          <cell r="Q273"/>
        </row>
        <row r="274">
          <cell r="A274">
            <v>19631</v>
          </cell>
          <cell r="B274" t="str">
            <v>Rua Ir. Celestino Delpine e Rua Ir. Leão MagnoAmizade</v>
          </cell>
          <cell r="C274" t="str">
            <v>Loteamento Champagnat - Jaraguá do Sul</v>
          </cell>
          <cell r="D274" t="str">
            <v>UNIÃO CATARINENSE DE EDUCAÇÃO - UCE</v>
          </cell>
          <cell r="E274" t="str">
            <v>UNIÃO CATARINENSE DE EDUCAÇÃO - UCE</v>
          </cell>
          <cell r="F274" t="str">
            <v>Próprio</v>
          </cell>
          <cell r="G274" t="str">
            <v>Lotes / Terrenos</v>
          </cell>
          <cell r="H274"/>
          <cell r="I274" t="str">
            <v>Imobiliário</v>
          </cell>
          <cell r="J274" t="str">
            <v>Rua Ir. Celestino Delpine e Rua Ir. Leão Magno</v>
          </cell>
          <cell r="K274">
            <v>0</v>
          </cell>
          <cell r="L274"/>
          <cell r="M274" t="str">
            <v>Amizade</v>
          </cell>
          <cell r="N274" t="str">
            <v>Jaraguá do Sul</v>
          </cell>
          <cell r="O274" t="str">
            <v>Santa Catarina</v>
          </cell>
          <cell r="P274" t="str">
            <v>Brasil</v>
          </cell>
          <cell r="Q274"/>
        </row>
        <row r="275">
          <cell r="A275">
            <v>19631</v>
          </cell>
          <cell r="B275" t="str">
            <v>Rua Ir. Celestino Delpine e Rua Ir. Leão MagnoAmizade</v>
          </cell>
          <cell r="C275" t="str">
            <v>Loteamento Champagnat - Jaraguá do Sul</v>
          </cell>
          <cell r="D275" t="str">
            <v>UNIÃO CATARINENSE DE EDUCAÇÃO - UCE</v>
          </cell>
          <cell r="E275" t="str">
            <v>UNIÃO CATARINENSE DE EDUCAÇÃO - UCE</v>
          </cell>
          <cell r="F275" t="str">
            <v>Próprio</v>
          </cell>
          <cell r="G275" t="str">
            <v>Lotes / Terrenos</v>
          </cell>
          <cell r="H275"/>
          <cell r="I275" t="str">
            <v>Imobiliário</v>
          </cell>
          <cell r="J275" t="str">
            <v>Rua Ir. Celestino Delpine e Rua Ir. Leão Magno</v>
          </cell>
          <cell r="K275">
            <v>0</v>
          </cell>
          <cell r="L275"/>
          <cell r="M275" t="str">
            <v>Amizade</v>
          </cell>
          <cell r="N275" t="str">
            <v>Jaraguá do Sul</v>
          </cell>
          <cell r="O275" t="str">
            <v>Santa Catarina</v>
          </cell>
          <cell r="P275" t="str">
            <v>Brasil</v>
          </cell>
          <cell r="Q275"/>
        </row>
        <row r="276">
          <cell r="A276">
            <v>19631</v>
          </cell>
          <cell r="B276" t="str">
            <v>Rua Ir. Celestino Delpine e Rua Ir. Leão MagnoAmizade</v>
          </cell>
          <cell r="C276" t="str">
            <v>Loteamento Champagnat - Jaraguá do Sul</v>
          </cell>
          <cell r="D276" t="str">
            <v>UNIÃO CATARINENSE DE EDUCAÇÃO - UCE</v>
          </cell>
          <cell r="E276" t="str">
            <v>UNIÃO CATARINENSE DE EDUCAÇÃO - UCE</v>
          </cell>
          <cell r="F276" t="str">
            <v>Próprio</v>
          </cell>
          <cell r="G276" t="str">
            <v>Lotes / Terrenos</v>
          </cell>
          <cell r="H276"/>
          <cell r="I276" t="str">
            <v>Imobiliário</v>
          </cell>
          <cell r="J276" t="str">
            <v>Rua Ir. Celestino Delpine e Rua Ir. Leão Magno</v>
          </cell>
          <cell r="K276">
            <v>0</v>
          </cell>
          <cell r="L276"/>
          <cell r="M276" t="str">
            <v>Amizade</v>
          </cell>
          <cell r="N276" t="str">
            <v>Jaraguá do Sul</v>
          </cell>
          <cell r="O276" t="str">
            <v>Santa Catarina</v>
          </cell>
          <cell r="P276" t="str">
            <v>Brasil</v>
          </cell>
          <cell r="Q276"/>
        </row>
        <row r="277">
          <cell r="A277">
            <v>19631</v>
          </cell>
          <cell r="B277" t="str">
            <v>Rua Ir. Celestino Delpine e Rua Ir. Leão MagnoAmizade</v>
          </cell>
          <cell r="C277" t="str">
            <v>Loteamento Champagnat - Jaraguá do Sul</v>
          </cell>
          <cell r="D277" t="str">
            <v>UNIÃO CATARINENSE DE EDUCAÇÃO - UCE</v>
          </cell>
          <cell r="E277" t="str">
            <v>UNIÃO CATARINENSE DE EDUCAÇÃO - UCE</v>
          </cell>
          <cell r="F277" t="str">
            <v>Próprio</v>
          </cell>
          <cell r="G277" t="str">
            <v>Lotes / Terrenos</v>
          </cell>
          <cell r="H277"/>
          <cell r="I277" t="str">
            <v>Imobiliário</v>
          </cell>
          <cell r="J277" t="str">
            <v>Rua Ir. Celestino Delpine e Rua Ir. Leão Magno</v>
          </cell>
          <cell r="K277">
            <v>0</v>
          </cell>
          <cell r="L277"/>
          <cell r="M277" t="str">
            <v>Amizade</v>
          </cell>
          <cell r="N277" t="str">
            <v>Jaraguá do Sul</v>
          </cell>
          <cell r="O277" t="str">
            <v>Santa Catarina</v>
          </cell>
          <cell r="P277" t="str">
            <v>Brasil</v>
          </cell>
          <cell r="Q277"/>
        </row>
        <row r="278">
          <cell r="A278">
            <v>65034</v>
          </cell>
          <cell r="B278" t="str">
            <v>Rua Ir. Celestino Delpine e Rua Ir. Leão MagnoAmizade</v>
          </cell>
          <cell r="C278" t="str">
            <v>Loteamento Champagnat - Jaraguá do Sul</v>
          </cell>
          <cell r="D278" t="str">
            <v>UNIÃO CATARINENSE DE EDUCAÇÃO - UCE</v>
          </cell>
          <cell r="E278" t="str">
            <v>UNIÃO CATARINENSE DE EDUCAÇÃO - UCE</v>
          </cell>
          <cell r="F278" t="str">
            <v>Próprio</v>
          </cell>
          <cell r="G278" t="str">
            <v>Lotes / Terrenos</v>
          </cell>
          <cell r="H278"/>
          <cell r="I278" t="str">
            <v>Imobiliário</v>
          </cell>
          <cell r="J278" t="str">
            <v>Rua Ir. Celestino Delpine e Rua Ir. Leão Magno</v>
          </cell>
          <cell r="K278">
            <v>0</v>
          </cell>
          <cell r="L278"/>
          <cell r="M278" t="str">
            <v>Amizade</v>
          </cell>
          <cell r="N278" t="str">
            <v>Jaraguá do Sul</v>
          </cell>
          <cell r="O278" t="str">
            <v>Santa Catarina</v>
          </cell>
          <cell r="P278" t="str">
            <v>Brasil</v>
          </cell>
          <cell r="Q278"/>
        </row>
        <row r="279">
          <cell r="A279">
            <v>19631</v>
          </cell>
          <cell r="B279" t="str">
            <v>Rua Ir. Celestino Delpine e Rua Ir. Leão MagnoAmizade</v>
          </cell>
          <cell r="C279" t="str">
            <v>Loteamento Champagnat - Jaraguá do Sul</v>
          </cell>
          <cell r="D279" t="str">
            <v>UNIÃO CATARINENSE DE EDUCAÇÃO - UCE</v>
          </cell>
          <cell r="E279" t="str">
            <v>UNIÃO CATARINENSE DE EDUCAÇÃO - UCE</v>
          </cell>
          <cell r="F279" t="str">
            <v>Próprio</v>
          </cell>
          <cell r="G279" t="str">
            <v>Lotes / Terrenos</v>
          </cell>
          <cell r="H279"/>
          <cell r="I279" t="str">
            <v>Imobiliário</v>
          </cell>
          <cell r="J279" t="str">
            <v>Rua Ir. Celestino Delpine e Rua Ir. Leão Magno</v>
          </cell>
          <cell r="K279">
            <v>0</v>
          </cell>
          <cell r="L279"/>
          <cell r="M279" t="str">
            <v>Amizade</v>
          </cell>
          <cell r="N279" t="str">
            <v>Jaraguá do Sul</v>
          </cell>
          <cell r="O279" t="str">
            <v>Santa Catarina</v>
          </cell>
          <cell r="P279" t="str">
            <v>Brasil</v>
          </cell>
          <cell r="Q279"/>
        </row>
        <row r="280">
          <cell r="A280">
            <v>19631</v>
          </cell>
          <cell r="B280" t="str">
            <v>Rua Ir. Celestino Delpine e Rua Ir. Leão MagnoAmizade</v>
          </cell>
          <cell r="C280" t="str">
            <v>Loteamento Champagnat - Jaraguá do Sul</v>
          </cell>
          <cell r="D280" t="str">
            <v>UNIÃO CATARINENSE DE EDUCAÇÃO - UCE</v>
          </cell>
          <cell r="E280" t="str">
            <v>UNIÃO CATARINENSE DE EDUCAÇÃO - UCE</v>
          </cell>
          <cell r="F280" t="str">
            <v>Próprio</v>
          </cell>
          <cell r="G280" t="str">
            <v>Lotes / Terrenos</v>
          </cell>
          <cell r="H280"/>
          <cell r="I280" t="str">
            <v>Imobiliário</v>
          </cell>
          <cell r="J280" t="str">
            <v>Rua Ir. Celestino Delpine e Rua Ir. Leão Magno</v>
          </cell>
          <cell r="K280">
            <v>0</v>
          </cell>
          <cell r="L280"/>
          <cell r="M280" t="str">
            <v>Amizade</v>
          </cell>
          <cell r="N280" t="str">
            <v>Jaraguá do Sul</v>
          </cell>
          <cell r="O280" t="str">
            <v>Santa Catarina</v>
          </cell>
          <cell r="P280" t="str">
            <v>Brasil</v>
          </cell>
          <cell r="Q280"/>
        </row>
        <row r="281">
          <cell r="A281">
            <v>19631</v>
          </cell>
          <cell r="B281" t="str">
            <v>Rua Ir. Celestino Delpine e Rua Ir. Leão MagnoAmizade</v>
          </cell>
          <cell r="C281" t="str">
            <v>Loteamento Champagnat - Jaraguá do Sul</v>
          </cell>
          <cell r="D281" t="str">
            <v>UNIÃO CATARINENSE DE EDUCAÇÃO - UCE</v>
          </cell>
          <cell r="E281" t="str">
            <v>UNIÃO CATARINENSE DE EDUCAÇÃO - UCE</v>
          </cell>
          <cell r="F281" t="str">
            <v>Próprio</v>
          </cell>
          <cell r="G281" t="str">
            <v>Lotes / Terrenos</v>
          </cell>
          <cell r="H281"/>
          <cell r="I281" t="str">
            <v>Imobiliário</v>
          </cell>
          <cell r="J281" t="str">
            <v>Rua Ir. Celestino Delpine e Rua Ir. Leão Magno</v>
          </cell>
          <cell r="K281">
            <v>0</v>
          </cell>
          <cell r="L281"/>
          <cell r="M281" t="str">
            <v>Amizade</v>
          </cell>
          <cell r="N281" t="str">
            <v>Jaraguá do Sul</v>
          </cell>
          <cell r="O281" t="str">
            <v>Santa Catarina</v>
          </cell>
          <cell r="P281" t="str">
            <v>Brasil</v>
          </cell>
          <cell r="Q281"/>
        </row>
        <row r="282">
          <cell r="A282">
            <v>3346</v>
          </cell>
          <cell r="B282" t="str">
            <v>Rua Irmãos Maristas, nº 513Centro</v>
          </cell>
          <cell r="C282" t="str">
            <v>Centro de Formação / Pré-Postulado</v>
          </cell>
          <cell r="D282" t="str">
            <v>UNIÃO CATARINENSE DE EDUCAÇÃO - UCE</v>
          </cell>
          <cell r="E282" t="str">
            <v>UNIÃO CATARINENSE DE EDUCAÇÃO - UCE</v>
          </cell>
          <cell r="F282" t="str">
            <v>Próprio</v>
          </cell>
          <cell r="G282" t="str">
            <v>Edificado - Operacional</v>
          </cell>
          <cell r="H282"/>
          <cell r="I282" t="str">
            <v>Imobiliário</v>
          </cell>
          <cell r="J282" t="str">
            <v>Rua Irmãos Maristas, nº 513</v>
          </cell>
          <cell r="K282">
            <v>0</v>
          </cell>
          <cell r="L282"/>
          <cell r="M282" t="str">
            <v>Centro</v>
          </cell>
          <cell r="N282" t="str">
            <v>Jaraguá do Sul</v>
          </cell>
          <cell r="O282" t="str">
            <v>Santa Catarina</v>
          </cell>
          <cell r="P282" t="str">
            <v>Brasil</v>
          </cell>
          <cell r="Q282"/>
        </row>
        <row r="283">
          <cell r="A283">
            <v>78599</v>
          </cell>
          <cell r="B283" t="str">
            <v>Rua Marechal Deodoro da Fonseca, nº 520Centro</v>
          </cell>
          <cell r="C283" t="str">
            <v>Colégio Marista São Luiz</v>
          </cell>
          <cell r="D283" t="str">
            <v>UNIÃO CATARINENSE DE EDUCAÇÃO - UCE</v>
          </cell>
          <cell r="E283" t="str">
            <v>UNIÃO CATARINENSE DE EDUCAÇÃO - UCE</v>
          </cell>
          <cell r="F283" t="str">
            <v>Próprio</v>
          </cell>
          <cell r="G283" t="str">
            <v>Edificado - Operacional</v>
          </cell>
          <cell r="H283"/>
          <cell r="I283" t="str">
            <v>Imobiliário</v>
          </cell>
          <cell r="J283" t="str">
            <v>Rua Marechal Deodoro da Fonseca, nº 520</v>
          </cell>
          <cell r="K283">
            <v>0</v>
          </cell>
          <cell r="L283"/>
          <cell r="M283" t="str">
            <v>Centro</v>
          </cell>
          <cell r="N283" t="str">
            <v>Jaraguá do Sul</v>
          </cell>
          <cell r="O283" t="str">
            <v>Santa Catarina</v>
          </cell>
          <cell r="P283" t="str">
            <v>Brasil</v>
          </cell>
          <cell r="Q283"/>
        </row>
        <row r="284">
          <cell r="A284">
            <v>17253</v>
          </cell>
          <cell r="B284" t="str">
            <v>Rua Frei Rogério, nº 596Centro</v>
          </cell>
          <cell r="C284" t="str">
            <v>Colégio Marista Frei Rogério / Centro Social Marista / Residência Marista de Joaçaba</v>
          </cell>
          <cell r="D284" t="str">
            <v>UNIÃO CATARINENSE DE EDUCAÇÃO - UCE</v>
          </cell>
          <cell r="E284" t="str">
            <v>UNIÃO CATARINENSE DE EDUCAÇÃO - UCE</v>
          </cell>
          <cell r="F284" t="str">
            <v>Próprio</v>
          </cell>
          <cell r="G284" t="str">
            <v>Edificado - Operacional</v>
          </cell>
          <cell r="H284"/>
          <cell r="I284" t="str">
            <v>Imobiliário</v>
          </cell>
          <cell r="J284" t="str">
            <v>Rua Frei Rogério, nº 596</v>
          </cell>
          <cell r="K284">
            <v>0</v>
          </cell>
          <cell r="L284"/>
          <cell r="M284" t="str">
            <v>Centro</v>
          </cell>
          <cell r="N284" t="str">
            <v>Joaçaba</v>
          </cell>
          <cell r="O284" t="str">
            <v>Santa Catarina</v>
          </cell>
          <cell r="P284" t="str">
            <v>Brasil</v>
          </cell>
          <cell r="Q284"/>
        </row>
        <row r="285">
          <cell r="A285">
            <v>18217</v>
          </cell>
          <cell r="B285" t="str">
            <v>Colônia Erval - Lageado Leãozinho - Linha Duas Casas</v>
          </cell>
          <cell r="C285" t="str">
            <v>Colégio Marista Frei Rogério - Recanto Marista</v>
          </cell>
          <cell r="D285" t="str">
            <v>UNIÃO CATARINENSE DE EDUCAÇÃO - UCE</v>
          </cell>
          <cell r="E285" t="str">
            <v>UNIÃO CATARINENSE DE EDUCAÇÃO - UCE</v>
          </cell>
          <cell r="F285" t="str">
            <v>Próprio</v>
          </cell>
          <cell r="G285" t="str">
            <v>Chácara/Recanto/Fazenda</v>
          </cell>
          <cell r="H285"/>
          <cell r="I285" t="str">
            <v>Imobiliário</v>
          </cell>
          <cell r="J285" t="str">
            <v>Colônia Erval - Lageado Leãozinho - Linha Duas Casas</v>
          </cell>
          <cell r="K285">
            <v>0</v>
          </cell>
          <cell r="L285"/>
          <cell r="M285"/>
          <cell r="N285" t="str">
            <v>Joaçaba</v>
          </cell>
          <cell r="O285" t="str">
            <v>Santa Catarina</v>
          </cell>
          <cell r="P285" t="str">
            <v>Brasil</v>
          </cell>
          <cell r="Q285"/>
        </row>
        <row r="286">
          <cell r="A286">
            <v>3682</v>
          </cell>
          <cell r="B286" t="str">
            <v>Rua Aquidabam, 238Glória</v>
          </cell>
          <cell r="C286" t="str">
            <v>Rua Aquidabam</v>
          </cell>
          <cell r="D286" t="str">
            <v>ASSOCIAÇÃO BRASILEIRA DE EDUCAÇÃO E CULTURA - ABEC</v>
          </cell>
          <cell r="E286" t="str">
            <v>ASSOCIAÇÃO BRASILEIRA DE EDUCAÇÃO E CULTURA - ABEC</v>
          </cell>
          <cell r="F286" t="str">
            <v>Próprio</v>
          </cell>
          <cell r="G286" t="str">
            <v>Lote / Terreno</v>
          </cell>
          <cell r="H286"/>
          <cell r="I286" t="str">
            <v>Imobiliário</v>
          </cell>
          <cell r="J286" t="str">
            <v>Rua Aquidabam, 238</v>
          </cell>
          <cell r="K286">
            <v>0</v>
          </cell>
          <cell r="L286"/>
          <cell r="M286" t="str">
            <v>Glória</v>
          </cell>
          <cell r="N286" t="str">
            <v>Joinville</v>
          </cell>
          <cell r="O286" t="str">
            <v>Santa Catarina</v>
          </cell>
          <cell r="P286" t="str">
            <v>Brasil</v>
          </cell>
          <cell r="Q286"/>
        </row>
        <row r="287">
          <cell r="A287">
            <v>96536</v>
          </cell>
          <cell r="B287" t="str">
            <v>Rua Benjamin ConstantAmérica</v>
          </cell>
          <cell r="C287" t="str">
            <v>Rua Benjamin Constant</v>
          </cell>
          <cell r="D287" t="str">
            <v>ASSOCIAÇÃO BRASILEIRA DE EDUCAÇÃO E CULTURA - ABEC</v>
          </cell>
          <cell r="E287" t="str">
            <v>ASSOCIAÇÃO BRASILEIRA DE EDUCAÇÃO E CULTURA - ABEC</v>
          </cell>
          <cell r="F287" t="str">
            <v>Próprio</v>
          </cell>
          <cell r="G287" t="str">
            <v>Lote / Terreno</v>
          </cell>
          <cell r="H287"/>
          <cell r="I287" t="str">
            <v>Imobiliário</v>
          </cell>
          <cell r="J287" t="str">
            <v>Rua Benjamin Constant</v>
          </cell>
          <cell r="K287">
            <v>0</v>
          </cell>
          <cell r="L287"/>
          <cell r="M287" t="str">
            <v>América</v>
          </cell>
          <cell r="N287" t="str">
            <v>Joinville</v>
          </cell>
          <cell r="O287" t="str">
            <v>Santa Catarina</v>
          </cell>
          <cell r="P287" t="str">
            <v>Brasil</v>
          </cell>
          <cell r="Q287"/>
        </row>
        <row r="288">
          <cell r="A288">
            <v>65913</v>
          </cell>
          <cell r="B288" t="str">
            <v>Avenida dos Expedicionários, nº 1900Gleba Cafesal - Fazenda Palhano</v>
          </cell>
          <cell r="C288" t="str">
            <v>Recanto Marista - Colégio Marista de Londrina</v>
          </cell>
          <cell r="D288" t="str">
            <v>ASSOCIAÇÃO BRASILEIRA DE EDUCAÇÃO E CULTURA - ABEC</v>
          </cell>
          <cell r="E288" t="str">
            <v>ASSOCIAÇÃO BRASILEIRA DE EDUCAÇÃO E CULTURA - ABEC</v>
          </cell>
          <cell r="F288" t="str">
            <v>Próprio</v>
          </cell>
          <cell r="G288" t="str">
            <v>Chácara/Recanto/Fazenda</v>
          </cell>
          <cell r="H288"/>
          <cell r="I288" t="str">
            <v>Imobiliário</v>
          </cell>
          <cell r="J288" t="str">
            <v>Avenida dos Expedicionários, nº 1900</v>
          </cell>
          <cell r="K288">
            <v>0</v>
          </cell>
          <cell r="L288"/>
          <cell r="M288" t="str">
            <v>Gleba Cafesal - Fazenda Palhano</v>
          </cell>
          <cell r="N288" t="str">
            <v>Londrina</v>
          </cell>
          <cell r="O288" t="str">
            <v>Paraná</v>
          </cell>
          <cell r="P288" t="str">
            <v>Brasil</v>
          </cell>
          <cell r="Q288"/>
        </row>
        <row r="289">
          <cell r="A289">
            <v>0</v>
          </cell>
          <cell r="B289" t="str">
            <v>Avenida Maringá, nº 78Jardim Bancários</v>
          </cell>
          <cell r="C289" t="str">
            <v>Colégio Marista de Londrina</v>
          </cell>
          <cell r="D289" t="str">
            <v>ASSOCIAÇÃO BRASILEIRA DE EDUCAÇÃO E CULTURA - ABEC</v>
          </cell>
          <cell r="E289" t="str">
            <v>ASSOCIAÇÃO BRASILEIRA DE EDUCAÇÃO E CULTURA - ABEC</v>
          </cell>
          <cell r="F289" t="str">
            <v>Próprio</v>
          </cell>
          <cell r="G289" t="str">
            <v>Edificado - Operacional</v>
          </cell>
          <cell r="H289"/>
          <cell r="I289" t="str">
            <v>Imobiliário</v>
          </cell>
          <cell r="J289" t="str">
            <v>Avenida Maringá, nº 78</v>
          </cell>
          <cell r="K289">
            <v>0</v>
          </cell>
          <cell r="L289"/>
          <cell r="M289" t="str">
            <v>Jardim Bancários</v>
          </cell>
          <cell r="N289" t="str">
            <v>Londrina</v>
          </cell>
          <cell r="O289" t="str">
            <v>Paraná</v>
          </cell>
          <cell r="P289" t="str">
            <v>Brasil</v>
          </cell>
          <cell r="Q289"/>
        </row>
        <row r="290">
          <cell r="A290">
            <v>10821</v>
          </cell>
          <cell r="B290" t="str">
            <v>Avenida Maringá, nº 78Jardim Bancários</v>
          </cell>
          <cell r="C290" t="str">
            <v>Colégio Marista de Londrina</v>
          </cell>
          <cell r="D290" t="str">
            <v>ASSOCIAÇÃO BRASILEIRA DE EDUCAÇÃO E CULTURA - ABEC</v>
          </cell>
          <cell r="E290" t="str">
            <v>ASSOCIAÇÃO BRASILEIRA DE EDUCAÇÃO E CULTURA - ABEC</v>
          </cell>
          <cell r="F290" t="str">
            <v>Próprio</v>
          </cell>
          <cell r="G290" t="str">
            <v>Edificado - Operacional</v>
          </cell>
          <cell r="H290"/>
          <cell r="I290" t="str">
            <v>Imobiliário</v>
          </cell>
          <cell r="J290" t="str">
            <v>Avenida Maringá, nº 78</v>
          </cell>
          <cell r="K290">
            <v>0</v>
          </cell>
          <cell r="L290"/>
          <cell r="M290" t="str">
            <v>Jardim Bancários</v>
          </cell>
          <cell r="N290" t="str">
            <v>Londrina</v>
          </cell>
          <cell r="O290" t="str">
            <v>Paraná</v>
          </cell>
          <cell r="P290" t="str">
            <v>Brasil</v>
          </cell>
          <cell r="Q290"/>
        </row>
        <row r="291">
          <cell r="A291">
            <v>10587</v>
          </cell>
          <cell r="B291" t="str">
            <v>Avenida Maringá, nº 78Jardim Bancários</v>
          </cell>
          <cell r="C291" t="str">
            <v>Colégio Marista de Londrina</v>
          </cell>
          <cell r="D291" t="str">
            <v>ASSOCIAÇÃO BRASILEIRA DE EDUCAÇÃO E CULTURA - ABEC</v>
          </cell>
          <cell r="E291" t="str">
            <v>ASSOCIAÇÃO BRASILEIRA DE EDUCAÇÃO E CULTURA - ABEC</v>
          </cell>
          <cell r="F291" t="str">
            <v>Próprio</v>
          </cell>
          <cell r="G291" t="str">
            <v>Edificado - Operacional</v>
          </cell>
          <cell r="H291"/>
          <cell r="I291" t="str">
            <v>Imobiliário</v>
          </cell>
          <cell r="J291" t="str">
            <v>Avenida Maringá, nº 78</v>
          </cell>
          <cell r="K291">
            <v>0</v>
          </cell>
          <cell r="L291"/>
          <cell r="M291" t="str">
            <v>Jardim Bancários</v>
          </cell>
          <cell r="N291" t="str">
            <v>Londrina</v>
          </cell>
          <cell r="O291" t="str">
            <v>Paraná</v>
          </cell>
          <cell r="P291" t="str">
            <v>Brasil</v>
          </cell>
          <cell r="Q291"/>
        </row>
        <row r="292">
          <cell r="A292">
            <v>11679</v>
          </cell>
          <cell r="B292" t="str">
            <v>Avenida Maringá, nº 78Jardim Bancários</v>
          </cell>
          <cell r="C292" t="str">
            <v>Colégio Marista de Londrina</v>
          </cell>
          <cell r="D292" t="str">
            <v>ASSOCIAÇÃO BRASILEIRA DE EDUCAÇÃO E CULTURA - ABEC</v>
          </cell>
          <cell r="E292" t="str">
            <v>ASSOCIAÇÃO BRASILEIRA DE EDUCAÇÃO E CULTURA - ABEC</v>
          </cell>
          <cell r="F292" t="str">
            <v>Próprio</v>
          </cell>
          <cell r="G292" t="str">
            <v>Edificado - Operacional</v>
          </cell>
          <cell r="H292"/>
          <cell r="I292" t="str">
            <v>Imobiliário</v>
          </cell>
          <cell r="J292" t="str">
            <v>Avenida Maringá, nº 78</v>
          </cell>
          <cell r="K292">
            <v>0</v>
          </cell>
          <cell r="L292"/>
          <cell r="M292" t="str">
            <v>Jardim Bancários</v>
          </cell>
          <cell r="N292" t="str">
            <v>Londrina</v>
          </cell>
          <cell r="O292" t="str">
            <v>Paraná</v>
          </cell>
          <cell r="P292" t="str">
            <v>Brasil</v>
          </cell>
          <cell r="Q292"/>
        </row>
        <row r="293">
          <cell r="A293">
            <v>15190</v>
          </cell>
          <cell r="B293" t="str">
            <v>Avenida Maringá, nº 78Jardim Bancários</v>
          </cell>
          <cell r="C293" t="str">
            <v>Colégio Marista de Londrina</v>
          </cell>
          <cell r="D293" t="str">
            <v>ASSOCIAÇÃO BRASILEIRA DE EDUCAÇÃO E CULTURA - ABEC</v>
          </cell>
          <cell r="E293" t="str">
            <v>ASSOCIAÇÃO BRASILEIRA DE EDUCAÇÃO E CULTURA - ABEC</v>
          </cell>
          <cell r="F293" t="str">
            <v>Próprio</v>
          </cell>
          <cell r="G293" t="str">
            <v>Edificado - Operacional</v>
          </cell>
          <cell r="H293"/>
          <cell r="I293" t="str">
            <v>Imobiliário</v>
          </cell>
          <cell r="J293" t="str">
            <v>Avenida Maringá, nº 78</v>
          </cell>
          <cell r="K293">
            <v>0</v>
          </cell>
          <cell r="L293"/>
          <cell r="M293" t="str">
            <v>Jardim Bancários</v>
          </cell>
          <cell r="N293" t="str">
            <v>Londrina</v>
          </cell>
          <cell r="O293" t="str">
            <v>Paraná</v>
          </cell>
          <cell r="P293" t="str">
            <v>Brasil</v>
          </cell>
          <cell r="Q293"/>
        </row>
        <row r="294">
          <cell r="A294">
            <v>15336</v>
          </cell>
          <cell r="B294" t="str">
            <v>Avenida Maringá, nº 78Jardim Bancários</v>
          </cell>
          <cell r="C294" t="str">
            <v>Colégio Marista de Londrina</v>
          </cell>
          <cell r="D294" t="str">
            <v>ASSOCIAÇÃO BRASILEIRA DE EDUCAÇÃO E CULTURA - ABEC</v>
          </cell>
          <cell r="E294" t="str">
            <v>ASSOCIAÇÃO BRASILEIRA DE EDUCAÇÃO E CULTURA - ABEC</v>
          </cell>
          <cell r="F294" t="str">
            <v>Próprio</v>
          </cell>
          <cell r="G294" t="str">
            <v>Edificado - Operacional</v>
          </cell>
          <cell r="H294"/>
          <cell r="I294" t="str">
            <v>Imobiliário</v>
          </cell>
          <cell r="J294" t="str">
            <v>Avenida Maringá, nº 78</v>
          </cell>
          <cell r="K294">
            <v>0</v>
          </cell>
          <cell r="L294"/>
          <cell r="M294" t="str">
            <v>Jardim Bancários</v>
          </cell>
          <cell r="N294" t="str">
            <v>Londrina</v>
          </cell>
          <cell r="O294" t="str">
            <v>Paraná</v>
          </cell>
          <cell r="P294" t="str">
            <v>Brasil</v>
          </cell>
          <cell r="Q294"/>
        </row>
        <row r="295">
          <cell r="A295">
            <v>4465</v>
          </cell>
          <cell r="B295" t="str">
            <v>Avenida Maringá, nº 78Jardim Bancários</v>
          </cell>
          <cell r="C295" t="str">
            <v>Colégio Marista de Londrina</v>
          </cell>
          <cell r="D295" t="str">
            <v>ASSOCIAÇÃO BRASILEIRA DE EDUCAÇÃO E CULTURA - ABEC</v>
          </cell>
          <cell r="E295" t="str">
            <v>ASSOCIAÇÃO BRASILEIRA DE EDUCAÇÃO E CULTURA - ABEC</v>
          </cell>
          <cell r="F295" t="str">
            <v>Próprio</v>
          </cell>
          <cell r="G295" t="str">
            <v>Edificado - Operacional</v>
          </cell>
          <cell r="H295"/>
          <cell r="I295" t="str">
            <v>Imobiliário</v>
          </cell>
          <cell r="J295" t="str">
            <v>Avenida Maringá, nº 78</v>
          </cell>
          <cell r="K295">
            <v>0</v>
          </cell>
          <cell r="L295"/>
          <cell r="M295" t="str">
            <v>Jardim Bancários</v>
          </cell>
          <cell r="N295" t="str">
            <v>Londrina</v>
          </cell>
          <cell r="O295" t="str">
            <v>Paraná</v>
          </cell>
          <cell r="P295" t="str">
            <v>Brasil</v>
          </cell>
          <cell r="Q295"/>
        </row>
        <row r="296">
          <cell r="A296">
            <v>44957</v>
          </cell>
          <cell r="B296" t="str">
            <v>Avenida Maringá, nº 78Jardim Bancários</v>
          </cell>
          <cell r="C296" t="str">
            <v>Colégio Marista de Londrina</v>
          </cell>
          <cell r="D296" t="str">
            <v>ASSOCIAÇÃO BRASILEIRA DE EDUCAÇÃO E CULTURA - ABEC</v>
          </cell>
          <cell r="E296" t="str">
            <v>ASSOCIAÇÃO BRASILEIRA DE EDUCAÇÃO E CULTURA - ABEC</v>
          </cell>
          <cell r="F296" t="str">
            <v>Próprio</v>
          </cell>
          <cell r="G296" t="str">
            <v>Edificado - Operacional</v>
          </cell>
          <cell r="H296"/>
          <cell r="I296" t="str">
            <v>Imobiliário</v>
          </cell>
          <cell r="J296" t="str">
            <v>Avenida Maringá, nº 78</v>
          </cell>
          <cell r="K296">
            <v>0</v>
          </cell>
          <cell r="L296"/>
          <cell r="M296" t="str">
            <v>Jardim Bancários</v>
          </cell>
          <cell r="N296" t="str">
            <v>Londrina</v>
          </cell>
          <cell r="O296" t="str">
            <v>Paraná</v>
          </cell>
          <cell r="P296" t="str">
            <v>Brasil</v>
          </cell>
          <cell r="Q296"/>
        </row>
        <row r="297">
          <cell r="A297">
            <v>45146</v>
          </cell>
          <cell r="B297" t="str">
            <v>Avenida Maringá, nº 78Jardim Bancários</v>
          </cell>
          <cell r="C297" t="str">
            <v>Colégio Marista de Londrina</v>
          </cell>
          <cell r="D297" t="str">
            <v>ASSOCIAÇÃO BRASILEIRA DE EDUCAÇÃO E CULTURA - ABEC</v>
          </cell>
          <cell r="E297" t="str">
            <v>ASSOCIAÇÃO BRASILEIRA DE EDUCAÇÃO E CULTURA - ABEC</v>
          </cell>
          <cell r="F297" t="str">
            <v>Próprio</v>
          </cell>
          <cell r="G297" t="str">
            <v>Edificado - Operacional</v>
          </cell>
          <cell r="H297"/>
          <cell r="I297" t="str">
            <v>Imobiliário</v>
          </cell>
          <cell r="J297" t="str">
            <v>Avenida Maringá, nº 78</v>
          </cell>
          <cell r="K297">
            <v>0</v>
          </cell>
          <cell r="L297"/>
          <cell r="M297" t="str">
            <v>Jardim Bancários</v>
          </cell>
          <cell r="N297" t="str">
            <v>Londrina</v>
          </cell>
          <cell r="O297" t="str">
            <v>Paraná</v>
          </cell>
          <cell r="P297" t="str">
            <v>Brasil</v>
          </cell>
          <cell r="Q297"/>
        </row>
        <row r="298">
          <cell r="A298">
            <v>49751</v>
          </cell>
          <cell r="B298" t="str">
            <v>Avenida Maringá, nº 78Jardim Bancários</v>
          </cell>
          <cell r="C298" t="str">
            <v>Colégio Marista de Londrina</v>
          </cell>
          <cell r="D298" t="str">
            <v>ASSOCIAÇÃO BRASILEIRA DE EDUCAÇÃO E CULTURA - ABEC</v>
          </cell>
          <cell r="E298" t="str">
            <v>ASSOCIAÇÃO BRASILEIRA DE EDUCAÇÃO E CULTURA - ABEC</v>
          </cell>
          <cell r="F298" t="str">
            <v>Próprio</v>
          </cell>
          <cell r="G298" t="str">
            <v>Edificado - Operacional</v>
          </cell>
          <cell r="H298"/>
          <cell r="I298" t="str">
            <v>Imobiliário</v>
          </cell>
          <cell r="J298" t="str">
            <v>Avenida Maringá, nº 78</v>
          </cell>
          <cell r="K298">
            <v>0</v>
          </cell>
          <cell r="L298"/>
          <cell r="M298" t="str">
            <v>Jardim Bancários</v>
          </cell>
          <cell r="N298" t="str">
            <v>Londrina</v>
          </cell>
          <cell r="O298" t="str">
            <v>Paraná</v>
          </cell>
          <cell r="P298" t="str">
            <v>Brasil</v>
          </cell>
          <cell r="Q298"/>
        </row>
        <row r="299">
          <cell r="A299">
            <v>49752</v>
          </cell>
          <cell r="B299" t="str">
            <v>Avenida Maringá, nº 78Jardim Bancários</v>
          </cell>
          <cell r="C299" t="str">
            <v>Colégio Marista de Londrina</v>
          </cell>
          <cell r="D299" t="str">
            <v>ASSOCIAÇÃO BRASILEIRA DE EDUCAÇÃO E CULTURA - ABEC</v>
          </cell>
          <cell r="E299" t="str">
            <v>ASSOCIAÇÃO BRASILEIRA DE EDUCAÇÃO E CULTURA - ABEC</v>
          </cell>
          <cell r="F299" t="str">
            <v>Próprio</v>
          </cell>
          <cell r="G299" t="str">
            <v>Edificado - Operacional</v>
          </cell>
          <cell r="H299"/>
          <cell r="I299" t="str">
            <v>Imobiliário</v>
          </cell>
          <cell r="J299" t="str">
            <v>Avenida Maringá, nº 78</v>
          </cell>
          <cell r="K299">
            <v>0</v>
          </cell>
          <cell r="L299"/>
          <cell r="M299" t="str">
            <v>Jardim Bancários</v>
          </cell>
          <cell r="N299" t="str">
            <v>Londrina</v>
          </cell>
          <cell r="O299" t="str">
            <v>Paraná</v>
          </cell>
          <cell r="P299" t="str">
            <v>Brasil</v>
          </cell>
          <cell r="Q299"/>
        </row>
        <row r="300">
          <cell r="A300">
            <v>6207</v>
          </cell>
          <cell r="B300" t="str">
            <v>Avenida Maringá, nº 78Jardim Bancários</v>
          </cell>
          <cell r="C300" t="str">
            <v>Colégio Marista de Londrina</v>
          </cell>
          <cell r="D300" t="str">
            <v>ASSOCIAÇÃO BRASILEIRA DE EDUCAÇÃO E CULTURA - ABEC</v>
          </cell>
          <cell r="E300" t="str">
            <v>ASSOCIAÇÃO BRASILEIRA DE EDUCAÇÃO E CULTURA - ABEC</v>
          </cell>
          <cell r="F300" t="str">
            <v>Próprio</v>
          </cell>
          <cell r="G300" t="str">
            <v>Edificado - Operacional</v>
          </cell>
          <cell r="H300"/>
          <cell r="I300" t="str">
            <v>Imobiliário</v>
          </cell>
          <cell r="J300" t="str">
            <v>Avenida Maringá, nº 78</v>
          </cell>
          <cell r="K300">
            <v>0</v>
          </cell>
          <cell r="L300"/>
          <cell r="M300" t="str">
            <v>Jardim Bancários</v>
          </cell>
          <cell r="N300" t="str">
            <v>Londrina</v>
          </cell>
          <cell r="O300" t="str">
            <v>Paraná</v>
          </cell>
          <cell r="P300" t="str">
            <v>Brasil</v>
          </cell>
          <cell r="Q300"/>
        </row>
        <row r="301">
          <cell r="A301">
            <v>42914</v>
          </cell>
          <cell r="B301" t="str">
            <v>Rua Nossa Senhora do Socorro - Lotes 33 e 34Conj Habitacional</v>
          </cell>
          <cell r="C301" t="str">
            <v>Londrina - 02 Terrenos</v>
          </cell>
          <cell r="D301" t="str">
            <v>ASSOCIAÇÃO BRASILEIRA DE EDUCAÇÃO E CULTURA - ABEC</v>
          </cell>
          <cell r="E301" t="str">
            <v>ASSOCIAÇÃO BRASILEIRA DE EDUCAÇÃO E CULTURA - ABEC</v>
          </cell>
          <cell r="F301" t="str">
            <v>Próprio</v>
          </cell>
          <cell r="G301" t="str">
            <v>Lotes / Terrenos</v>
          </cell>
          <cell r="H301"/>
          <cell r="I301" t="str">
            <v>Imobiliário</v>
          </cell>
          <cell r="J301" t="str">
            <v>Rua Nossa Senhora do Socorro - Lotes 33 e 34</v>
          </cell>
          <cell r="K301">
            <v>0</v>
          </cell>
          <cell r="L301"/>
          <cell r="M301" t="str">
            <v>Conj Habitacional</v>
          </cell>
          <cell r="N301" t="str">
            <v>Londrina</v>
          </cell>
          <cell r="O301" t="str">
            <v>Paraná</v>
          </cell>
          <cell r="P301" t="str">
            <v>Brasil</v>
          </cell>
          <cell r="Q301"/>
        </row>
        <row r="302">
          <cell r="A302">
            <v>50102</v>
          </cell>
          <cell r="B302" t="str">
            <v>Rua Nossa Senhora do Socorro - Lotes 33 e 34Conj Habitacional</v>
          </cell>
          <cell r="C302" t="str">
            <v>Londrina - 02 Terrenos</v>
          </cell>
          <cell r="D302" t="str">
            <v>ASSOCIAÇÃO BRASILEIRA DE EDUCAÇÃO E CULTURA - ABEC</v>
          </cell>
          <cell r="E302" t="str">
            <v>ASSOCIAÇÃO BRASILEIRA DE EDUCAÇÃO E CULTURA - ABEC</v>
          </cell>
          <cell r="F302" t="str">
            <v>Próprio</v>
          </cell>
          <cell r="G302" t="str">
            <v>Lotes / Terrenos</v>
          </cell>
          <cell r="H302"/>
          <cell r="I302" t="str">
            <v>Imobiliário</v>
          </cell>
          <cell r="J302" t="str">
            <v>Rua Nossa Senhora do Socorro - Lotes 33 e 34</v>
          </cell>
          <cell r="K302">
            <v>0</v>
          </cell>
          <cell r="L302"/>
          <cell r="M302" t="str">
            <v>Conj Habitacional</v>
          </cell>
          <cell r="N302" t="str">
            <v>Londrina</v>
          </cell>
          <cell r="O302" t="str">
            <v>Paraná</v>
          </cell>
          <cell r="P302" t="str">
            <v>Brasil</v>
          </cell>
          <cell r="Q302"/>
        </row>
        <row r="303">
          <cell r="A303">
            <v>10541</v>
          </cell>
          <cell r="B303" t="str">
            <v>Rua Padre Marcelino Champagnat, nº 130Zona 2</v>
          </cell>
          <cell r="C303" t="str">
            <v>Colégio Marista de Maringa</v>
          </cell>
          <cell r="D303" t="str">
            <v>ASSOCIAÇÃO BRASILEIRA DE EDUCAÇÃO E CULTURA - ABEC</v>
          </cell>
          <cell r="E303" t="str">
            <v>ASSOCIAÇÃO BRASILEIRA DE EDUCAÇÃO E CULTURA - ABEC</v>
          </cell>
          <cell r="F303" t="str">
            <v>Próprio</v>
          </cell>
          <cell r="G303" t="str">
            <v>Edificado - Operacional</v>
          </cell>
          <cell r="H303"/>
          <cell r="I303" t="str">
            <v>Imobiliário</v>
          </cell>
          <cell r="J303" t="str">
            <v>Rua Padre Marcelino Champagnat, nº 130</v>
          </cell>
          <cell r="K303">
            <v>0</v>
          </cell>
          <cell r="L303"/>
          <cell r="M303" t="str">
            <v>Zona 2</v>
          </cell>
          <cell r="N303" t="str">
            <v>Maringá</v>
          </cell>
          <cell r="O303" t="str">
            <v>Paraná</v>
          </cell>
          <cell r="P303" t="str">
            <v>Brasil</v>
          </cell>
          <cell r="Q303"/>
        </row>
        <row r="304">
          <cell r="A304">
            <v>3467</v>
          </cell>
          <cell r="B304" t="str">
            <v>Rua Vaz Caminha, nº 85Zona 02</v>
          </cell>
          <cell r="C304" t="str">
            <v>Residência Marista de Maringá</v>
          </cell>
          <cell r="D304" t="str">
            <v>ASSOCIAÇÃO BRASILEIRA DE EDUCAÇÃO E CULTURA - ABEC</v>
          </cell>
          <cell r="E304" t="str">
            <v>ASSOCIAÇÃO BRASILEIRA DE EDUCAÇÃO E CULTURA - ABEC</v>
          </cell>
          <cell r="F304" t="str">
            <v>Próprio</v>
          </cell>
          <cell r="G304" t="str">
            <v>Edificado - Operacional</v>
          </cell>
          <cell r="H304"/>
          <cell r="I304" t="str">
            <v>Imobiliário</v>
          </cell>
          <cell r="J304" t="str">
            <v>Rua Vaz Caminha, nº 85</v>
          </cell>
          <cell r="K304">
            <v>0</v>
          </cell>
          <cell r="L304"/>
          <cell r="M304" t="str">
            <v>Zona 02</v>
          </cell>
          <cell r="N304" t="str">
            <v>Maringá</v>
          </cell>
          <cell r="O304" t="str">
            <v>Paraná</v>
          </cell>
          <cell r="P304" t="str">
            <v>Brasil</v>
          </cell>
          <cell r="Q304"/>
        </row>
        <row r="305">
          <cell r="A305">
            <v>17931</v>
          </cell>
          <cell r="B305" t="str">
            <v>Rua João Ritter - Edif Valfiori - Aptos 201 e 204Balneário</v>
          </cell>
          <cell r="C305" t="str">
            <v>Apartamentos Piratuba</v>
          </cell>
          <cell r="D305" t="str">
            <v>ASSOCIAÇÃO BRASILEIRA DE EDUCAÇÃO E CULTURA - ABEC</v>
          </cell>
          <cell r="E305" t="str">
            <v>ASSOCIAÇÃO BRASILEIRA DE EDUCAÇÃO E CULTURA - ABEC</v>
          </cell>
          <cell r="F305" t="str">
            <v>Próprio</v>
          </cell>
          <cell r="G305" t="str">
            <v>Edificado</v>
          </cell>
          <cell r="H305"/>
          <cell r="I305" t="str">
            <v>Imobiliário</v>
          </cell>
          <cell r="J305" t="str">
            <v>Rua João Ritter - Edif Valfiori - Aptos 201 e 204</v>
          </cell>
          <cell r="K305">
            <v>0</v>
          </cell>
          <cell r="L305"/>
          <cell r="M305" t="str">
            <v>Balneário</v>
          </cell>
          <cell r="N305" t="str">
            <v>Piratuba</v>
          </cell>
          <cell r="O305" t="str">
            <v>Santa Catarina</v>
          </cell>
          <cell r="P305" t="str">
            <v>Brasil</v>
          </cell>
          <cell r="Q305"/>
        </row>
        <row r="306">
          <cell r="A306">
            <v>17934</v>
          </cell>
          <cell r="B306" t="str">
            <v>Rua João Ritter - Edif Valfiori - Aptos 201 e 204Balneário</v>
          </cell>
          <cell r="C306" t="str">
            <v>Apartamentos Piratuba</v>
          </cell>
          <cell r="D306" t="str">
            <v>ASSOCIAÇÃO BRASILEIRA DE EDUCAÇÃO E CULTURA - ABEC</v>
          </cell>
          <cell r="E306" t="str">
            <v>ASSOCIAÇÃO BRASILEIRA DE EDUCAÇÃO E CULTURA - ABEC</v>
          </cell>
          <cell r="F306" t="str">
            <v>Próprio</v>
          </cell>
          <cell r="G306" t="str">
            <v>Edificado</v>
          </cell>
          <cell r="H306"/>
          <cell r="I306" t="str">
            <v>Imobiliário</v>
          </cell>
          <cell r="J306" t="str">
            <v>Rua João Ritter - Edif Valfiori - Aptos 201 e 204</v>
          </cell>
          <cell r="K306">
            <v>0</v>
          </cell>
          <cell r="L306"/>
          <cell r="M306" t="str">
            <v>Balneário</v>
          </cell>
          <cell r="N306" t="str">
            <v>Piratuba</v>
          </cell>
          <cell r="O306" t="str">
            <v>Santa Catarina</v>
          </cell>
          <cell r="P306" t="str">
            <v>Brasil</v>
          </cell>
          <cell r="Q306"/>
        </row>
        <row r="307">
          <cell r="A307">
            <v>33748</v>
          </cell>
          <cell r="B307" t="str">
            <v>Avenida Israel, nº 54Jd. Santa Mônica</v>
          </cell>
          <cell r="C307" t="str">
            <v>Comunidade Marista Santa Mônica</v>
          </cell>
          <cell r="D307" t="str">
            <v>ASSOCIAÇÃO BRASILEIRA DE EDUCAÇÃO E CULTURA - ABEC</v>
          </cell>
          <cell r="E307" t="str">
            <v>ASSOCIAÇÃO BRASILEIRA DE EDUCAÇÃO E CULTURA - ABEC</v>
          </cell>
          <cell r="F307" t="str">
            <v>Próprio</v>
          </cell>
          <cell r="G307" t="str">
            <v>Edificado - Operacional</v>
          </cell>
          <cell r="H307"/>
          <cell r="I307" t="str">
            <v>Imobiliário</v>
          </cell>
          <cell r="J307" t="str">
            <v>Avenida Israel, nº 54</v>
          </cell>
          <cell r="K307">
            <v>0</v>
          </cell>
          <cell r="L307"/>
          <cell r="M307" t="str">
            <v>Jd. Santa Mônica</v>
          </cell>
          <cell r="N307" t="str">
            <v>Ponta Grossa</v>
          </cell>
          <cell r="O307" t="str">
            <v>Paraná</v>
          </cell>
          <cell r="P307" t="str">
            <v>Brasil</v>
          </cell>
          <cell r="Q307"/>
        </row>
        <row r="308">
          <cell r="A308">
            <v>37756</v>
          </cell>
          <cell r="B308" t="str">
            <v>Avenida Israel, nº 54Jd. Santa Mônica</v>
          </cell>
          <cell r="C308" t="str">
            <v>Comunidade Marista Santa Mônica</v>
          </cell>
          <cell r="D308" t="str">
            <v>ASSOCIAÇÃO BRASILEIRA DE EDUCAÇÃO E CULTURA - ABEC</v>
          </cell>
          <cell r="E308" t="str">
            <v>ASSOCIAÇÃO BRASILEIRA DE EDUCAÇÃO E CULTURA - ABEC</v>
          </cell>
          <cell r="F308" t="str">
            <v>Próprio</v>
          </cell>
          <cell r="G308" t="str">
            <v>Edificado - Operacional</v>
          </cell>
          <cell r="H308"/>
          <cell r="I308" t="str">
            <v>Imobiliário</v>
          </cell>
          <cell r="J308" t="str">
            <v>Avenida Israel, nº 54</v>
          </cell>
          <cell r="K308">
            <v>0</v>
          </cell>
          <cell r="L308"/>
          <cell r="M308" t="str">
            <v>Jd. Santa Mônica</v>
          </cell>
          <cell r="N308" t="str">
            <v>Ponta Grossa</v>
          </cell>
          <cell r="O308" t="str">
            <v>Paraná</v>
          </cell>
          <cell r="P308" t="str">
            <v>Brasil</v>
          </cell>
          <cell r="Q308"/>
        </row>
        <row r="309">
          <cell r="A309">
            <v>38114</v>
          </cell>
          <cell r="B309" t="str">
            <v>Avenida Israel, nº 54Jd. Santa Mônica</v>
          </cell>
          <cell r="C309" t="str">
            <v>Comunidade Marista Santa Mônica</v>
          </cell>
          <cell r="D309" t="str">
            <v>ASSOCIAÇÃO BRASILEIRA DE EDUCAÇÃO E CULTURA - ABEC</v>
          </cell>
          <cell r="E309" t="str">
            <v>ASSOCIAÇÃO BRASILEIRA DE EDUCAÇÃO E CULTURA - ABEC</v>
          </cell>
          <cell r="F309" t="str">
            <v>Próprio</v>
          </cell>
          <cell r="G309" t="str">
            <v>Edificado - Operacional</v>
          </cell>
          <cell r="H309"/>
          <cell r="I309" t="str">
            <v>Imobiliário</v>
          </cell>
          <cell r="J309" t="str">
            <v>Avenida Israel, nº 54</v>
          </cell>
          <cell r="K309">
            <v>0</v>
          </cell>
          <cell r="L309"/>
          <cell r="M309" t="str">
            <v>Jd. Santa Mônica</v>
          </cell>
          <cell r="N309" t="str">
            <v>Ponta Grossa</v>
          </cell>
          <cell r="O309" t="str">
            <v>Paraná</v>
          </cell>
          <cell r="P309" t="str">
            <v>Brasil</v>
          </cell>
          <cell r="Q309"/>
        </row>
        <row r="310">
          <cell r="A310">
            <v>35714</v>
          </cell>
          <cell r="B310" t="str">
            <v>Rua Rodrigues Albes, nº 701Jd. Carvalho</v>
          </cell>
          <cell r="C310" t="str">
            <v>Colégio Marista Pio XII</v>
          </cell>
          <cell r="D310" t="str">
            <v>ASSOCIAÇÃO BRASILEIRA DE EDUCAÇÃO E CULTURA - ABEC</v>
          </cell>
          <cell r="E310" t="str">
            <v>ASSOCIAÇÃO BRASILEIRA DE EDUCAÇÃO E CULTURA - ABEC</v>
          </cell>
          <cell r="F310" t="str">
            <v>Próprio</v>
          </cell>
          <cell r="G310" t="str">
            <v>Edificado - Operacional</v>
          </cell>
          <cell r="H310"/>
          <cell r="I310" t="str">
            <v>Imobiliário</v>
          </cell>
          <cell r="J310" t="str">
            <v>Rua Rodrigues Albes, nº 701</v>
          </cell>
          <cell r="K310">
            <v>0</v>
          </cell>
          <cell r="L310"/>
          <cell r="M310" t="str">
            <v>Jd. Carvalho</v>
          </cell>
          <cell r="N310" t="str">
            <v>Ponta Grossa</v>
          </cell>
          <cell r="O310" t="str">
            <v>Paraná</v>
          </cell>
          <cell r="P310" t="str">
            <v>Brasil</v>
          </cell>
          <cell r="Q310"/>
        </row>
        <row r="311">
          <cell r="A311">
            <v>20778</v>
          </cell>
          <cell r="B311" t="str">
            <v>Rua Rodrigues Albes, nº 701Jd. Carvalho</v>
          </cell>
          <cell r="C311" t="str">
            <v>Colégio Marista Pio XII</v>
          </cell>
          <cell r="D311" t="str">
            <v>ASSOCIAÇÃO BRASILEIRA DE EDUCAÇÃO E CULTURA - ABEC</v>
          </cell>
          <cell r="E311" t="str">
            <v>ASSOCIAÇÃO BRASILEIRA DE EDUCAÇÃO E CULTURA - ABEC</v>
          </cell>
          <cell r="F311" t="str">
            <v>Próprio</v>
          </cell>
          <cell r="G311" t="str">
            <v>Edificado - Operacional</v>
          </cell>
          <cell r="H311"/>
          <cell r="I311" t="str">
            <v>Imobiliário</v>
          </cell>
          <cell r="J311" t="str">
            <v>Rua Rodrigues Albes, nº 701</v>
          </cell>
          <cell r="K311">
            <v>0</v>
          </cell>
          <cell r="L311"/>
          <cell r="M311" t="str">
            <v>Jd. Carvalho</v>
          </cell>
          <cell r="N311" t="str">
            <v>Ponta Grossa</v>
          </cell>
          <cell r="O311" t="str">
            <v>Paraná</v>
          </cell>
          <cell r="P311" t="str">
            <v>Brasil</v>
          </cell>
          <cell r="Q311"/>
        </row>
        <row r="312">
          <cell r="A312">
            <v>1425</v>
          </cell>
          <cell r="B312" t="str">
            <v>Rua Max Bichels, nº 45Centro</v>
          </cell>
          <cell r="C312" t="str">
            <v>(VENDIDO) Antigo Centro Social e Residência Marista Pouso Redondo</v>
          </cell>
          <cell r="D312" t="str">
            <v>UNIÃO CATARINENSE DE EDUCAÇÃO - UCE</v>
          </cell>
          <cell r="E312" t="str">
            <v>UCE - Centro Administrativo</v>
          </cell>
          <cell r="F312" t="str">
            <v>Próprio</v>
          </cell>
          <cell r="G312" t="str">
            <v>Edificado - Operacional</v>
          </cell>
          <cell r="H312"/>
          <cell r="I312" t="str">
            <v>Imobiliário</v>
          </cell>
          <cell r="J312" t="str">
            <v>Rua Max Bichels, nº 45</v>
          </cell>
          <cell r="K312">
            <v>0</v>
          </cell>
          <cell r="L312"/>
          <cell r="M312" t="str">
            <v>Centro</v>
          </cell>
          <cell r="N312" t="str">
            <v>Pouso Redondo</v>
          </cell>
          <cell r="O312" t="str">
            <v>Santa Catarina</v>
          </cell>
          <cell r="P312" t="str">
            <v>Brasil</v>
          </cell>
          <cell r="Q312"/>
        </row>
        <row r="313">
          <cell r="A313">
            <v>40802</v>
          </cell>
          <cell r="B313" t="str">
            <v>Rua Cerqueira César, 1070Edifício Flamboyant - Apto 04 e 03 vagas de garagemSetor Central</v>
          </cell>
          <cell r="C313" t="str">
            <v>Residência Marista de Ribeirão Preto</v>
          </cell>
          <cell r="D313" t="str">
            <v>ASSOCIAÇÃO BRASILEIRA DE EDUCAÇÃO E CULTURA - ABEC</v>
          </cell>
          <cell r="E313" t="str">
            <v>ASSOCIAÇÃO BRASILEIRA DE EDUCAÇÃO E CULTURA - ABEC</v>
          </cell>
          <cell r="F313" t="str">
            <v>Próprio</v>
          </cell>
          <cell r="G313" t="str">
            <v>Edificado - Operacional</v>
          </cell>
          <cell r="H313"/>
          <cell r="I313" t="str">
            <v>Imobiliário</v>
          </cell>
          <cell r="J313" t="str">
            <v>Rua Cerqueira César, 1070</v>
          </cell>
          <cell r="K313">
            <v>0</v>
          </cell>
          <cell r="L313" t="str">
            <v>Edifício Flamboyant - Apto 04 e 03 vagas de garagem</v>
          </cell>
          <cell r="M313" t="str">
            <v>Setor Central</v>
          </cell>
          <cell r="N313" t="str">
            <v>Ribeirão Preto</v>
          </cell>
          <cell r="O313" t="str">
            <v>São Paulo</v>
          </cell>
          <cell r="P313" t="str">
            <v>Brasil</v>
          </cell>
          <cell r="Q313"/>
        </row>
        <row r="314">
          <cell r="A314">
            <v>111187</v>
          </cell>
          <cell r="B314" t="str">
            <v>Rua Júlio Ribeiro, 3.451</v>
          </cell>
          <cell r="C314" t="str">
            <v>Centro Social Marista Ir. Rui Leopoldo Depiné - Ribeirão Preto</v>
          </cell>
          <cell r="D314" t="str">
            <v>ASSOCIAÇÃO BRASILEIRA DE EDUCAÇÃO E CULTURA - ABEC</v>
          </cell>
          <cell r="E314" t="str">
            <v>ASSOCIAÇÃO BRASILEIRA DE EDUCAÇÃO E CULTURA - ABEC</v>
          </cell>
          <cell r="F314" t="str">
            <v>Próprio</v>
          </cell>
          <cell r="G314" t="str">
            <v>Edificado - Operacional</v>
          </cell>
          <cell r="H314"/>
          <cell r="I314" t="str">
            <v>Imobiliário</v>
          </cell>
          <cell r="J314" t="str">
            <v>Rua Júlio Ribeiro, 3.451</v>
          </cell>
          <cell r="K314">
            <v>0</v>
          </cell>
          <cell r="L314"/>
          <cell r="M314"/>
          <cell r="N314" t="str">
            <v>Ribeirão Preto</v>
          </cell>
          <cell r="O314" t="str">
            <v>São Paulo</v>
          </cell>
          <cell r="P314" t="str">
            <v>Brasil</v>
          </cell>
          <cell r="Q314"/>
        </row>
        <row r="315">
          <cell r="A315">
            <v>118649</v>
          </cell>
          <cell r="B315" t="str">
            <v>Rua Bernardino de Campos, 550Setor Central</v>
          </cell>
          <cell r="C315" t="str">
            <v>Colégio Marista de Ribeirão Preto</v>
          </cell>
          <cell r="D315" t="str">
            <v>ASSOCIAÇÃO BRASILEIRA DE EDUCAÇÃO E CULTURA - ABEC</v>
          </cell>
          <cell r="E315" t="str">
            <v>ASSOCIAÇÃO BRASILEIRA DE EDUCAÇÃO E CULTURA - ABEC</v>
          </cell>
          <cell r="F315" t="str">
            <v>Próprio</v>
          </cell>
          <cell r="G315" t="str">
            <v>Edificado - Operacional</v>
          </cell>
          <cell r="H315"/>
          <cell r="I315" t="str">
            <v>Imobiliário</v>
          </cell>
          <cell r="J315" t="str">
            <v>Rua Bernardino de Campos, 550</v>
          </cell>
          <cell r="K315">
            <v>0</v>
          </cell>
          <cell r="L315"/>
          <cell r="M315" t="str">
            <v>Setor Central</v>
          </cell>
          <cell r="N315" t="str">
            <v>Ribeirão Preto</v>
          </cell>
          <cell r="O315" t="str">
            <v>São Paulo</v>
          </cell>
          <cell r="P315" t="str">
            <v>Brasil</v>
          </cell>
          <cell r="Q315"/>
        </row>
        <row r="316">
          <cell r="A316">
            <v>17352</v>
          </cell>
          <cell r="B316" t="str">
            <v>Estrada da Biquinha, ref. Rodovia Presidente Dutra, Km 190,5Cachoeirinha</v>
          </cell>
          <cell r="C316" t="str">
            <v>Colégio Nossa Senhora Da Glória - Recanto Marista</v>
          </cell>
          <cell r="D316" t="str">
            <v>ASSOCIAÇÃO BRASILEIRA DE EDUCAÇÃO E CULTURA - ABEC</v>
          </cell>
          <cell r="E316" t="str">
            <v>ASSOCIAÇÃO BRASILEIRA DE EDUCAÇÃO E CULTURA - ABEC</v>
          </cell>
          <cell r="F316" t="str">
            <v>Próprio</v>
          </cell>
          <cell r="G316" t="str">
            <v>Chácara/Recanto/Fazenda</v>
          </cell>
          <cell r="H316"/>
          <cell r="I316" t="str">
            <v>Imobiliário</v>
          </cell>
          <cell r="J316" t="str">
            <v>Estrada da Biquinha, ref. Rodovia Presidente Dutra, Km 190,5</v>
          </cell>
          <cell r="K316">
            <v>0</v>
          </cell>
          <cell r="L316"/>
          <cell r="M316" t="str">
            <v>Cachoeirinha</v>
          </cell>
          <cell r="N316" t="str">
            <v>Santa Isabel</v>
          </cell>
          <cell r="O316" t="str">
            <v>São Paulo</v>
          </cell>
          <cell r="P316" t="str">
            <v>Brasil</v>
          </cell>
          <cell r="Q316"/>
        </row>
        <row r="317">
          <cell r="A317">
            <v>31225</v>
          </cell>
          <cell r="B317" t="str">
            <v>Estrada da Biquinha, ref. Rodovia Presidente Dutra, Km 190,5Cachoeirinha</v>
          </cell>
          <cell r="C317" t="str">
            <v>Colégio Nossa Senhora Da Glória - Recanto Marista</v>
          </cell>
          <cell r="D317" t="str">
            <v>ASSOCIAÇÃO BRASILEIRA DE EDUCAÇÃO E CULTURA - ABEC</v>
          </cell>
          <cell r="E317" t="str">
            <v>ASSOCIAÇÃO BRASILEIRA DE EDUCAÇÃO E CULTURA - ABEC</v>
          </cell>
          <cell r="F317" t="str">
            <v>Próprio</v>
          </cell>
          <cell r="G317" t="str">
            <v>Chácara/Recanto/Fazenda</v>
          </cell>
          <cell r="H317"/>
          <cell r="I317" t="str">
            <v>Imobiliário</v>
          </cell>
          <cell r="J317" t="str">
            <v>Estrada da Biquinha, ref. Rodovia Presidente Dutra, Km 190,5</v>
          </cell>
          <cell r="K317">
            <v>0</v>
          </cell>
          <cell r="L317"/>
          <cell r="M317" t="str">
            <v>Cachoeirinha</v>
          </cell>
          <cell r="N317" t="str">
            <v>Santa Isabel</v>
          </cell>
          <cell r="O317" t="str">
            <v>São Paulo</v>
          </cell>
          <cell r="P317" t="str">
            <v>Brasil</v>
          </cell>
          <cell r="Q317"/>
        </row>
        <row r="318">
          <cell r="A318">
            <v>1337</v>
          </cell>
          <cell r="B318" t="str">
            <v>Rua Carlos de Campos, s/nAbrange ainda os Municípios de Cajuru e Monte Santo de MinasCaixa Postal 20</v>
          </cell>
          <cell r="C318" t="str">
            <v>Fazenda Águas da Prata</v>
          </cell>
          <cell r="D318" t="str">
            <v>ASSOCIAÇÃO BRASILEIRA DE EDUCAÇÃO E CULTURA - ABEC</v>
          </cell>
          <cell r="E318" t="str">
            <v>ASSOCIAÇÃO BRASILEIRA DE EDUCAÇÃO E CULTURA - ABEC</v>
          </cell>
          <cell r="F318" t="str">
            <v>Próprio</v>
          </cell>
          <cell r="G318" t="str">
            <v>Chácara/Recanto/Fazenda</v>
          </cell>
          <cell r="H318"/>
          <cell r="I318" t="str">
            <v>Imobiliário</v>
          </cell>
          <cell r="J318" t="str">
            <v>Rua Carlos de Campos, s/n</v>
          </cell>
          <cell r="K318">
            <v>0</v>
          </cell>
          <cell r="L318" t="str">
            <v>Abrange ainda os Municípios de Cajuru e Monte Santo de Minas</v>
          </cell>
          <cell r="M318" t="str">
            <v>Caixa Postal 20</v>
          </cell>
          <cell r="N318" t="str">
            <v>Santo Antônio da Alegria</v>
          </cell>
          <cell r="O318" t="str">
            <v>São Paulo</v>
          </cell>
          <cell r="P318" t="str">
            <v>Brasil</v>
          </cell>
          <cell r="Q318"/>
        </row>
        <row r="319">
          <cell r="A319">
            <v>17138</v>
          </cell>
          <cell r="B319" t="str">
            <v>Rua Carlos de Campos, s/nAbrange ainda os Municípios de Cajuru e Monte Santo de MinasCaixa Postal 20</v>
          </cell>
          <cell r="C319" t="str">
            <v>Fazenda Águas da Prata</v>
          </cell>
          <cell r="D319" t="str">
            <v>ASSOCIAÇÃO BRASILEIRA DE EDUCAÇÃO E CULTURA - ABEC</v>
          </cell>
          <cell r="E319" t="str">
            <v>ASSOCIAÇÃO BRASILEIRA DE EDUCAÇÃO E CULTURA - ABEC</v>
          </cell>
          <cell r="F319" t="str">
            <v>Próprio</v>
          </cell>
          <cell r="G319" t="str">
            <v>Chácara/Recanto/Fazenda</v>
          </cell>
          <cell r="H319"/>
          <cell r="I319" t="str">
            <v>Imobiliário</v>
          </cell>
          <cell r="J319" t="str">
            <v>Rua Carlos de Campos, s/n</v>
          </cell>
          <cell r="K319">
            <v>0</v>
          </cell>
          <cell r="L319" t="str">
            <v>Abrange ainda os Municípios de Cajuru e Monte Santo de Minas</v>
          </cell>
          <cell r="M319" t="str">
            <v>Caixa Postal 20</v>
          </cell>
          <cell r="N319" t="str">
            <v>Santo Antônio da Alegria</v>
          </cell>
          <cell r="O319" t="str">
            <v>São Paulo</v>
          </cell>
          <cell r="P319" t="str">
            <v>Brasil</v>
          </cell>
          <cell r="Q319"/>
        </row>
        <row r="320">
          <cell r="A320">
            <v>4433</v>
          </cell>
          <cell r="B320" t="str">
            <v>Rua Carlos de Campos, s/nAbrange ainda os Municípios de Cajuru e Monte Santo de MinasCaixa Postal 20</v>
          </cell>
          <cell r="C320" t="str">
            <v>Fazenda Águas da Prata</v>
          </cell>
          <cell r="D320" t="str">
            <v>ASSOCIAÇÃO BRASILEIRA DE EDUCAÇÃO E CULTURA - ABEC</v>
          </cell>
          <cell r="E320" t="str">
            <v>ASSOCIAÇÃO BRASILEIRA DE EDUCAÇÃO E CULTURA - ABEC</v>
          </cell>
          <cell r="F320" t="str">
            <v>Próprio</v>
          </cell>
          <cell r="G320" t="str">
            <v>Chácara/Recanto/Fazenda</v>
          </cell>
          <cell r="H320"/>
          <cell r="I320" t="str">
            <v>Imobiliário</v>
          </cell>
          <cell r="J320" t="str">
            <v>Rua Carlos de Campos, s/n</v>
          </cell>
          <cell r="K320">
            <v>0</v>
          </cell>
          <cell r="L320" t="str">
            <v>Abrange ainda os Municípios de Cajuru e Monte Santo de Minas</v>
          </cell>
          <cell r="M320" t="str">
            <v>Caixa Postal 20</v>
          </cell>
          <cell r="N320" t="str">
            <v>Santo Antônio da Alegria</v>
          </cell>
          <cell r="O320" t="str">
            <v>São Paulo</v>
          </cell>
          <cell r="P320" t="str">
            <v>Brasil</v>
          </cell>
          <cell r="Q320"/>
        </row>
        <row r="321">
          <cell r="A321">
            <v>6550</v>
          </cell>
          <cell r="B321" t="str">
            <v>Rua Carlos de Campos, s/nAbrange ainda os Municípios de Cajuru e Monte Santo de MinasCaixa Postal 20</v>
          </cell>
          <cell r="C321" t="str">
            <v>Fazenda Águas da Prata</v>
          </cell>
          <cell r="D321" t="str">
            <v>ASSOCIAÇÃO BRASILEIRA DE EDUCAÇÃO E CULTURA - ABEC</v>
          </cell>
          <cell r="E321" t="str">
            <v>ASSOCIAÇÃO BRASILEIRA DE EDUCAÇÃO E CULTURA - ABEC</v>
          </cell>
          <cell r="F321" t="str">
            <v>Próprio</v>
          </cell>
          <cell r="G321" t="str">
            <v>Chácara/Recanto/Fazenda</v>
          </cell>
          <cell r="H321"/>
          <cell r="I321" t="str">
            <v>Imobiliário</v>
          </cell>
          <cell r="J321" t="str">
            <v>Rua Carlos de Campos, s/n</v>
          </cell>
          <cell r="K321">
            <v>0</v>
          </cell>
          <cell r="L321" t="str">
            <v>Abrange ainda os Municípios de Cajuru e Monte Santo de Minas</v>
          </cell>
          <cell r="M321" t="str">
            <v>Caixa Postal 20</v>
          </cell>
          <cell r="N321" t="str">
            <v>Santo Antônio da Alegria</v>
          </cell>
          <cell r="O321" t="str">
            <v>São Paulo</v>
          </cell>
          <cell r="P321" t="str">
            <v>Brasil</v>
          </cell>
          <cell r="Q321"/>
        </row>
        <row r="322">
          <cell r="A322">
            <v>8852</v>
          </cell>
          <cell r="B322" t="str">
            <v>Rua Carlos de Campos, s/nAbrange ainda os Municípios de Cajuru e Monte Santo de MinasCaixa Postal 20</v>
          </cell>
          <cell r="C322" t="str">
            <v>Fazenda Águas da Prata</v>
          </cell>
          <cell r="D322" t="str">
            <v>ASSOCIAÇÃO BRASILEIRA DE EDUCAÇÃO E CULTURA - ABEC</v>
          </cell>
          <cell r="E322" t="str">
            <v>ASSOCIAÇÃO BRASILEIRA DE EDUCAÇÃO E CULTURA - ABEC</v>
          </cell>
          <cell r="F322" t="str">
            <v>Próprio</v>
          </cell>
          <cell r="G322" t="str">
            <v>Chácara/Recanto/Fazenda</v>
          </cell>
          <cell r="H322"/>
          <cell r="I322" t="str">
            <v>Imobiliário</v>
          </cell>
          <cell r="J322" t="str">
            <v>Rua Carlos de Campos, s/n</v>
          </cell>
          <cell r="K322">
            <v>0</v>
          </cell>
          <cell r="L322" t="str">
            <v>Abrange ainda os Municípios de Cajuru e Monte Santo de Minas</v>
          </cell>
          <cell r="M322" t="str">
            <v>Caixa Postal 20</v>
          </cell>
          <cell r="N322" t="str">
            <v>Santo Antônio da Alegria</v>
          </cell>
          <cell r="O322" t="str">
            <v>São Paulo</v>
          </cell>
          <cell r="P322" t="str">
            <v>Brasil</v>
          </cell>
          <cell r="Q322"/>
        </row>
        <row r="323">
          <cell r="A323">
            <v>8853</v>
          </cell>
          <cell r="B323" t="str">
            <v>Rua Carlos de Campos, s/nAbrange ainda os Municípios de Cajuru e Monte Santo de MinasCaixa Postal 20</v>
          </cell>
          <cell r="C323" t="str">
            <v>Fazenda Águas da Prata</v>
          </cell>
          <cell r="D323" t="str">
            <v>ASSOCIAÇÃO BRASILEIRA DE EDUCAÇÃO E CULTURA - ABEC</v>
          </cell>
          <cell r="E323" t="str">
            <v>ASSOCIAÇÃO BRASILEIRA DE EDUCAÇÃO E CULTURA - ABEC</v>
          </cell>
          <cell r="F323" t="str">
            <v>Próprio</v>
          </cell>
          <cell r="G323" t="str">
            <v>Chácara/Recanto/Fazenda</v>
          </cell>
          <cell r="H323"/>
          <cell r="I323" t="str">
            <v>Imobiliário</v>
          </cell>
          <cell r="J323" t="str">
            <v>Rua Carlos de Campos, s/n</v>
          </cell>
          <cell r="K323">
            <v>0</v>
          </cell>
          <cell r="L323" t="str">
            <v>Abrange ainda os Municípios de Cajuru e Monte Santo de Minas</v>
          </cell>
          <cell r="M323" t="str">
            <v>Caixa Postal 20</v>
          </cell>
          <cell r="N323" t="str">
            <v>Santo Antônio da Alegria</v>
          </cell>
          <cell r="O323" t="str">
            <v>São Paulo</v>
          </cell>
          <cell r="P323" t="str">
            <v>Brasil</v>
          </cell>
          <cell r="Q323"/>
        </row>
        <row r="324">
          <cell r="A324">
            <v>9645</v>
          </cell>
          <cell r="B324" t="str">
            <v>Rua Carlos de Campos, s/nAbrange ainda os Municípios de Cajuru e Monte Santo de MinasCaixa Postal 20</v>
          </cell>
          <cell r="C324" t="str">
            <v>Fazenda Águas da Prata</v>
          </cell>
          <cell r="D324" t="str">
            <v>ASSOCIAÇÃO BRASILEIRA DE EDUCAÇÃO E CULTURA - ABEC</v>
          </cell>
          <cell r="E324" t="str">
            <v>ASSOCIAÇÃO BRASILEIRA DE EDUCAÇÃO E CULTURA - ABEC</v>
          </cell>
          <cell r="F324" t="str">
            <v>Próprio</v>
          </cell>
          <cell r="G324" t="str">
            <v>Chácara/Recanto/Fazenda</v>
          </cell>
          <cell r="H324"/>
          <cell r="I324" t="str">
            <v>Imobiliário</v>
          </cell>
          <cell r="J324" t="str">
            <v>Rua Carlos de Campos, s/n</v>
          </cell>
          <cell r="K324">
            <v>0</v>
          </cell>
          <cell r="L324" t="str">
            <v>Abrange ainda os Municípios de Cajuru e Monte Santo de Minas</v>
          </cell>
          <cell r="M324" t="str">
            <v>Caixa Postal 20</v>
          </cell>
          <cell r="N324" t="str">
            <v>Santo Antônio da Alegria</v>
          </cell>
          <cell r="O324" t="str">
            <v>São Paulo</v>
          </cell>
          <cell r="P324" t="str">
            <v>Brasil</v>
          </cell>
          <cell r="Q324"/>
        </row>
        <row r="325">
          <cell r="A325">
            <v>9646</v>
          </cell>
          <cell r="B325" t="str">
            <v>Rua Carlos de Campos, s/nAbrange ainda os Municípios de Cajuru e Monte Santo de MinasCaixa Postal 20</v>
          </cell>
          <cell r="C325" t="str">
            <v>Fazenda Águas da Prata</v>
          </cell>
          <cell r="D325" t="str">
            <v>ASSOCIAÇÃO BRASILEIRA DE EDUCAÇÃO E CULTURA - ABEC</v>
          </cell>
          <cell r="E325" t="str">
            <v>ASSOCIAÇÃO BRASILEIRA DE EDUCAÇÃO E CULTURA - ABEC</v>
          </cell>
          <cell r="F325" t="str">
            <v>Próprio</v>
          </cell>
          <cell r="G325" t="str">
            <v>Chácara/Recanto/Fazenda</v>
          </cell>
          <cell r="H325"/>
          <cell r="I325" t="str">
            <v>Imobiliário</v>
          </cell>
          <cell r="J325" t="str">
            <v>Rua Carlos de Campos, s/n</v>
          </cell>
          <cell r="K325">
            <v>0</v>
          </cell>
          <cell r="L325" t="str">
            <v>Abrange ainda os Municípios de Cajuru e Monte Santo de Minas</v>
          </cell>
          <cell r="M325" t="str">
            <v>Caixa Postal 20</v>
          </cell>
          <cell r="N325" t="str">
            <v>Santo Antônio da Alegria</v>
          </cell>
          <cell r="O325" t="str">
            <v>São Paulo</v>
          </cell>
          <cell r="P325" t="str">
            <v>Brasil</v>
          </cell>
          <cell r="Q325"/>
        </row>
        <row r="326">
          <cell r="A326">
            <v>9654</v>
          </cell>
          <cell r="B326" t="str">
            <v>Rua Carlos de Campos, s/nAbrange ainda os Municípios de Cajuru e Monte Santo de MinasCaixa Postal 20</v>
          </cell>
          <cell r="C326" t="str">
            <v>Fazenda Águas da Prata</v>
          </cell>
          <cell r="D326" t="str">
            <v>ASSOCIAÇÃO BRASILEIRA DE EDUCAÇÃO E CULTURA - ABEC</v>
          </cell>
          <cell r="E326" t="str">
            <v>ASSOCIAÇÃO BRASILEIRA DE EDUCAÇÃO E CULTURA - ABEC</v>
          </cell>
          <cell r="F326" t="str">
            <v>Próprio</v>
          </cell>
          <cell r="G326" t="str">
            <v>Chácara/Recanto/Fazenda</v>
          </cell>
          <cell r="H326"/>
          <cell r="I326" t="str">
            <v>Imobiliário</v>
          </cell>
          <cell r="J326" t="str">
            <v>Rua Carlos de Campos, s/n</v>
          </cell>
          <cell r="K326">
            <v>0</v>
          </cell>
          <cell r="L326" t="str">
            <v>Abrange ainda os Municípios de Cajuru e Monte Santo de Minas</v>
          </cell>
          <cell r="M326" t="str">
            <v>Caixa Postal 20</v>
          </cell>
          <cell r="N326" t="str">
            <v>Santo Antônio da Alegria</v>
          </cell>
          <cell r="O326" t="str">
            <v>São Paulo</v>
          </cell>
          <cell r="P326" t="str">
            <v>Brasil</v>
          </cell>
          <cell r="Q326"/>
        </row>
        <row r="327">
          <cell r="A327">
            <v>9655</v>
          </cell>
          <cell r="B327" t="str">
            <v>Rua Carlos de Campos, s/nAbrange ainda os Municípios de Cajuru e Monte Santo de MinasCaixa Postal 20</v>
          </cell>
          <cell r="C327" t="str">
            <v>Fazenda Águas da Prata</v>
          </cell>
          <cell r="D327" t="str">
            <v>ASSOCIAÇÃO BRASILEIRA DE EDUCAÇÃO E CULTURA - ABEC</v>
          </cell>
          <cell r="E327" t="str">
            <v>ASSOCIAÇÃO BRASILEIRA DE EDUCAÇÃO E CULTURA - ABEC</v>
          </cell>
          <cell r="F327" t="str">
            <v>Próprio</v>
          </cell>
          <cell r="G327" t="str">
            <v>Chácara/Recanto/Fazenda</v>
          </cell>
          <cell r="H327"/>
          <cell r="I327" t="str">
            <v>Imobiliário</v>
          </cell>
          <cell r="J327" t="str">
            <v>Rua Carlos de Campos, s/n</v>
          </cell>
          <cell r="K327">
            <v>0</v>
          </cell>
          <cell r="L327" t="str">
            <v>Abrange ainda os Municípios de Cajuru e Monte Santo de Minas</v>
          </cell>
          <cell r="M327" t="str">
            <v>Caixa Postal 20</v>
          </cell>
          <cell r="N327" t="str">
            <v>Santo Antônio da Alegria</v>
          </cell>
          <cell r="O327" t="str">
            <v>São Paulo</v>
          </cell>
          <cell r="P327" t="str">
            <v>Brasil</v>
          </cell>
          <cell r="Q327"/>
        </row>
        <row r="328">
          <cell r="A328">
            <v>9656</v>
          </cell>
          <cell r="B328" t="str">
            <v>Rua Carlos de Campos, s/nAbrange ainda os Municípios de Cajuru e Monte Santo de MinasCaixa Postal 20</v>
          </cell>
          <cell r="C328" t="str">
            <v>Fazenda Águas da Prata</v>
          </cell>
          <cell r="D328" t="str">
            <v>ASSOCIAÇÃO BRASILEIRA DE EDUCAÇÃO E CULTURA - ABEC</v>
          </cell>
          <cell r="E328" t="str">
            <v>ASSOCIAÇÃO BRASILEIRA DE EDUCAÇÃO E CULTURA - ABEC</v>
          </cell>
          <cell r="F328" t="str">
            <v>Próprio</v>
          </cell>
          <cell r="G328" t="str">
            <v>Chácara/Recanto/Fazenda</v>
          </cell>
          <cell r="H328"/>
          <cell r="I328" t="str">
            <v>Imobiliário</v>
          </cell>
          <cell r="J328" t="str">
            <v>Rua Carlos de Campos, s/n</v>
          </cell>
          <cell r="K328">
            <v>0</v>
          </cell>
          <cell r="L328" t="str">
            <v>Abrange ainda os Municípios de Cajuru e Monte Santo de Minas</v>
          </cell>
          <cell r="M328" t="str">
            <v>Caixa Postal 20</v>
          </cell>
          <cell r="N328" t="str">
            <v>Santo Antônio da Alegria</v>
          </cell>
          <cell r="O328" t="str">
            <v>São Paulo</v>
          </cell>
          <cell r="P328" t="str">
            <v>Brasil</v>
          </cell>
          <cell r="Q328"/>
        </row>
        <row r="329">
          <cell r="A329">
            <v>9657</v>
          </cell>
          <cell r="B329" t="str">
            <v>Rua Carlos de Campos, s/nAbrange ainda os Municípios de Cajuru e Monte Santo de MinasCaixa Postal 20</v>
          </cell>
          <cell r="C329" t="str">
            <v>Fazenda Águas da Prata</v>
          </cell>
          <cell r="D329" t="str">
            <v>ASSOCIAÇÃO BRASILEIRA DE EDUCAÇÃO E CULTURA - ABEC</v>
          </cell>
          <cell r="E329" t="str">
            <v>ASSOCIAÇÃO BRASILEIRA DE EDUCAÇÃO E CULTURA - ABEC</v>
          </cell>
          <cell r="F329" t="str">
            <v>Próprio</v>
          </cell>
          <cell r="G329" t="str">
            <v>Chácara/Recanto/Fazenda</v>
          </cell>
          <cell r="H329"/>
          <cell r="I329" t="str">
            <v>Imobiliário</v>
          </cell>
          <cell r="J329" t="str">
            <v>Rua Carlos de Campos, s/n</v>
          </cell>
          <cell r="K329">
            <v>0</v>
          </cell>
          <cell r="L329" t="str">
            <v>Abrange ainda os Municípios de Cajuru e Monte Santo de Minas</v>
          </cell>
          <cell r="M329" t="str">
            <v>Caixa Postal 20</v>
          </cell>
          <cell r="N329" t="str">
            <v>Santo Antônio da Alegria</v>
          </cell>
          <cell r="O329" t="str">
            <v>São Paulo</v>
          </cell>
          <cell r="P329" t="str">
            <v>Brasil</v>
          </cell>
          <cell r="Q329"/>
        </row>
        <row r="330">
          <cell r="A330">
            <v>9658</v>
          </cell>
          <cell r="B330" t="str">
            <v>Rua Carlos de Campos, s/nAbrange ainda os Municípios de Cajuru e Monte Santo de MinasCaixa Postal 20</v>
          </cell>
          <cell r="C330" t="str">
            <v>Fazenda Águas da Prata</v>
          </cell>
          <cell r="D330" t="str">
            <v>ASSOCIAÇÃO BRASILEIRA DE EDUCAÇÃO E CULTURA - ABEC</v>
          </cell>
          <cell r="E330" t="str">
            <v>ASSOCIAÇÃO BRASILEIRA DE EDUCAÇÃO E CULTURA - ABEC</v>
          </cell>
          <cell r="F330" t="str">
            <v>Próprio</v>
          </cell>
          <cell r="G330" t="str">
            <v>Chácara/Recanto/Fazenda</v>
          </cell>
          <cell r="H330"/>
          <cell r="I330" t="str">
            <v>Imobiliário</v>
          </cell>
          <cell r="J330" t="str">
            <v>Rua Carlos de Campos, s/n</v>
          </cell>
          <cell r="K330">
            <v>0</v>
          </cell>
          <cell r="L330" t="str">
            <v>Abrange ainda os Municípios de Cajuru e Monte Santo de Minas</v>
          </cell>
          <cell r="M330" t="str">
            <v>Caixa Postal 20</v>
          </cell>
          <cell r="N330" t="str">
            <v>Santo Antônio da Alegria</v>
          </cell>
          <cell r="O330" t="str">
            <v>São Paulo</v>
          </cell>
          <cell r="P330" t="str">
            <v>Brasil</v>
          </cell>
          <cell r="Q330"/>
        </row>
        <row r="331">
          <cell r="A331">
            <v>9659</v>
          </cell>
          <cell r="B331" t="str">
            <v>Rua Carlos de Campos, s/nAbrange ainda os Municípios de Cajuru e Monte Santo de MinasCaixa Postal 20</v>
          </cell>
          <cell r="C331" t="str">
            <v>Fazenda Águas da Prata</v>
          </cell>
          <cell r="D331" t="str">
            <v>ASSOCIAÇÃO BRASILEIRA DE EDUCAÇÃO E CULTURA - ABEC</v>
          </cell>
          <cell r="E331" t="str">
            <v>ASSOCIAÇÃO BRASILEIRA DE EDUCAÇÃO E CULTURA - ABEC</v>
          </cell>
          <cell r="F331" t="str">
            <v>Próprio</v>
          </cell>
          <cell r="G331" t="str">
            <v>Chácara/Recanto/Fazenda</v>
          </cell>
          <cell r="H331"/>
          <cell r="I331" t="str">
            <v>Imobiliário</v>
          </cell>
          <cell r="J331" t="str">
            <v>Rua Carlos de Campos, s/n</v>
          </cell>
          <cell r="K331">
            <v>0</v>
          </cell>
          <cell r="L331" t="str">
            <v>Abrange ainda os Municípios de Cajuru e Monte Santo de Minas</v>
          </cell>
          <cell r="M331" t="str">
            <v>Caixa Postal 20</v>
          </cell>
          <cell r="N331" t="str">
            <v>Santo Antônio da Alegria</v>
          </cell>
          <cell r="O331" t="str">
            <v>São Paulo</v>
          </cell>
          <cell r="P331" t="str">
            <v>Brasil</v>
          </cell>
          <cell r="Q331"/>
        </row>
        <row r="332">
          <cell r="A332">
            <v>25750</v>
          </cell>
          <cell r="B332" t="str">
            <v>Rua Henrique Porchat 12/22/24Creche Lar FelizVila Nova</v>
          </cell>
          <cell r="C332" t="str">
            <v>Creche Lar Feliz</v>
          </cell>
          <cell r="D332" t="str">
            <v>ASSOCIAÇÃO BRASILEIRA DE EDUCAÇÃO E CULTURA - ABEC</v>
          </cell>
          <cell r="E332" t="str">
            <v>ASSOCIAÇÃO BRASILEIRA DE EDUCAÇÃO E CULTURA - ABEC</v>
          </cell>
          <cell r="F332" t="str">
            <v>Próprio</v>
          </cell>
          <cell r="G332" t="str">
            <v>Edificado - Comercial</v>
          </cell>
          <cell r="H332"/>
          <cell r="I332" t="str">
            <v>Imobiliário</v>
          </cell>
          <cell r="J332" t="str">
            <v>Rua Henrique Porchat 12/22/24</v>
          </cell>
          <cell r="K332">
            <v>0</v>
          </cell>
          <cell r="L332" t="str">
            <v>Creche Lar Feliz</v>
          </cell>
          <cell r="M332" t="str">
            <v>Vila Nova</v>
          </cell>
          <cell r="N332" t="str">
            <v>Santos</v>
          </cell>
          <cell r="O332" t="str">
            <v>São Paulo</v>
          </cell>
          <cell r="P332" t="str">
            <v>Brasil</v>
          </cell>
          <cell r="Q332"/>
        </row>
        <row r="333">
          <cell r="A333">
            <v>27990</v>
          </cell>
          <cell r="B333" t="str">
            <v>Rua Henrique Porchat 12/22/24Creche Lar FelizVila Nova</v>
          </cell>
          <cell r="C333" t="str">
            <v>Creche Lar Feliz</v>
          </cell>
          <cell r="D333" t="str">
            <v>ASSOCIAÇÃO BRASILEIRA DE EDUCAÇÃO E CULTURA - ABEC</v>
          </cell>
          <cell r="E333" t="str">
            <v>ASSOCIAÇÃO BRASILEIRA DE EDUCAÇÃO E CULTURA - ABEC</v>
          </cell>
          <cell r="F333" t="str">
            <v>Próprio</v>
          </cell>
          <cell r="G333" t="str">
            <v>Edificado - Comercial</v>
          </cell>
          <cell r="H333"/>
          <cell r="I333" t="str">
            <v>Imobiliário</v>
          </cell>
          <cell r="J333" t="str">
            <v>Rua Henrique Porchat 12/22/24</v>
          </cell>
          <cell r="K333">
            <v>0</v>
          </cell>
          <cell r="L333" t="str">
            <v>Creche Lar Feliz</v>
          </cell>
          <cell r="M333" t="str">
            <v>Vila Nova</v>
          </cell>
          <cell r="N333" t="str">
            <v>Santos</v>
          </cell>
          <cell r="O333" t="str">
            <v>São Paulo</v>
          </cell>
          <cell r="P333" t="str">
            <v>Brasil</v>
          </cell>
          <cell r="Q333"/>
        </row>
        <row r="334">
          <cell r="A334">
            <v>6234</v>
          </cell>
          <cell r="B334" t="str">
            <v>Rua Henrique Porchat 12/22/24Creche Lar FelizVila Nova</v>
          </cell>
          <cell r="C334" t="str">
            <v>Creche Lar Feliz</v>
          </cell>
          <cell r="D334" t="str">
            <v>ASSOCIAÇÃO BRASILEIRA DE EDUCAÇÃO E CULTURA - ABEC</v>
          </cell>
          <cell r="E334" t="str">
            <v>ASSOCIAÇÃO BRASILEIRA DE EDUCAÇÃO E CULTURA - ABEC</v>
          </cell>
          <cell r="F334" t="str">
            <v>Próprio</v>
          </cell>
          <cell r="G334" t="str">
            <v>Edificado - Comercial</v>
          </cell>
          <cell r="H334"/>
          <cell r="I334" t="str">
            <v>Imobiliário</v>
          </cell>
          <cell r="J334" t="str">
            <v>Rua Henrique Porchat 12/22/24</v>
          </cell>
          <cell r="K334">
            <v>0</v>
          </cell>
          <cell r="L334" t="str">
            <v>Creche Lar Feliz</v>
          </cell>
          <cell r="M334" t="str">
            <v>Vila Nova</v>
          </cell>
          <cell r="N334" t="str">
            <v>Santos</v>
          </cell>
          <cell r="O334" t="str">
            <v>São Paulo</v>
          </cell>
          <cell r="P334" t="str">
            <v>Brasil</v>
          </cell>
          <cell r="Q334"/>
        </row>
        <row r="335">
          <cell r="A335">
            <v>20855</v>
          </cell>
          <cell r="B335" t="str">
            <v>Rua Alfredo ZippererLote 04 - Quadra D - Parque Residencial MaristaCentro</v>
          </cell>
          <cell r="C335" t="str">
            <v>Terreno 488,00m² - Rua Alfredo Zipperer</v>
          </cell>
          <cell r="D335" t="str">
            <v>UNIÃO CATARINENSE DE EDUCAÇÃO - UCE</v>
          </cell>
          <cell r="E335" t="str">
            <v>UNIÃO CATARINENSE DE EDUCAÇÃO - UCE</v>
          </cell>
          <cell r="F335" t="str">
            <v>Próprio</v>
          </cell>
          <cell r="G335" t="str">
            <v>Lote / Terreno</v>
          </cell>
          <cell r="H335"/>
          <cell r="I335" t="str">
            <v>Imobiliário</v>
          </cell>
          <cell r="J335" t="str">
            <v>Rua Alfredo Zipperer</v>
          </cell>
          <cell r="K335">
            <v>0</v>
          </cell>
          <cell r="L335" t="str">
            <v>Lote 04 - Quadra D - Parque Residencial Marista</v>
          </cell>
          <cell r="M335" t="str">
            <v>Centro</v>
          </cell>
          <cell r="N335" t="str">
            <v>São Bento do Sul</v>
          </cell>
          <cell r="O335" t="str">
            <v>Santa Catarina</v>
          </cell>
          <cell r="P335" t="str">
            <v>Brasil</v>
          </cell>
          <cell r="Q335"/>
        </row>
        <row r="336">
          <cell r="A336">
            <v>727</v>
          </cell>
          <cell r="B336" t="str">
            <v>Rua André ZippererCentro</v>
          </cell>
          <cell r="C336" t="str">
            <v>Terreno 3.152,71m² - Rua André Zipperer</v>
          </cell>
          <cell r="D336" t="str">
            <v>UNIÃO CATARINENSE DE EDUCAÇÃO - UCE</v>
          </cell>
          <cell r="E336" t="str">
            <v>UNIÃO CATARINENSE DE EDUCAÇÃO - UCE</v>
          </cell>
          <cell r="F336" t="str">
            <v>Próprio</v>
          </cell>
          <cell r="G336" t="str">
            <v>Lote / Terreno</v>
          </cell>
          <cell r="H336"/>
          <cell r="I336" t="str">
            <v>Imobiliário</v>
          </cell>
          <cell r="J336" t="str">
            <v>Rua André Zipperer</v>
          </cell>
          <cell r="K336">
            <v>0</v>
          </cell>
          <cell r="L336"/>
          <cell r="M336" t="str">
            <v>Centro</v>
          </cell>
          <cell r="N336" t="str">
            <v>São Bento do Sul</v>
          </cell>
          <cell r="O336" t="str">
            <v>Santa Catarina</v>
          </cell>
          <cell r="P336" t="str">
            <v>Brasil</v>
          </cell>
          <cell r="Q336"/>
        </row>
        <row r="337">
          <cell r="A337">
            <v>20863</v>
          </cell>
          <cell r="B337" t="str">
            <v>Rua Prof. Egon HussmanLote 06 - Quadra G - Parque Residencial MaristaCentro</v>
          </cell>
          <cell r="C337" t="str">
            <v>Terreno 617,64 m² - Rua Prof. Egon Hussman</v>
          </cell>
          <cell r="D337" t="str">
            <v>UNIÃO CATARINENSE DE EDUCAÇÃO - UCE</v>
          </cell>
          <cell r="E337" t="str">
            <v>UNIÃO CATARINENSE DE EDUCAÇÃO - UCE</v>
          </cell>
          <cell r="F337" t="str">
            <v>Próprio</v>
          </cell>
          <cell r="G337" t="str">
            <v>Lote / Terreno</v>
          </cell>
          <cell r="H337"/>
          <cell r="I337" t="str">
            <v>Imobiliário</v>
          </cell>
          <cell r="J337" t="str">
            <v>Rua Prof. Egon Hussman</v>
          </cell>
          <cell r="K337">
            <v>0</v>
          </cell>
          <cell r="L337" t="str">
            <v>Lote 06 - Quadra G - Parque Residencial Marista</v>
          </cell>
          <cell r="M337" t="str">
            <v>Centro</v>
          </cell>
          <cell r="N337" t="str">
            <v>São Bento do Sul</v>
          </cell>
          <cell r="O337" t="str">
            <v>Santa Catarina</v>
          </cell>
          <cell r="P337" t="str">
            <v>Brasil</v>
          </cell>
          <cell r="Q337"/>
        </row>
        <row r="338">
          <cell r="A338">
            <v>43824</v>
          </cell>
          <cell r="B338" t="str">
            <v>Travessa Champagnat, 30Centro</v>
          </cell>
          <cell r="C338" t="str">
            <v>(VENDIDO) Escola Estadual Balduino São Bento - EEBSB</v>
          </cell>
          <cell r="D338" t="str">
            <v>UNIÃO CATARINENSE DE EDUCAÇÃO - UCE</v>
          </cell>
          <cell r="E338" t="str">
            <v>UNIÃO CATARINENSE DE EDUCAÇÃO - UCE</v>
          </cell>
          <cell r="F338" t="str">
            <v>Próprio</v>
          </cell>
          <cell r="G338" t="str">
            <v>Edificado - Comercial</v>
          </cell>
          <cell r="H338"/>
          <cell r="I338" t="str">
            <v>Imobiliário</v>
          </cell>
          <cell r="J338" t="str">
            <v>Travessa Champagnat, 30</v>
          </cell>
          <cell r="K338">
            <v>0</v>
          </cell>
          <cell r="L338"/>
          <cell r="M338" t="str">
            <v>Centro</v>
          </cell>
          <cell r="N338" t="str">
            <v>São Bento do Sul</v>
          </cell>
          <cell r="O338" t="str">
            <v>Santa Catarina</v>
          </cell>
          <cell r="P338" t="str">
            <v>Brasil</v>
          </cell>
          <cell r="Q338"/>
        </row>
        <row r="339">
          <cell r="A339">
            <v>1308</v>
          </cell>
          <cell r="B339" t="str">
            <v>Estrada Galvão Bueno, 10000Alvarenga - Sítio Alvarenga</v>
          </cell>
          <cell r="C339" t="str">
            <v>Recanto - Colégio Arquidiocesano</v>
          </cell>
          <cell r="D339" t="str">
            <v>ASSOCIAÇÃO BRASILEIRA DE EDUCAÇÃO E CULTURA - ABEC</v>
          </cell>
          <cell r="E339" t="str">
            <v>ASSOCIAÇÃO BRASILEIRA DE EDUCAÇÃO E CULTURA - ABEC</v>
          </cell>
          <cell r="F339" t="str">
            <v>Próprio</v>
          </cell>
          <cell r="G339" t="str">
            <v>Chácara/Recanto/Fazenda</v>
          </cell>
          <cell r="H339"/>
          <cell r="I339" t="str">
            <v>Imobiliário</v>
          </cell>
          <cell r="J339" t="str">
            <v>Estrada Galvão Bueno, 10000</v>
          </cell>
          <cell r="K339">
            <v>0</v>
          </cell>
          <cell r="L339"/>
          <cell r="M339" t="str">
            <v>Alvarenga - Sítio Alvarenga</v>
          </cell>
          <cell r="N339" t="str">
            <v>São Bernardo do Campo</v>
          </cell>
          <cell r="O339" t="str">
            <v>São Paulo</v>
          </cell>
          <cell r="P339" t="str">
            <v>Brasil</v>
          </cell>
          <cell r="Q339"/>
        </row>
        <row r="340">
          <cell r="A340">
            <v>30431</v>
          </cell>
          <cell r="B340" t="str">
            <v>Margens Rodovia BR-376KM 14</v>
          </cell>
          <cell r="C340" t="str">
            <v>PUC Campus São José dos Pinhais</v>
          </cell>
          <cell r="D340" t="str">
            <v>ASSOCIAÇÃO BRASILEIRA DE EDUCAÇÃO E CULTURA - ABEC</v>
          </cell>
          <cell r="E340" t="str">
            <v>ASSOCIAÇÃO BRASILEIRA DE EDUCAÇÃO E CULTURA - ABEC</v>
          </cell>
          <cell r="F340" t="str">
            <v>Próprio</v>
          </cell>
          <cell r="G340" t="str">
            <v>Edificado - Operacional</v>
          </cell>
          <cell r="H340"/>
          <cell r="I340" t="str">
            <v>Imobiliário</v>
          </cell>
          <cell r="J340" t="str">
            <v>Margens Rodovia BR-376</v>
          </cell>
          <cell r="K340">
            <v>0</v>
          </cell>
          <cell r="L340" t="str">
            <v>KM 14</v>
          </cell>
          <cell r="M340"/>
          <cell r="N340" t="str">
            <v>São José dos Pinhais</v>
          </cell>
          <cell r="O340" t="str">
            <v>Paraná</v>
          </cell>
          <cell r="P340" t="str">
            <v>Brasil</v>
          </cell>
          <cell r="Q340"/>
        </row>
        <row r="341">
          <cell r="A341">
            <v>48634</v>
          </cell>
          <cell r="B341" t="str">
            <v>Margens Rodovia BR-376KM 14</v>
          </cell>
          <cell r="C341" t="str">
            <v>PUC Campus São José dos Pinhais</v>
          </cell>
          <cell r="D341" t="str">
            <v>ASSOCIAÇÃO BRASILEIRA DE EDUCAÇÃO E CULTURA - ABEC</v>
          </cell>
          <cell r="E341" t="str">
            <v>ASSOCIAÇÃO BRASILEIRA DE EDUCAÇÃO E CULTURA - ABEC</v>
          </cell>
          <cell r="F341" t="str">
            <v>Próprio</v>
          </cell>
          <cell r="G341" t="str">
            <v>Edificado - Operacional</v>
          </cell>
          <cell r="H341"/>
          <cell r="I341" t="str">
            <v>Imobiliário</v>
          </cell>
          <cell r="J341" t="str">
            <v>Margens Rodovia BR-376</v>
          </cell>
          <cell r="K341">
            <v>0</v>
          </cell>
          <cell r="L341" t="str">
            <v>KM 14</v>
          </cell>
          <cell r="M341"/>
          <cell r="N341" t="str">
            <v>São José dos Pinhais</v>
          </cell>
          <cell r="O341" t="str">
            <v>Paraná</v>
          </cell>
          <cell r="P341" t="str">
            <v>Brasil</v>
          </cell>
          <cell r="Q341"/>
        </row>
        <row r="342">
          <cell r="A342">
            <v>48635</v>
          </cell>
          <cell r="B342" t="str">
            <v>Margens Rodovia BR-376KM 14</v>
          </cell>
          <cell r="C342" t="str">
            <v>PUC Campus São José dos Pinhais</v>
          </cell>
          <cell r="D342" t="str">
            <v>ASSOCIAÇÃO BRASILEIRA DE EDUCAÇÃO E CULTURA - ABEC</v>
          </cell>
          <cell r="E342" t="str">
            <v>ASSOCIAÇÃO BRASILEIRA DE EDUCAÇÃO E CULTURA - ABEC</v>
          </cell>
          <cell r="F342" t="str">
            <v>Próprio</v>
          </cell>
          <cell r="G342" t="str">
            <v>Edificado - Operacional</v>
          </cell>
          <cell r="H342"/>
          <cell r="I342" t="str">
            <v>Imobiliário</v>
          </cell>
          <cell r="J342" t="str">
            <v>Margens Rodovia BR-376</v>
          </cell>
          <cell r="K342">
            <v>0</v>
          </cell>
          <cell r="L342" t="str">
            <v>KM 14</v>
          </cell>
          <cell r="M342"/>
          <cell r="N342" t="str">
            <v>São José dos Pinhais</v>
          </cell>
          <cell r="O342" t="str">
            <v>Paraná</v>
          </cell>
          <cell r="P342" t="str">
            <v>Brasil</v>
          </cell>
          <cell r="Q342"/>
        </row>
        <row r="343">
          <cell r="A343">
            <v>58018</v>
          </cell>
          <cell r="B343" t="str">
            <v>Margens Rodovia BR-376KM 14</v>
          </cell>
          <cell r="C343" t="str">
            <v>PUC Campus São José dos Pinhais</v>
          </cell>
          <cell r="D343" t="str">
            <v>ASSOCIAÇÃO BRASILEIRA DE EDUCAÇÃO E CULTURA - ABEC</v>
          </cell>
          <cell r="E343" t="str">
            <v>ASSOCIAÇÃO BRASILEIRA DE EDUCAÇÃO E CULTURA - ABEC</v>
          </cell>
          <cell r="F343" t="str">
            <v>Próprio</v>
          </cell>
          <cell r="G343" t="str">
            <v>Edificado - Operacional</v>
          </cell>
          <cell r="H343"/>
          <cell r="I343" t="str">
            <v>Imobiliário</v>
          </cell>
          <cell r="J343" t="str">
            <v>Margens Rodovia BR-376</v>
          </cell>
          <cell r="K343">
            <v>0</v>
          </cell>
          <cell r="L343" t="str">
            <v>KM 14</v>
          </cell>
          <cell r="M343"/>
          <cell r="N343" t="str">
            <v>São José dos Pinhais</v>
          </cell>
          <cell r="O343" t="str">
            <v>Paraná</v>
          </cell>
          <cell r="P343" t="str">
            <v>Brasil</v>
          </cell>
          <cell r="Q343"/>
        </row>
        <row r="344">
          <cell r="A344">
            <v>56135</v>
          </cell>
          <cell r="B344" t="str">
            <v>Rua Zacarias Alves Pereira, nº 1.011Jardim Aristocrata</v>
          </cell>
          <cell r="C344" t="str">
            <v>Residência Marista de São José dos Pinhais</v>
          </cell>
          <cell r="D344" t="str">
            <v>ASSOCIAÇÃO BRASILEIRA DE EDUCAÇÃO E CULTURA - ABEC</v>
          </cell>
          <cell r="E344" t="str">
            <v>ASSOCIAÇÃO BRASILEIRA DE EDUCAÇÃO E CULTURA - ABEC</v>
          </cell>
          <cell r="F344" t="str">
            <v>Próprio</v>
          </cell>
          <cell r="G344" t="str">
            <v>Edificado</v>
          </cell>
          <cell r="H344"/>
          <cell r="I344" t="str">
            <v>Imobiliário</v>
          </cell>
          <cell r="J344" t="str">
            <v>Rua Zacarias Alves Pereira, nº 1.011</v>
          </cell>
          <cell r="K344">
            <v>0</v>
          </cell>
          <cell r="L344"/>
          <cell r="M344" t="str">
            <v>Jardim Aristocrata</v>
          </cell>
          <cell r="N344" t="str">
            <v>São José dos Pinhais</v>
          </cell>
          <cell r="O344" t="str">
            <v>Paraná</v>
          </cell>
          <cell r="P344" t="str">
            <v>Brasil</v>
          </cell>
          <cell r="Q344"/>
        </row>
        <row r="345">
          <cell r="A345">
            <v>57065</v>
          </cell>
          <cell r="B345" t="str">
            <v>Rua Zacarias Alves Pereira, nº 1.011Jardim Aristocrata</v>
          </cell>
          <cell r="C345" t="str">
            <v>Residência Marista de São José dos Pinhais</v>
          </cell>
          <cell r="D345" t="str">
            <v>ASSOCIAÇÃO BRASILEIRA DE EDUCAÇÃO E CULTURA - ABEC</v>
          </cell>
          <cell r="E345" t="str">
            <v>ASSOCIAÇÃO BRASILEIRA DE EDUCAÇÃO E CULTURA - ABEC</v>
          </cell>
          <cell r="F345" t="str">
            <v>Próprio</v>
          </cell>
          <cell r="G345" t="str">
            <v>Edificado</v>
          </cell>
          <cell r="H345"/>
          <cell r="I345" t="str">
            <v>Imobiliário</v>
          </cell>
          <cell r="J345" t="str">
            <v>Rua Zacarias Alves Pereira, nº 1.011</v>
          </cell>
          <cell r="K345">
            <v>0</v>
          </cell>
          <cell r="L345"/>
          <cell r="M345" t="str">
            <v>Jardim Aristocrata</v>
          </cell>
          <cell r="N345" t="str">
            <v>São José dos Pinhais</v>
          </cell>
          <cell r="O345" t="str">
            <v>Paraná</v>
          </cell>
          <cell r="P345" t="str">
            <v>Brasil</v>
          </cell>
          <cell r="Q345"/>
        </row>
        <row r="346">
          <cell r="A346">
            <v>116225</v>
          </cell>
          <cell r="B346" t="str">
            <v>Rua Francisco Justino de Azevedo, nº 63Cambuci</v>
          </cell>
          <cell r="C346" t="str">
            <v>(VENDIDO) Antigo Centro Social Marista Ir. Justino - São Paulo</v>
          </cell>
          <cell r="D346"/>
          <cell r="E346" t="str">
            <v>TERCEIROS VENDIDO</v>
          </cell>
          <cell r="F346" t="str">
            <v>Terceiro</v>
          </cell>
          <cell r="G346" t="str">
            <v>Edificado - Comercial</v>
          </cell>
          <cell r="H346"/>
          <cell r="I346" t="str">
            <v>Imobiliário</v>
          </cell>
          <cell r="J346" t="str">
            <v>Rua Francisco Justino de Azevedo, nº 63</v>
          </cell>
          <cell r="K346">
            <v>0</v>
          </cell>
          <cell r="L346"/>
          <cell r="M346" t="str">
            <v>Cambuci</v>
          </cell>
          <cell r="N346" t="str">
            <v>São Paulo</v>
          </cell>
          <cell r="O346" t="str">
            <v>São Paulo</v>
          </cell>
          <cell r="P346" t="str">
            <v>Brasil</v>
          </cell>
          <cell r="Q346"/>
        </row>
        <row r="347">
          <cell r="A347">
            <v>89394</v>
          </cell>
          <cell r="B347" t="str">
            <v>Rua Domingos de Moraes, 2565Vila Mariana</v>
          </cell>
          <cell r="C347" t="str">
            <v>Colégio Marista Arquidiocesano</v>
          </cell>
          <cell r="D347" t="str">
            <v>ASSOCIAÇÃO BRASILEIRA DE EDUCAÇÃO E CULTURA - ABEC</v>
          </cell>
          <cell r="E347" t="str">
            <v>ASSOCIAÇÃO BRASILEIRA DE EDUCAÇÃO E CULTURA - ABEC</v>
          </cell>
          <cell r="F347" t="str">
            <v>Próprio</v>
          </cell>
          <cell r="G347" t="str">
            <v>Edificado - Operacional</v>
          </cell>
          <cell r="H347"/>
          <cell r="I347" t="str">
            <v>Imobiliário</v>
          </cell>
          <cell r="J347" t="str">
            <v>Rua Domingos de Moraes, 2565</v>
          </cell>
          <cell r="K347">
            <v>0</v>
          </cell>
          <cell r="L347"/>
          <cell r="M347" t="str">
            <v>Vila Mariana</v>
          </cell>
          <cell r="N347" t="str">
            <v>São Paulo</v>
          </cell>
          <cell r="O347" t="str">
            <v>São Paulo</v>
          </cell>
          <cell r="P347" t="str">
            <v>Brasil</v>
          </cell>
          <cell r="Q347"/>
        </row>
        <row r="348">
          <cell r="A348">
            <v>169306</v>
          </cell>
          <cell r="B348" t="str">
            <v>Rua Justo Azambuja, 121 / 185 / 229Cambuci</v>
          </cell>
          <cell r="C348" t="str">
            <v>Colégio Marista Nossa Senhora da Glória</v>
          </cell>
          <cell r="D348" t="str">
            <v>ASSOCIAÇÃO BRASILEIRA DE EDUCAÇÃO E CULTURA - ABEC</v>
          </cell>
          <cell r="E348"/>
          <cell r="F348" t="str">
            <v>Próprio</v>
          </cell>
          <cell r="G348" t="str">
            <v>Lote / Terreno</v>
          </cell>
          <cell r="H348"/>
          <cell r="I348" t="str">
            <v>Imobiliário</v>
          </cell>
          <cell r="J348" t="str">
            <v>Rua Justo Azambuja, 121 / 185 / 229</v>
          </cell>
          <cell r="K348">
            <v>0</v>
          </cell>
          <cell r="L348"/>
          <cell r="M348" t="str">
            <v>Cambuci</v>
          </cell>
          <cell r="N348" t="str">
            <v>São Paulo</v>
          </cell>
          <cell r="O348" t="str">
            <v>São Paulo</v>
          </cell>
          <cell r="P348" t="str">
            <v>Brasil</v>
          </cell>
          <cell r="Q348"/>
        </row>
        <row r="349">
          <cell r="A349">
            <v>35234</v>
          </cell>
          <cell r="B349" t="str">
            <v>Rua Justo Azambuja, 121 / 185 / 229Cambuci</v>
          </cell>
          <cell r="C349" t="str">
            <v>Colégio Marista Nossa Senhora da Glória</v>
          </cell>
          <cell r="D349" t="str">
            <v>ASSOCIAÇÃO BRASILEIRA DE EDUCAÇÃO E CULTURA - ABEC</v>
          </cell>
          <cell r="E349"/>
          <cell r="F349" t="str">
            <v>Próprio</v>
          </cell>
          <cell r="G349" t="str">
            <v>Lote / Terreno</v>
          </cell>
          <cell r="H349"/>
          <cell r="I349" t="str">
            <v>Imobiliário</v>
          </cell>
          <cell r="J349" t="str">
            <v>Rua Justo Azambuja, 121 / 185 / 229</v>
          </cell>
          <cell r="K349">
            <v>0</v>
          </cell>
          <cell r="L349"/>
          <cell r="M349" t="str">
            <v>Cambuci</v>
          </cell>
          <cell r="N349" t="str">
            <v>São Paulo</v>
          </cell>
          <cell r="O349" t="str">
            <v>São Paulo</v>
          </cell>
          <cell r="P349" t="str">
            <v>Brasil</v>
          </cell>
          <cell r="Q349"/>
        </row>
        <row r="350">
          <cell r="A350">
            <v>22927</v>
          </cell>
          <cell r="B350" t="str">
            <v>Rua Justo Azambuja, 121 / 185 / 229Cambuci</v>
          </cell>
          <cell r="C350" t="str">
            <v>Colégio Marista Nossa Senhora da Glória</v>
          </cell>
          <cell r="D350" t="str">
            <v>ASSOCIAÇÃO BRASILEIRA DE EDUCAÇÃO E CULTURA - ABEC</v>
          </cell>
          <cell r="E350"/>
          <cell r="F350" t="str">
            <v>Próprio</v>
          </cell>
          <cell r="G350" t="str">
            <v>Lote / Terreno</v>
          </cell>
          <cell r="H350"/>
          <cell r="I350" t="str">
            <v>Imobiliário</v>
          </cell>
          <cell r="J350" t="str">
            <v>Rua Justo Azambuja, 121 / 185 / 229</v>
          </cell>
          <cell r="K350">
            <v>0</v>
          </cell>
          <cell r="L350"/>
          <cell r="M350" t="str">
            <v>Cambuci</v>
          </cell>
          <cell r="N350" t="str">
            <v>São Paulo</v>
          </cell>
          <cell r="O350" t="str">
            <v>São Paulo</v>
          </cell>
          <cell r="P350" t="str">
            <v>Brasil</v>
          </cell>
          <cell r="Q350"/>
        </row>
        <row r="351">
          <cell r="A351">
            <v>23587</v>
          </cell>
          <cell r="B351" t="str">
            <v>Rua Justo Azambuja, 121 / 185 / 229Cambuci</v>
          </cell>
          <cell r="C351" t="str">
            <v>Colégio Marista Nossa Senhora da Glória</v>
          </cell>
          <cell r="D351" t="str">
            <v>ASSOCIAÇÃO BRASILEIRA DE EDUCAÇÃO E CULTURA - ABEC</v>
          </cell>
          <cell r="E351"/>
          <cell r="F351" t="str">
            <v>Próprio</v>
          </cell>
          <cell r="G351" t="str">
            <v>Lote / Terreno</v>
          </cell>
          <cell r="H351"/>
          <cell r="I351" t="str">
            <v>Imobiliário</v>
          </cell>
          <cell r="J351" t="str">
            <v>Rua Justo Azambuja, 121 / 185 / 229</v>
          </cell>
          <cell r="K351">
            <v>0</v>
          </cell>
          <cell r="L351"/>
          <cell r="M351" t="str">
            <v>Cambuci</v>
          </cell>
          <cell r="N351" t="str">
            <v>São Paulo</v>
          </cell>
          <cell r="O351" t="str">
            <v>São Paulo</v>
          </cell>
          <cell r="P351" t="str">
            <v>Brasil</v>
          </cell>
          <cell r="Q351"/>
        </row>
        <row r="352">
          <cell r="A352">
            <v>28897</v>
          </cell>
          <cell r="B352" t="str">
            <v>Rua Justo Azambuja, 121 / 185 / 229Cambuci</v>
          </cell>
          <cell r="C352" t="str">
            <v>Colégio Marista Nossa Senhora da Glória</v>
          </cell>
          <cell r="D352" t="str">
            <v>ASSOCIAÇÃO BRASILEIRA DE EDUCAÇÃO E CULTURA - ABEC</v>
          </cell>
          <cell r="E352"/>
          <cell r="F352" t="str">
            <v>Próprio</v>
          </cell>
          <cell r="G352" t="str">
            <v>Lote / Terreno</v>
          </cell>
          <cell r="H352"/>
          <cell r="I352" t="str">
            <v>Imobiliário</v>
          </cell>
          <cell r="J352" t="str">
            <v>Rua Justo Azambuja, 121 / 185 / 229</v>
          </cell>
          <cell r="K352">
            <v>0</v>
          </cell>
          <cell r="L352"/>
          <cell r="M352" t="str">
            <v>Cambuci</v>
          </cell>
          <cell r="N352" t="str">
            <v>São Paulo</v>
          </cell>
          <cell r="O352" t="str">
            <v>São Paulo</v>
          </cell>
          <cell r="P352" t="str">
            <v>Brasil</v>
          </cell>
          <cell r="Q352"/>
        </row>
        <row r="353">
          <cell r="A353">
            <v>50257</v>
          </cell>
          <cell r="B353" t="str">
            <v>Rua Justo Azambuja, 121 / 185 / 229Cambuci</v>
          </cell>
          <cell r="C353" t="str">
            <v>Colégio Marista Nossa Senhora da Glória</v>
          </cell>
          <cell r="D353" t="str">
            <v>ASSOCIAÇÃO BRASILEIRA DE EDUCAÇÃO E CULTURA - ABEC</v>
          </cell>
          <cell r="E353"/>
          <cell r="F353" t="str">
            <v>Próprio</v>
          </cell>
          <cell r="G353" t="str">
            <v>Lote / Terreno</v>
          </cell>
          <cell r="H353"/>
          <cell r="I353" t="str">
            <v>Imobiliário</v>
          </cell>
          <cell r="J353" t="str">
            <v>Rua Justo Azambuja, 121 / 185 / 229</v>
          </cell>
          <cell r="K353">
            <v>0</v>
          </cell>
          <cell r="L353"/>
          <cell r="M353" t="str">
            <v>Cambuci</v>
          </cell>
          <cell r="N353" t="str">
            <v>São Paulo</v>
          </cell>
          <cell r="O353" t="str">
            <v>São Paulo</v>
          </cell>
          <cell r="P353" t="str">
            <v>Brasil</v>
          </cell>
          <cell r="Q353"/>
        </row>
        <row r="354">
          <cell r="A354">
            <v>178667</v>
          </cell>
          <cell r="B354" t="str">
            <v>Rua Rui Barbosa 78 / 82 / 88 / 112 / 124Bela Vista</v>
          </cell>
          <cell r="C354" t="str">
            <v>EDITORA FTD - Estacionamento São Paulo</v>
          </cell>
          <cell r="D354" t="str">
            <v>ASSOCIAÇÃO BRASILEIRA DE EDUCAÇÃO E CULTURA - ABEC</v>
          </cell>
          <cell r="E354" t="str">
            <v>ASSOCIAÇÃO BRASILEIRA DE EDUCAÇÃO E CULTURA - ABEC</v>
          </cell>
          <cell r="F354" t="str">
            <v>Próprio</v>
          </cell>
          <cell r="G354" t="str">
            <v>Lote / Terreno</v>
          </cell>
          <cell r="H354"/>
          <cell r="I354" t="str">
            <v>Imobiliário</v>
          </cell>
          <cell r="J354" t="str">
            <v>Rua Rui Barbosa 78 / 82 / 88 / 112 / 124</v>
          </cell>
          <cell r="K354">
            <v>0</v>
          </cell>
          <cell r="L354"/>
          <cell r="M354" t="str">
            <v>Bela Vista</v>
          </cell>
          <cell r="N354" t="str">
            <v>São Paulo</v>
          </cell>
          <cell r="O354" t="str">
            <v>São Paulo</v>
          </cell>
          <cell r="P354" t="str">
            <v>Brasil</v>
          </cell>
          <cell r="Q354"/>
        </row>
        <row r="355">
          <cell r="A355">
            <v>32953</v>
          </cell>
          <cell r="B355" t="str">
            <v>Estrada Almada, s/nÁreas de 18.533,65 e 3.015,57 m2Almada</v>
          </cell>
          <cell r="C355" t="str">
            <v>Ubatuba - 02 áreas</v>
          </cell>
          <cell r="D355" t="str">
            <v>ASSOCIAÇÃO BRASILEIRA DE EDUCAÇÃO E CULTURA - ABEC</v>
          </cell>
          <cell r="E355" t="str">
            <v>ASSOCIAÇÃO BRASILEIRA DE EDUCAÇÃO E CULTURA - ABEC</v>
          </cell>
          <cell r="F355" t="str">
            <v>Próprio</v>
          </cell>
          <cell r="G355" t="str">
            <v>Lotes / Terrenos</v>
          </cell>
          <cell r="H355"/>
          <cell r="I355" t="str">
            <v>Imobiliário</v>
          </cell>
          <cell r="J355" t="str">
            <v>Estrada Almada, s/n</v>
          </cell>
          <cell r="K355">
            <v>0</v>
          </cell>
          <cell r="L355" t="str">
            <v>Áreas de 18.533,65 e 3.015,57 m2</v>
          </cell>
          <cell r="M355" t="str">
            <v>Almada</v>
          </cell>
          <cell r="N355" t="str">
            <v>Ubatuba</v>
          </cell>
          <cell r="O355" t="str">
            <v>São Paulo</v>
          </cell>
          <cell r="P355" t="str">
            <v>Brasil</v>
          </cell>
          <cell r="Q355"/>
        </row>
        <row r="356">
          <cell r="A356">
            <v>32954</v>
          </cell>
          <cell r="B356" t="str">
            <v>Estrada Almada, s/nÁreas de 18.533,65 e 3.015,57 m2Almada</v>
          </cell>
          <cell r="C356" t="str">
            <v>Ubatuba - 02 áreas</v>
          </cell>
          <cell r="D356" t="str">
            <v>ASSOCIAÇÃO BRASILEIRA DE EDUCAÇÃO E CULTURA - ABEC</v>
          </cell>
          <cell r="E356" t="str">
            <v>ASSOCIAÇÃO BRASILEIRA DE EDUCAÇÃO E CULTURA - ABEC</v>
          </cell>
          <cell r="F356" t="str">
            <v>Próprio</v>
          </cell>
          <cell r="G356" t="str">
            <v>Lotes / Terrenos</v>
          </cell>
          <cell r="H356"/>
          <cell r="I356" t="str">
            <v>Imobiliário</v>
          </cell>
          <cell r="J356" t="str">
            <v>Estrada Almada, s/n</v>
          </cell>
          <cell r="K356">
            <v>0</v>
          </cell>
          <cell r="L356" t="str">
            <v>Áreas de 18.533,65 e 3.015,57 m2</v>
          </cell>
          <cell r="M356" t="str">
            <v>Almada</v>
          </cell>
          <cell r="N356" t="str">
            <v>Ubatuba</v>
          </cell>
          <cell r="O356" t="str">
            <v>São Paulo</v>
          </cell>
          <cell r="P356" t="str">
            <v>Brasil</v>
          </cell>
          <cell r="Q356"/>
        </row>
        <row r="357">
          <cell r="A357">
            <v>23178</v>
          </cell>
          <cell r="B357" t="str">
            <v>Rua Evaldo Schaffer, nº 493Ex Rua Projetada BJd. Atlântico</v>
          </cell>
          <cell r="C357" t="str">
            <v>Centro de Formação Champagnat - Florianópolis - Loteamento Vila Marista</v>
          </cell>
          <cell r="D357" t="str">
            <v>UNIÃO CATARINENSE DE EDUCAÇÃO - UCE</v>
          </cell>
          <cell r="E357" t="str">
            <v>UNIÃO CATARINENSE DE EDUCAÇÃO - UCE</v>
          </cell>
          <cell r="F357" t="str">
            <v>Próprio</v>
          </cell>
          <cell r="G357" t="str">
            <v>Edificado - Operacional</v>
          </cell>
          <cell r="H357"/>
          <cell r="I357" t="str">
            <v>Imobiliário</v>
          </cell>
          <cell r="J357" t="str">
            <v>Rua Evaldo Schaffer, nº 493</v>
          </cell>
          <cell r="K357">
            <v>0</v>
          </cell>
          <cell r="L357" t="str">
            <v>Ex Rua Projetada B</v>
          </cell>
          <cell r="M357" t="str">
            <v>Jd. Atlântico</v>
          </cell>
          <cell r="N357" t="str">
            <v>Florianópolis</v>
          </cell>
          <cell r="O357" t="str">
            <v>Santa Catarina</v>
          </cell>
          <cell r="P357" t="str">
            <v>Brasil</v>
          </cell>
          <cell r="Q357"/>
        </row>
        <row r="358">
          <cell r="A358">
            <v>9595</v>
          </cell>
          <cell r="B358" t="str">
            <v>Rua Evaldo Schaffer, nº 493Ex Rua Projetada BJd. Atlântico</v>
          </cell>
          <cell r="C358" t="str">
            <v>Centro de Formação Champagnat - Florianópolis - Loteamento Vila Marista</v>
          </cell>
          <cell r="D358" t="str">
            <v>UNIÃO CATARINENSE DE EDUCAÇÃO - UCE</v>
          </cell>
          <cell r="E358" t="str">
            <v>UNIÃO CATARINENSE DE EDUCAÇÃO - UCE</v>
          </cell>
          <cell r="F358" t="str">
            <v>Próprio</v>
          </cell>
          <cell r="G358" t="str">
            <v>Edificado - Operacional</v>
          </cell>
          <cell r="H358"/>
          <cell r="I358" t="str">
            <v>Imobiliário</v>
          </cell>
          <cell r="J358" t="str">
            <v>Rua Evaldo Schaffer, nº 493</v>
          </cell>
          <cell r="K358">
            <v>0</v>
          </cell>
          <cell r="L358" t="str">
            <v>Ex Rua Projetada B</v>
          </cell>
          <cell r="M358" t="str">
            <v>Jd. Atlântico</v>
          </cell>
          <cell r="N358" t="str">
            <v>Florianópolis</v>
          </cell>
          <cell r="O358" t="str">
            <v>Santa Catarina</v>
          </cell>
          <cell r="P358" t="str">
            <v>Brasil</v>
          </cell>
          <cell r="Q358"/>
        </row>
        <row r="359">
          <cell r="A359">
            <v>67927</v>
          </cell>
          <cell r="B359" t="str">
            <v>Av. Luciano Carneiro, 841Fátima</v>
          </cell>
          <cell r="C359" t="str">
            <v>EDITORA FTD - Galpão Fortaleza</v>
          </cell>
          <cell r="D359" t="str">
            <v>ASSOCIAÇÃO BRASILEIRA DE EDUCAÇÃO E CULTURA - ABEC</v>
          </cell>
          <cell r="E359" t="str">
            <v>ASSOCIAÇÃO BRASILEIRA DE EDUCAÇÃO E CULTURA - ABEC</v>
          </cell>
          <cell r="F359" t="str">
            <v>Próprio</v>
          </cell>
          <cell r="G359" t="str">
            <v>Edificado - Operacional</v>
          </cell>
          <cell r="H359"/>
          <cell r="I359" t="str">
            <v>Imobiliário</v>
          </cell>
          <cell r="J359" t="str">
            <v>Av. Luciano Carneiro, 841</v>
          </cell>
          <cell r="K359">
            <v>0</v>
          </cell>
          <cell r="L359"/>
          <cell r="M359" t="str">
            <v>Fátima</v>
          </cell>
          <cell r="N359" t="str">
            <v>Fortaleza</v>
          </cell>
          <cell r="O359" t="str">
            <v>Ceará</v>
          </cell>
          <cell r="P359" t="str">
            <v>Brasil</v>
          </cell>
          <cell r="Q359"/>
        </row>
        <row r="360">
          <cell r="A360">
            <v>40125</v>
          </cell>
          <cell r="B360" t="str">
            <v>Rod. SC 480, Km 4Rodeio Chato</v>
          </cell>
          <cell r="C360" t="str">
            <v>Chácara Rodeio Chato</v>
          </cell>
          <cell r="D360" t="str">
            <v>UNIÃO CATARINENSE DE EDUCAÇÃO - UCE</v>
          </cell>
          <cell r="E360" t="str">
            <v>UNIÃO CATARINENSE DE EDUCAÇÃO - UCE</v>
          </cell>
          <cell r="F360" t="str">
            <v>Próprio</v>
          </cell>
          <cell r="G360" t="str">
            <v>Chácara/Recanto/Fazenda</v>
          </cell>
          <cell r="H360"/>
          <cell r="I360" t="str">
            <v>Imobiliário</v>
          </cell>
          <cell r="J360" t="str">
            <v>Rod. SC 480, Km 4</v>
          </cell>
          <cell r="K360">
            <v>0</v>
          </cell>
          <cell r="L360"/>
          <cell r="M360" t="str">
            <v>Rodeio Chato</v>
          </cell>
          <cell r="N360" t="str">
            <v>Chapecó</v>
          </cell>
          <cell r="O360" t="str">
            <v>Santa Catarina</v>
          </cell>
          <cell r="P360" t="str">
            <v>Brasil</v>
          </cell>
          <cell r="Q360"/>
        </row>
        <row r="361">
          <cell r="A361">
            <v>49260</v>
          </cell>
          <cell r="B361" t="str">
            <v>Rod. SC 480, Km 4Rodeio Chato</v>
          </cell>
          <cell r="C361" t="str">
            <v>Chácara Rodeio Chato</v>
          </cell>
          <cell r="D361" t="str">
            <v>UNIÃO CATARINENSE DE EDUCAÇÃO - UCE</v>
          </cell>
          <cell r="E361" t="str">
            <v>UNIÃO CATARINENSE DE EDUCAÇÃO - UCE</v>
          </cell>
          <cell r="F361" t="str">
            <v>Próprio</v>
          </cell>
          <cell r="G361" t="str">
            <v>Chácara/Recanto/Fazenda</v>
          </cell>
          <cell r="H361"/>
          <cell r="I361" t="str">
            <v>Imobiliário</v>
          </cell>
          <cell r="J361" t="str">
            <v>Rod. SC 480, Km 4</v>
          </cell>
          <cell r="K361">
            <v>0</v>
          </cell>
          <cell r="L361"/>
          <cell r="M361" t="str">
            <v>Rodeio Chato</v>
          </cell>
          <cell r="N361" t="str">
            <v>Chapecó</v>
          </cell>
          <cell r="O361" t="str">
            <v>Santa Catarina</v>
          </cell>
          <cell r="P361" t="str">
            <v>Brasil</v>
          </cell>
          <cell r="Q361"/>
        </row>
        <row r="362">
          <cell r="A362">
            <v>103702</v>
          </cell>
          <cell r="B362" t="str">
            <v>Rua A - Residencial Ecológico OrleansFundos da Rua Helmut Strelow</v>
          </cell>
          <cell r="C362" t="str">
            <v>Residencial Ecológico Orleans - fundos da Rua Helmut Strelow</v>
          </cell>
          <cell r="D362" t="str">
            <v>ASSOCIAÇÃO BRASILEIRA DE EDUCAÇÃO E CULTURA - ABEC</v>
          </cell>
          <cell r="E362" t="str">
            <v>ASSOCIAÇÃO BRASILEIRA DE EDUCAÇÃO E CULTURA - ABEC</v>
          </cell>
          <cell r="F362" t="str">
            <v>Próprio</v>
          </cell>
          <cell r="G362" t="str">
            <v>Lote / Terreno</v>
          </cell>
          <cell r="H362"/>
          <cell r="I362" t="str">
            <v>Imobiliário</v>
          </cell>
          <cell r="J362" t="str">
            <v>Rua A - Residencial Ecológico Orleans</v>
          </cell>
          <cell r="K362">
            <v>0</v>
          </cell>
          <cell r="L362" t="str">
            <v>Fundos da Rua Helmut Strelow</v>
          </cell>
          <cell r="M362"/>
          <cell r="N362" t="str">
            <v>Joinville</v>
          </cell>
          <cell r="O362" t="str">
            <v>Santa Catarina</v>
          </cell>
          <cell r="P362" t="str">
            <v>Brasil</v>
          </cell>
          <cell r="Q362"/>
        </row>
        <row r="363">
          <cell r="A363">
            <v>72934</v>
          </cell>
          <cell r="B363" t="str">
            <v>BR 101São marcos</v>
          </cell>
          <cell r="C363" t="str">
            <v>Área Futuro Campus Joinville</v>
          </cell>
          <cell r="D363" t="str">
            <v>UNIÃO CATARINENSE DE EDUCAÇÃO - UCE</v>
          </cell>
          <cell r="E363"/>
          <cell r="F363" t="str">
            <v>Próprio</v>
          </cell>
          <cell r="G363" t="str">
            <v>Lote / Terreno</v>
          </cell>
          <cell r="H363"/>
          <cell r="I363" t="str">
            <v>Imobiliário</v>
          </cell>
          <cell r="J363" t="str">
            <v>BR 101</v>
          </cell>
          <cell r="K363">
            <v>0</v>
          </cell>
          <cell r="L363"/>
          <cell r="M363" t="str">
            <v>São marcos</v>
          </cell>
          <cell r="N363" t="str">
            <v>Joinville</v>
          </cell>
          <cell r="O363" t="str">
            <v>Santa Catarina</v>
          </cell>
          <cell r="P363" t="str">
            <v>Brasil</v>
          </cell>
          <cell r="Q363"/>
        </row>
        <row r="364">
          <cell r="A364">
            <v>4603</v>
          </cell>
          <cell r="B364" t="str">
            <v>Rua Vandenkolk, 137Olaria</v>
          </cell>
          <cell r="C364" t="str">
            <v>EDITORA FTD - Rio de Janeiro</v>
          </cell>
          <cell r="D364" t="str">
            <v>ASSOCIAÇÃO BRASILEIRA DE EDUCAÇÃO E CULTURA - ABEC</v>
          </cell>
          <cell r="E364" t="str">
            <v>ASSOCIAÇÃO BRASILEIRA DE EDUCAÇÃO E CULTURA - ABEC</v>
          </cell>
          <cell r="F364" t="str">
            <v>Próprio</v>
          </cell>
          <cell r="G364" t="str">
            <v>Edificado - Operacional</v>
          </cell>
          <cell r="H364"/>
          <cell r="I364" t="str">
            <v>Imobiliário</v>
          </cell>
          <cell r="J364" t="str">
            <v>Rua Vandenkolk, 137</v>
          </cell>
          <cell r="K364">
            <v>0</v>
          </cell>
          <cell r="L364"/>
          <cell r="M364" t="str">
            <v>Olaria</v>
          </cell>
          <cell r="N364" t="str">
            <v>Rio de Janeiro</v>
          </cell>
          <cell r="O364" t="str">
            <v>Rio de Janeiro</v>
          </cell>
          <cell r="P364" t="str">
            <v>Brasil</v>
          </cell>
          <cell r="Q364"/>
        </row>
        <row r="365">
          <cell r="A365">
            <v>40052</v>
          </cell>
          <cell r="B365" t="str">
            <v>Avenida Presidente Kennedy, 698Loja 07 - Box 09Centro</v>
          </cell>
          <cell r="C365" t="str">
            <v>Centro Comercial Campinas</v>
          </cell>
          <cell r="D365" t="str">
            <v>UNIÃO CATARINENSE DE EDUCAÇÃO - UCE</v>
          </cell>
          <cell r="E365" t="str">
            <v>UNIÃO CATARINENSE DE EDUCAÇÃO - UCE</v>
          </cell>
          <cell r="F365" t="str">
            <v>Próprio</v>
          </cell>
          <cell r="G365" t="str">
            <v>Edificado - Comercial</v>
          </cell>
          <cell r="H365"/>
          <cell r="I365" t="str">
            <v>Imobiliário</v>
          </cell>
          <cell r="J365" t="str">
            <v>Avenida Presidente Kennedy, 698</v>
          </cell>
          <cell r="K365">
            <v>0</v>
          </cell>
          <cell r="L365" t="str">
            <v>Loja 07 - Box 09</v>
          </cell>
          <cell r="M365" t="str">
            <v>Centro</v>
          </cell>
          <cell r="N365" t="str">
            <v>São José</v>
          </cell>
          <cell r="O365" t="str">
            <v>Santa Catarina</v>
          </cell>
          <cell r="P365" t="str">
            <v>Brasil</v>
          </cell>
          <cell r="Q365"/>
        </row>
        <row r="366">
          <cell r="A366">
            <v>40053</v>
          </cell>
          <cell r="B366" t="str">
            <v>Avenida Presidente Kennedy, 698Loja 07 - Box 09Centro</v>
          </cell>
          <cell r="C366" t="str">
            <v>Centro Comercial Campinas</v>
          </cell>
          <cell r="D366" t="str">
            <v>UNIÃO CATARINENSE DE EDUCAÇÃO - UCE</v>
          </cell>
          <cell r="E366" t="str">
            <v>UNIÃO CATARINENSE DE EDUCAÇÃO - UCE</v>
          </cell>
          <cell r="F366" t="str">
            <v>Próprio</v>
          </cell>
          <cell r="G366" t="str">
            <v>Edificado - Comercial</v>
          </cell>
          <cell r="H366"/>
          <cell r="I366" t="str">
            <v>Imobiliário</v>
          </cell>
          <cell r="J366" t="str">
            <v>Avenida Presidente Kennedy, 698</v>
          </cell>
          <cell r="K366">
            <v>0</v>
          </cell>
          <cell r="L366" t="str">
            <v>Loja 07 - Box 09</v>
          </cell>
          <cell r="M366" t="str">
            <v>Centro</v>
          </cell>
          <cell r="N366" t="str">
            <v>São José</v>
          </cell>
          <cell r="O366" t="str">
            <v>Santa Catarina</v>
          </cell>
          <cell r="P366" t="str">
            <v>Brasil</v>
          </cell>
          <cell r="Q366"/>
        </row>
        <row r="367">
          <cell r="A367">
            <v>36196</v>
          </cell>
          <cell r="B367" t="str">
            <v>Rua Prof. Simão José Hess, nº 190Trindade</v>
          </cell>
          <cell r="C367" t="str">
            <v>(VENDIDO) Casa de Repouso Marista / Casa do Estudante</v>
          </cell>
          <cell r="D367" t="str">
            <v>UNIÃO CATARINENSE DE EDUCAÇÃO - UCE</v>
          </cell>
          <cell r="E367" t="str">
            <v>UNIÃO CATARINENSE DE EDUCAÇÃO - UCE</v>
          </cell>
          <cell r="F367" t="str">
            <v>Próprio</v>
          </cell>
          <cell r="G367" t="str">
            <v>Edificado - Comercial</v>
          </cell>
          <cell r="H367"/>
          <cell r="I367" t="str">
            <v>Imobiliário</v>
          </cell>
          <cell r="J367" t="str">
            <v>Rua Prof. Simão José Hess, nº 190</v>
          </cell>
          <cell r="K367">
            <v>0</v>
          </cell>
          <cell r="L367"/>
          <cell r="M367" t="str">
            <v>Trindade</v>
          </cell>
          <cell r="N367" t="str">
            <v>Florianópolis</v>
          </cell>
          <cell r="O367" t="str">
            <v>Santa Catarina</v>
          </cell>
          <cell r="P367" t="str">
            <v>Brasil</v>
          </cell>
          <cell r="Q367"/>
        </row>
        <row r="368">
          <cell r="A368">
            <v>21356</v>
          </cell>
          <cell r="B368" t="str">
            <v>Rua dos Imigrantes, 500Rau</v>
          </cell>
          <cell r="C368" t="str">
            <v>Católica de Jaraguá do Sul</v>
          </cell>
          <cell r="D368" t="str">
            <v>FUNDAÇÃO EDUCACIONAL REGIONAL JARAGUAENSE - FERJ</v>
          </cell>
          <cell r="E368" t="str">
            <v>FUNDAÇÃO EDUCACIONAL REGIONAL JARAGUAENSE - FERJ</v>
          </cell>
          <cell r="F368" t="str">
            <v>Próprio</v>
          </cell>
          <cell r="G368" t="str">
            <v>Edificado - Operacional</v>
          </cell>
          <cell r="H368"/>
          <cell r="I368" t="str">
            <v>Imobiliário</v>
          </cell>
          <cell r="J368" t="str">
            <v>Rua dos Imigrantes, 500</v>
          </cell>
          <cell r="K368">
            <v>0</v>
          </cell>
          <cell r="L368"/>
          <cell r="M368" t="str">
            <v>Rau</v>
          </cell>
          <cell r="N368" t="str">
            <v>Jaraguá do Sul</v>
          </cell>
          <cell r="O368" t="str">
            <v>Santa Catarina</v>
          </cell>
          <cell r="P368" t="str">
            <v>Brasil</v>
          </cell>
          <cell r="Q368"/>
        </row>
        <row r="369">
          <cell r="A369">
            <v>37305</v>
          </cell>
          <cell r="B369" t="str">
            <v>Rua dos Imigrantes, 500Rau</v>
          </cell>
          <cell r="C369" t="str">
            <v>Católica de Jaraguá do Sul</v>
          </cell>
          <cell r="D369" t="str">
            <v>FUNDAÇÃO EDUCACIONAL REGIONAL JARAGUAENSE - FERJ</v>
          </cell>
          <cell r="E369" t="str">
            <v>FUNDAÇÃO EDUCACIONAL REGIONAL JARAGUAENSE - FERJ</v>
          </cell>
          <cell r="F369" t="str">
            <v>Próprio</v>
          </cell>
          <cell r="G369" t="str">
            <v>Edificado - Operacional</v>
          </cell>
          <cell r="H369"/>
          <cell r="I369" t="str">
            <v>Imobiliário</v>
          </cell>
          <cell r="J369" t="str">
            <v>Rua dos Imigrantes, 500</v>
          </cell>
          <cell r="K369">
            <v>0</v>
          </cell>
          <cell r="L369"/>
          <cell r="M369" t="str">
            <v>Rau</v>
          </cell>
          <cell r="N369" t="str">
            <v>Jaraguá do Sul</v>
          </cell>
          <cell r="O369" t="str">
            <v>Santa Catarina</v>
          </cell>
          <cell r="P369" t="str">
            <v>Brasil</v>
          </cell>
          <cell r="Q369"/>
        </row>
        <row r="370">
          <cell r="A370">
            <v>43884</v>
          </cell>
          <cell r="B370" t="str">
            <v>Rua dos Imigrantes, 500Rau</v>
          </cell>
          <cell r="C370" t="str">
            <v>Católica de Jaraguá do Sul</v>
          </cell>
          <cell r="D370" t="str">
            <v>FUNDAÇÃO EDUCACIONAL REGIONAL JARAGUAENSE - FERJ</v>
          </cell>
          <cell r="E370" t="str">
            <v>FUNDAÇÃO EDUCACIONAL REGIONAL JARAGUAENSE - FERJ</v>
          </cell>
          <cell r="F370" t="str">
            <v>Próprio</v>
          </cell>
          <cell r="G370" t="str">
            <v>Edificado - Operacional</v>
          </cell>
          <cell r="H370"/>
          <cell r="I370" t="str">
            <v>Imobiliário</v>
          </cell>
          <cell r="J370" t="str">
            <v>Rua dos Imigrantes, 500</v>
          </cell>
          <cell r="K370">
            <v>0</v>
          </cell>
          <cell r="L370"/>
          <cell r="M370" t="str">
            <v>Rau</v>
          </cell>
          <cell r="N370" t="str">
            <v>Jaraguá do Sul</v>
          </cell>
          <cell r="O370" t="str">
            <v>Santa Catarina</v>
          </cell>
          <cell r="P370" t="str">
            <v>Brasil</v>
          </cell>
          <cell r="Q370"/>
        </row>
        <row r="371">
          <cell r="A371">
            <v>43885</v>
          </cell>
          <cell r="B371" t="str">
            <v>Rua dos Imigrantes, 500Rau</v>
          </cell>
          <cell r="C371" t="str">
            <v>Católica de Jaraguá do Sul</v>
          </cell>
          <cell r="D371" t="str">
            <v>FUNDAÇÃO EDUCACIONAL REGIONAL JARAGUAENSE - FERJ</v>
          </cell>
          <cell r="E371" t="str">
            <v>FUNDAÇÃO EDUCACIONAL REGIONAL JARAGUAENSE - FERJ</v>
          </cell>
          <cell r="F371" t="str">
            <v>Próprio</v>
          </cell>
          <cell r="G371" t="str">
            <v>Edificado - Operacional</v>
          </cell>
          <cell r="H371"/>
          <cell r="I371" t="str">
            <v>Imobiliário</v>
          </cell>
          <cell r="J371" t="str">
            <v>Rua dos Imigrantes, 500</v>
          </cell>
          <cell r="K371">
            <v>0</v>
          </cell>
          <cell r="L371"/>
          <cell r="M371" t="str">
            <v>Rau</v>
          </cell>
          <cell r="N371" t="str">
            <v>Jaraguá do Sul</v>
          </cell>
          <cell r="O371" t="str">
            <v>Santa Catarina</v>
          </cell>
          <cell r="P371" t="str">
            <v>Brasil</v>
          </cell>
          <cell r="Q371"/>
        </row>
        <row r="372">
          <cell r="A372">
            <v>43886</v>
          </cell>
          <cell r="B372" t="str">
            <v>Rua dos Imigrantes, 500Rau</v>
          </cell>
          <cell r="C372" t="str">
            <v>Católica de Jaraguá do Sul</v>
          </cell>
          <cell r="D372" t="str">
            <v>FUNDAÇÃO EDUCACIONAL REGIONAL JARAGUAENSE - FERJ</v>
          </cell>
          <cell r="E372" t="str">
            <v>FUNDAÇÃO EDUCACIONAL REGIONAL JARAGUAENSE - FERJ</v>
          </cell>
          <cell r="F372" t="str">
            <v>Próprio</v>
          </cell>
          <cell r="G372" t="str">
            <v>Edificado - Operacional</v>
          </cell>
          <cell r="H372"/>
          <cell r="I372" t="str">
            <v>Imobiliário</v>
          </cell>
          <cell r="J372" t="str">
            <v>Rua dos Imigrantes, 500</v>
          </cell>
          <cell r="K372">
            <v>0</v>
          </cell>
          <cell r="L372"/>
          <cell r="M372" t="str">
            <v>Rau</v>
          </cell>
          <cell r="N372" t="str">
            <v>Jaraguá do Sul</v>
          </cell>
          <cell r="O372" t="str">
            <v>Santa Catarina</v>
          </cell>
          <cell r="P372" t="str">
            <v>Brasil</v>
          </cell>
          <cell r="Q372"/>
        </row>
        <row r="373">
          <cell r="A373">
            <v>43902</v>
          </cell>
          <cell r="B373" t="str">
            <v>Rua dos Imigrantes, 500Rau</v>
          </cell>
          <cell r="C373" t="str">
            <v>Católica de Jaraguá do Sul</v>
          </cell>
          <cell r="D373" t="str">
            <v>FUNDAÇÃO EDUCACIONAL REGIONAL JARAGUAENSE - FERJ</v>
          </cell>
          <cell r="E373" t="str">
            <v>FUNDAÇÃO EDUCACIONAL REGIONAL JARAGUAENSE - FERJ</v>
          </cell>
          <cell r="F373" t="str">
            <v>Próprio</v>
          </cell>
          <cell r="G373" t="str">
            <v>Edificado - Operacional</v>
          </cell>
          <cell r="H373"/>
          <cell r="I373" t="str">
            <v>Imobiliário</v>
          </cell>
          <cell r="J373" t="str">
            <v>Rua dos Imigrantes, 500</v>
          </cell>
          <cell r="K373">
            <v>0</v>
          </cell>
          <cell r="L373"/>
          <cell r="M373" t="str">
            <v>Rau</v>
          </cell>
          <cell r="N373" t="str">
            <v>Jaraguá do Sul</v>
          </cell>
          <cell r="O373" t="str">
            <v>Santa Catarina</v>
          </cell>
          <cell r="P373" t="str">
            <v>Brasil</v>
          </cell>
          <cell r="Q373"/>
        </row>
        <row r="374">
          <cell r="A374">
            <v>74049</v>
          </cell>
          <cell r="B374" t="str">
            <v>Rua dos Imigrantes, 500Rau</v>
          </cell>
          <cell r="C374" t="str">
            <v>Católica de Jaraguá do Sul</v>
          </cell>
          <cell r="D374" t="str">
            <v>FUNDAÇÃO EDUCACIONAL REGIONAL JARAGUAENSE - FERJ</v>
          </cell>
          <cell r="E374" t="str">
            <v>FUNDAÇÃO EDUCACIONAL REGIONAL JARAGUAENSE - FERJ</v>
          </cell>
          <cell r="F374" t="str">
            <v>Próprio</v>
          </cell>
          <cell r="G374" t="str">
            <v>Edificado - Operacional</v>
          </cell>
          <cell r="H374"/>
          <cell r="I374" t="str">
            <v>Imobiliário</v>
          </cell>
          <cell r="J374" t="str">
            <v>Rua dos Imigrantes, 500</v>
          </cell>
          <cell r="K374">
            <v>0</v>
          </cell>
          <cell r="L374"/>
          <cell r="M374" t="str">
            <v>Rau</v>
          </cell>
          <cell r="N374" t="str">
            <v>Jaraguá do Sul</v>
          </cell>
          <cell r="O374" t="str">
            <v>Santa Catarina</v>
          </cell>
          <cell r="P374" t="str">
            <v>Brasil</v>
          </cell>
          <cell r="Q374"/>
        </row>
        <row r="375">
          <cell r="A375">
            <v>3658</v>
          </cell>
          <cell r="B375" t="str">
            <v>Rua Bonifacio Vilela, nº 1.155Lotes 86 e 87 - Quadra 12Jardim Carvalho</v>
          </cell>
          <cell r="C375" t="str">
            <v>Colégio Marista Pio XII - Residência anexa</v>
          </cell>
          <cell r="D375" t="str">
            <v>ASSOCIAÇÃO BRASILEIRA DE EDUCAÇÃO E CULTURA - ABEC</v>
          </cell>
          <cell r="E375" t="str">
            <v>ASSOCIAÇÃO BRASILEIRA DE EDUCAÇÃO E CULTURA - ABEC</v>
          </cell>
          <cell r="F375" t="str">
            <v>Próprio</v>
          </cell>
          <cell r="G375" t="str">
            <v>Edificado - Comercial</v>
          </cell>
          <cell r="H375"/>
          <cell r="I375" t="str">
            <v>Imobiliário</v>
          </cell>
          <cell r="J375" t="str">
            <v>Rua Bonifacio Vilela, nº 1.155</v>
          </cell>
          <cell r="K375">
            <v>0</v>
          </cell>
          <cell r="L375" t="str">
            <v>Lotes 86 e 87 - Quadra 12</v>
          </cell>
          <cell r="M375" t="str">
            <v>Jardim Carvalho</v>
          </cell>
          <cell r="N375" t="str">
            <v>Ponta Grossa</v>
          </cell>
          <cell r="O375" t="str">
            <v>Paraná</v>
          </cell>
          <cell r="P375" t="str">
            <v>Brasil</v>
          </cell>
          <cell r="Q375"/>
        </row>
        <row r="376">
          <cell r="A376">
            <v>53005</v>
          </cell>
          <cell r="B376" t="str">
            <v>Rua Rui Barbosa, 156Bela Vista</v>
          </cell>
          <cell r="C376" t="str">
            <v>EDITORA FTD - Matriz São Paulo</v>
          </cell>
          <cell r="D376" t="str">
            <v>EDITORA FTD S/A</v>
          </cell>
          <cell r="E376" t="str">
            <v>EDITORA FTD S/A</v>
          </cell>
          <cell r="F376" t="str">
            <v>Próprio</v>
          </cell>
          <cell r="G376" t="str">
            <v>Edificado - Operacional</v>
          </cell>
          <cell r="H376"/>
          <cell r="I376" t="str">
            <v>Imobiliário</v>
          </cell>
          <cell r="J376" t="str">
            <v>Rua Rui Barbosa, 156</v>
          </cell>
          <cell r="K376">
            <v>0</v>
          </cell>
          <cell r="L376"/>
          <cell r="M376" t="str">
            <v>Bela Vista</v>
          </cell>
          <cell r="N376" t="str">
            <v>São Paulo</v>
          </cell>
          <cell r="O376" t="str">
            <v>São Paulo</v>
          </cell>
          <cell r="P376" t="str">
            <v>Brasil</v>
          </cell>
          <cell r="Q376"/>
        </row>
        <row r="377">
          <cell r="A377">
            <v>92702</v>
          </cell>
          <cell r="B377" t="str">
            <v>Rua 68, nº 710Centro</v>
          </cell>
          <cell r="C377" t="str">
            <v>EDITORA FTD - Filial Goiânia</v>
          </cell>
          <cell r="D377" t="str">
            <v>EDITORA FTD S/A</v>
          </cell>
          <cell r="E377" t="str">
            <v>EDITORA FTD S/A</v>
          </cell>
          <cell r="F377" t="str">
            <v>Próprio</v>
          </cell>
          <cell r="G377" t="str">
            <v>Edificado - Operacional</v>
          </cell>
          <cell r="H377"/>
          <cell r="I377" t="str">
            <v>Imobiliário</v>
          </cell>
          <cell r="J377" t="str">
            <v>Rua 68, nº 710</v>
          </cell>
          <cell r="K377">
            <v>0</v>
          </cell>
          <cell r="L377"/>
          <cell r="M377" t="str">
            <v>Centro</v>
          </cell>
          <cell r="N377" t="str">
            <v>Goiânia</v>
          </cell>
          <cell r="O377" t="str">
            <v>Goiás</v>
          </cell>
          <cell r="P377" t="str">
            <v>Brasil</v>
          </cell>
          <cell r="Q377"/>
        </row>
        <row r="378">
          <cell r="A378">
            <v>59107</v>
          </cell>
          <cell r="B378" t="str">
            <v>Rua Soldado Luís Gonzaga das Virgens, 156Pituba</v>
          </cell>
          <cell r="C378" t="str">
            <v>EDITORA FTD - Filial Salvador / BA</v>
          </cell>
          <cell r="D378" t="str">
            <v>EDITORA FTD S/A</v>
          </cell>
          <cell r="E378" t="str">
            <v>EDITORA FTD S/A</v>
          </cell>
          <cell r="F378" t="str">
            <v>Próprio</v>
          </cell>
          <cell r="G378" t="str">
            <v>Edificado - Operacional</v>
          </cell>
          <cell r="H378"/>
          <cell r="I378" t="str">
            <v>Imobiliário</v>
          </cell>
          <cell r="J378" t="str">
            <v>Rua Soldado Luís Gonzaga das Virgens, 156</v>
          </cell>
          <cell r="K378">
            <v>0</v>
          </cell>
          <cell r="L378"/>
          <cell r="M378" t="str">
            <v>Pituba</v>
          </cell>
          <cell r="N378" t="str">
            <v>Salvador</v>
          </cell>
          <cell r="O378" t="str">
            <v>Bahia</v>
          </cell>
          <cell r="P378" t="str">
            <v>Brasil</v>
          </cell>
          <cell r="Q378"/>
        </row>
        <row r="379">
          <cell r="A379">
            <v>12452</v>
          </cell>
          <cell r="B379" t="str">
            <v>Rua Presidente KennedyCentro</v>
          </cell>
          <cell r="C379" t="str">
            <v>Itapejara D'Oeste - Lagoa dos Patos</v>
          </cell>
          <cell r="D379" t="str">
            <v>ASSOCIAÇÃO BRASILEIRA DE EDUCAÇÃO E CULTURA - ABEC</v>
          </cell>
          <cell r="E379" t="str">
            <v>ASSOCIAÇÃO BRASILEIRA DE EDUCAÇÃO E CULTURA - ABEC</v>
          </cell>
          <cell r="F379" t="str">
            <v>Próprio</v>
          </cell>
          <cell r="G379" t="str">
            <v>Lote / Terreno</v>
          </cell>
          <cell r="H379"/>
          <cell r="I379" t="str">
            <v>Imobiliário</v>
          </cell>
          <cell r="J379" t="str">
            <v>Rua Presidente Kennedy</v>
          </cell>
          <cell r="K379">
            <v>0</v>
          </cell>
          <cell r="L379"/>
          <cell r="M379" t="str">
            <v>Centro</v>
          </cell>
          <cell r="N379" t="str">
            <v>Itapejara D'Oeste</v>
          </cell>
          <cell r="O379" t="str">
            <v>Paraná</v>
          </cell>
          <cell r="P379" t="str">
            <v>Brasil</v>
          </cell>
          <cell r="Q379"/>
        </row>
        <row r="380">
          <cell r="A380">
            <v>0</v>
          </cell>
          <cell r="B380" t="str">
            <v>Rodovia Amaro Antônio Vieira - Cemitério Municipal Itacorubi São Francisco de AssisItacorubi</v>
          </cell>
          <cell r="C380" t="str">
            <v>Jazigo - Florianópolis</v>
          </cell>
          <cell r="D380" t="str">
            <v>UNIÃO CATARINENSE DE EDUCAÇÃO - UCE</v>
          </cell>
          <cell r="E380" t="str">
            <v>UNIÃO CATARINENSE DE EDUCAÇÃO - UCE</v>
          </cell>
          <cell r="F380" t="str">
            <v>Próprio</v>
          </cell>
          <cell r="G380" t="str">
            <v>Jazigo</v>
          </cell>
          <cell r="H380"/>
          <cell r="I380" t="str">
            <v>Imobiliário</v>
          </cell>
          <cell r="J380" t="str">
            <v>Rodovia Amaro Antônio Vieira - Cemitério Municipal Itacorubi São Francisco de Assis</v>
          </cell>
          <cell r="K380">
            <v>0</v>
          </cell>
          <cell r="L380"/>
          <cell r="M380" t="str">
            <v>Itacorubi</v>
          </cell>
          <cell r="N380" t="str">
            <v>Florianópolis</v>
          </cell>
          <cell r="O380" t="str">
            <v>Santa Catarina</v>
          </cell>
          <cell r="P380" t="str">
            <v>Brasil</v>
          </cell>
          <cell r="Q380"/>
        </row>
        <row r="381">
          <cell r="A381">
            <v>11884</v>
          </cell>
          <cell r="B381" t="str">
            <v>Rua General Carneiron° 120 e 140</v>
          </cell>
          <cell r="C381" t="str">
            <v>Imóveis Paranaguá</v>
          </cell>
          <cell r="D381" t="str">
            <v>ASSOCIAÇÃO PARANAENSE DE CULTURA - APC</v>
          </cell>
          <cell r="E381"/>
          <cell r="F381" t="str">
            <v>Próprio</v>
          </cell>
          <cell r="G381" t="str">
            <v>Edificado</v>
          </cell>
          <cell r="H381"/>
          <cell r="I381" t="str">
            <v>Imobiliário</v>
          </cell>
          <cell r="J381" t="str">
            <v>Rua General Carneiro</v>
          </cell>
          <cell r="K381">
            <v>0</v>
          </cell>
          <cell r="L381" t="str">
            <v>n° 120 e 140</v>
          </cell>
          <cell r="M381"/>
          <cell r="N381" t="str">
            <v>Paranaguá</v>
          </cell>
          <cell r="O381" t="str">
            <v>Paraná</v>
          </cell>
          <cell r="P381" t="str">
            <v>Brasil</v>
          </cell>
          <cell r="Q381"/>
        </row>
        <row r="382">
          <cell r="A382">
            <v>32053</v>
          </cell>
          <cell r="B382" t="str">
            <v>Rua General Carneiron° 120 e 140</v>
          </cell>
          <cell r="C382" t="str">
            <v>Imóveis Paranaguá</v>
          </cell>
          <cell r="D382" t="str">
            <v>ASSOCIAÇÃO PARANAENSE DE CULTURA - APC</v>
          </cell>
          <cell r="E382"/>
          <cell r="F382" t="str">
            <v>Próprio</v>
          </cell>
          <cell r="G382" t="str">
            <v>Edificado</v>
          </cell>
          <cell r="H382"/>
          <cell r="I382" t="str">
            <v>Imobiliário</v>
          </cell>
          <cell r="J382" t="str">
            <v>Rua General Carneiro</v>
          </cell>
          <cell r="K382">
            <v>0</v>
          </cell>
          <cell r="L382" t="str">
            <v>n° 120 e 140</v>
          </cell>
          <cell r="M382"/>
          <cell r="N382" t="str">
            <v>Paranaguá</v>
          </cell>
          <cell r="O382" t="str">
            <v>Paraná</v>
          </cell>
          <cell r="P382" t="str">
            <v>Brasil</v>
          </cell>
          <cell r="Q382"/>
        </row>
        <row r="383">
          <cell r="A383">
            <v>28979</v>
          </cell>
          <cell r="B383" t="str">
            <v>Rua Manoel Joaquim Gregório, nº 99Bancários</v>
          </cell>
          <cell r="C383" t="str">
            <v>Postulado de Londrina</v>
          </cell>
          <cell r="D383" t="str">
            <v>ASSOCIAÇÃO BRASILEIRA DE EDUCAÇÃO E CULTURA - ABEC</v>
          </cell>
          <cell r="E383"/>
          <cell r="F383" t="str">
            <v>Próprio</v>
          </cell>
          <cell r="G383" t="str">
            <v>Edificado - Comercial</v>
          </cell>
          <cell r="H383"/>
          <cell r="I383" t="str">
            <v>Imobiliário</v>
          </cell>
          <cell r="J383" t="str">
            <v>Rua Manoel Joaquim Gregório, nº 99</v>
          </cell>
          <cell r="K383">
            <v>0</v>
          </cell>
          <cell r="L383"/>
          <cell r="M383" t="str">
            <v>Bancários</v>
          </cell>
          <cell r="N383" t="str">
            <v>Londrina</v>
          </cell>
          <cell r="O383" t="str">
            <v>Paraná</v>
          </cell>
          <cell r="P383" t="str">
            <v>Brasil</v>
          </cell>
          <cell r="Q383"/>
        </row>
        <row r="384">
          <cell r="A384">
            <v>34020</v>
          </cell>
          <cell r="B384" t="str">
            <v>Rua Agostinho Mendes, N° 0Lotes 02 e 03Bonfim Paulista</v>
          </cell>
          <cell r="C384" t="str">
            <v>(VENDIDO) Recanto Marista de Ribeirão Preto / SP</v>
          </cell>
          <cell r="D384" t="str">
            <v>ASSOCIAÇÃO BRASILEIRA DE EDUCAÇÃO E CULTURA - ABEC</v>
          </cell>
          <cell r="E384"/>
          <cell r="F384" t="str">
            <v>Próprio</v>
          </cell>
          <cell r="G384" t="str">
            <v>Chácara/Recanto/Fazenda</v>
          </cell>
          <cell r="H384"/>
          <cell r="I384" t="str">
            <v>Imobiliário</v>
          </cell>
          <cell r="J384" t="str">
            <v>Rua Agostinho Mendes, N° 0</v>
          </cell>
          <cell r="K384">
            <v>0</v>
          </cell>
          <cell r="L384" t="str">
            <v>Lotes 02 e 03</v>
          </cell>
          <cell r="M384" t="str">
            <v>Bonfim Paulista</v>
          </cell>
          <cell r="N384" t="str">
            <v>Ribeirão Preto</v>
          </cell>
          <cell r="O384" t="str">
            <v>São Paulo</v>
          </cell>
          <cell r="P384" t="str">
            <v>Brasil</v>
          </cell>
          <cell r="Q384"/>
        </row>
        <row r="385">
          <cell r="A385">
            <v>44061</v>
          </cell>
          <cell r="B385" t="str">
            <v>Rua Agostinho Mendes, N° 0Lotes 02 e 03Bonfim Paulista</v>
          </cell>
          <cell r="C385" t="str">
            <v>(VENDIDO) Recanto Marista de Ribeirão Preto / SP</v>
          </cell>
          <cell r="D385" t="str">
            <v>ASSOCIAÇÃO BRASILEIRA DE EDUCAÇÃO E CULTURA - ABEC</v>
          </cell>
          <cell r="E385"/>
          <cell r="F385" t="str">
            <v>Próprio</v>
          </cell>
          <cell r="G385" t="str">
            <v>Chácara/Recanto/Fazenda</v>
          </cell>
          <cell r="H385"/>
          <cell r="I385" t="str">
            <v>Imobiliário</v>
          </cell>
          <cell r="J385" t="str">
            <v>Rua Agostinho Mendes, N° 0</v>
          </cell>
          <cell r="K385">
            <v>0</v>
          </cell>
          <cell r="L385" t="str">
            <v>Lotes 02 e 03</v>
          </cell>
          <cell r="M385" t="str">
            <v>Bonfim Paulista</v>
          </cell>
          <cell r="N385" t="str">
            <v>Ribeirão Preto</v>
          </cell>
          <cell r="O385" t="str">
            <v>São Paulo</v>
          </cell>
          <cell r="P385" t="str">
            <v>Brasil</v>
          </cell>
          <cell r="Q385"/>
        </row>
        <row r="386">
          <cell r="A386">
            <v>44061</v>
          </cell>
          <cell r="B386" t="str">
            <v>Av. Engenheiro Luiz Gomes Cardim SangirardiAp 43 - 04° andarVila Mariana</v>
          </cell>
          <cell r="C386" t="str">
            <v>Apartamento - Edifício Porto Maggiore (vendido)</v>
          </cell>
          <cell r="D386" t="str">
            <v>ASSOCIAÇÃO BRASILEIRA DE EDUCAÇÃO E CULTURA - ABEC</v>
          </cell>
          <cell r="E386"/>
          <cell r="F386" t="str">
            <v>Terceiro</v>
          </cell>
          <cell r="G386" t="str">
            <v>Edificado</v>
          </cell>
          <cell r="H386"/>
          <cell r="I386" t="str">
            <v>Imobiliário</v>
          </cell>
          <cell r="J386" t="str">
            <v>Av. Engenheiro Luiz Gomes Cardim Sangirardi</v>
          </cell>
          <cell r="K386">
            <v>0</v>
          </cell>
          <cell r="L386" t="str">
            <v>Ap 43 - 04° andar</v>
          </cell>
          <cell r="M386" t="str">
            <v>Vila Mariana</v>
          </cell>
          <cell r="N386" t="str">
            <v>São Paulo</v>
          </cell>
          <cell r="O386" t="str">
            <v>São Paulo</v>
          </cell>
          <cell r="P386" t="str">
            <v>Brasil</v>
          </cell>
          <cell r="Q386"/>
        </row>
        <row r="387">
          <cell r="A387">
            <v>44061</v>
          </cell>
          <cell r="B387" t="str">
            <v>Rua Rio TocantisLote n° 14, Setor 01Dom Bosco</v>
          </cell>
          <cell r="C387" t="str">
            <v>Lote</v>
          </cell>
          <cell r="D387" t="str">
            <v>UNIÃO CATARINENSE DE EDUCAÇÃO - UCE</v>
          </cell>
          <cell r="E387"/>
          <cell r="F387" t="str">
            <v>Próprio</v>
          </cell>
          <cell r="G387" t="str">
            <v>Lotes / Terrenos</v>
          </cell>
          <cell r="H387"/>
          <cell r="I387" t="str">
            <v>Imobiliário</v>
          </cell>
          <cell r="J387" t="str">
            <v>Rua Rio Tocantis</v>
          </cell>
          <cell r="K387">
            <v>0</v>
          </cell>
          <cell r="L387" t="str">
            <v>Lote n° 14, Setor 01</v>
          </cell>
          <cell r="M387" t="str">
            <v>Dom Bosco</v>
          </cell>
          <cell r="N387" t="str">
            <v>Ji-Paraná</v>
          </cell>
          <cell r="O387" t="str">
            <v>Rondônia</v>
          </cell>
          <cell r="P387" t="str">
            <v>Brasil</v>
          </cell>
          <cell r="Q387"/>
        </row>
        <row r="388">
          <cell r="A388">
            <v>9057</v>
          </cell>
          <cell r="B388" t="str">
            <v>Avenida Vieira dos Santos, 483Centro</v>
          </cell>
          <cell r="C388" t="str">
            <v>Lote</v>
          </cell>
          <cell r="D388" t="str">
            <v>ASSOCIAÇÃO BRASILEIRA DE EDUCAÇÃO E CULTURA - ABEC</v>
          </cell>
          <cell r="E388"/>
          <cell r="F388" t="str">
            <v>Próprio</v>
          </cell>
          <cell r="G388" t="str">
            <v>Lote / Terreno</v>
          </cell>
          <cell r="H388"/>
          <cell r="I388" t="str">
            <v>Imobiliário</v>
          </cell>
          <cell r="J388" t="str">
            <v>Avenida Vieira dos Santos, 483</v>
          </cell>
          <cell r="K388">
            <v>0</v>
          </cell>
          <cell r="L388"/>
          <cell r="M388" t="str">
            <v>Centro</v>
          </cell>
          <cell r="N388" t="str">
            <v>São João</v>
          </cell>
          <cell r="O388" t="str">
            <v>Paraná</v>
          </cell>
          <cell r="P388" t="str">
            <v>Brasil</v>
          </cell>
          <cell r="Q388"/>
        </row>
        <row r="389">
          <cell r="A389">
            <v>56292</v>
          </cell>
          <cell r="B389" t="str">
            <v>Av. Jockey Club, 485Hípica</v>
          </cell>
          <cell r="C389" t="str">
            <v>PUC - Campus Londrina</v>
          </cell>
          <cell r="D389" t="str">
            <v>ASSOCIAÇÃO PARANAENSE DE CULTURA - APC</v>
          </cell>
          <cell r="E389"/>
          <cell r="F389" t="str">
            <v>Terceiro</v>
          </cell>
          <cell r="G389" t="str">
            <v>Edificado - Operacional</v>
          </cell>
          <cell r="H389"/>
          <cell r="I389" t="str">
            <v>Imobiliário</v>
          </cell>
          <cell r="J389" t="str">
            <v>Av. Jockey Club, 485</v>
          </cell>
          <cell r="K389">
            <v>0</v>
          </cell>
          <cell r="L389"/>
          <cell r="M389" t="str">
            <v>Hípica</v>
          </cell>
          <cell r="N389" t="str">
            <v>Londrina</v>
          </cell>
          <cell r="O389" t="str">
            <v>Paraná</v>
          </cell>
          <cell r="P389" t="str">
            <v>Brasil</v>
          </cell>
          <cell r="Q389"/>
        </row>
        <row r="390">
          <cell r="A390">
            <v>1699</v>
          </cell>
          <cell r="B390" t="str">
            <v>Rod. Prefeito Francisco Teixeira, s/nCosta da Serra</v>
          </cell>
          <cell r="C390" t="str">
            <v>CETAS - Tijucas do Sul - ABEC</v>
          </cell>
          <cell r="D390" t="str">
            <v>ASSOCIAÇÃO BRASILEIRA DE EDUCAÇÃO E CULTURA - ABEC</v>
          </cell>
          <cell r="E390"/>
          <cell r="F390" t="str">
            <v>Próprio</v>
          </cell>
          <cell r="G390" t="str">
            <v>Lote / Terreno</v>
          </cell>
          <cell r="H390"/>
          <cell r="I390" t="str">
            <v>Imobiliário</v>
          </cell>
          <cell r="J390" t="str">
            <v>Rod. Prefeito Francisco Teixeira, s/n</v>
          </cell>
          <cell r="K390">
            <v>0</v>
          </cell>
          <cell r="L390"/>
          <cell r="M390" t="str">
            <v>Costa da Serra</v>
          </cell>
          <cell r="N390" t="str">
            <v>Tijucas do Sul</v>
          </cell>
          <cell r="O390" t="str">
            <v>Paraná</v>
          </cell>
          <cell r="P390" t="str">
            <v>Brasil</v>
          </cell>
          <cell r="Q390"/>
        </row>
        <row r="391">
          <cell r="A391">
            <v>47942</v>
          </cell>
          <cell r="B391" t="str">
            <v>Rua Fazenda Iguaçú, s/nProlongamento da Avenida VenezuelaCapocu</v>
          </cell>
          <cell r="C391" t="str">
            <v>Fazenda Experimental Gralha Azul - ABEC - Áreas Externas</v>
          </cell>
          <cell r="D391" t="str">
            <v>ASSOCIAÇÃO BRASILEIRA DE EDUCAÇÃO E CULTURA - ABEC</v>
          </cell>
          <cell r="E391"/>
          <cell r="F391" t="str">
            <v>Próprio</v>
          </cell>
          <cell r="G391" t="str">
            <v>Lote / Terreno</v>
          </cell>
          <cell r="H391"/>
          <cell r="I391" t="str">
            <v>Imobiliário</v>
          </cell>
          <cell r="J391" t="str">
            <v>Rua Fazenda Iguaçú, s/n</v>
          </cell>
          <cell r="K391">
            <v>0</v>
          </cell>
          <cell r="L391" t="str">
            <v>Prolongamento da Avenida Venezuela</v>
          </cell>
          <cell r="M391" t="str">
            <v>Capocu</v>
          </cell>
          <cell r="N391" t="str">
            <v>Fazenda Rio Grande</v>
          </cell>
          <cell r="O391" t="str">
            <v>Paraná</v>
          </cell>
          <cell r="P391" t="str">
            <v>Brasil</v>
          </cell>
          <cell r="Q391"/>
        </row>
        <row r="392">
          <cell r="A392">
            <v>47941</v>
          </cell>
          <cell r="B392" t="str">
            <v>Rua Fazenda Iguaçú, s/nProlongamento da Avenida VenezuelaCapocu</v>
          </cell>
          <cell r="C392" t="str">
            <v>Fazenda Experimental Gralha Azul - ABEC - Áreas Externas</v>
          </cell>
          <cell r="D392" t="str">
            <v>ASSOCIAÇÃO BRASILEIRA DE EDUCAÇÃO E CULTURA - ABEC</v>
          </cell>
          <cell r="E392"/>
          <cell r="F392" t="str">
            <v>Próprio</v>
          </cell>
          <cell r="G392" t="str">
            <v>Lote / Terreno</v>
          </cell>
          <cell r="H392"/>
          <cell r="I392" t="str">
            <v>Imobiliário</v>
          </cell>
          <cell r="J392" t="str">
            <v>Rua Fazenda Iguaçú, s/n</v>
          </cell>
          <cell r="K392">
            <v>0</v>
          </cell>
          <cell r="L392" t="str">
            <v>Prolongamento da Avenida Venezuela</v>
          </cell>
          <cell r="M392" t="str">
            <v>Capocu</v>
          </cell>
          <cell r="N392" t="str">
            <v>Fazenda Rio Grande</v>
          </cell>
          <cell r="O392" t="str">
            <v>Paraná</v>
          </cell>
          <cell r="P392" t="str">
            <v>Brasil</v>
          </cell>
          <cell r="Q392"/>
        </row>
        <row r="393">
          <cell r="A393">
            <v>20182</v>
          </cell>
          <cell r="B393" t="str">
            <v>Rua Iapó, 956Prado Velho</v>
          </cell>
          <cell r="C393" t="str">
            <v>Estacionamento Alternativo C (3) - Campus Curitiba - APC</v>
          </cell>
          <cell r="D393" t="str">
            <v>ASSOCIAÇÃO PARANAENSE DE CULTURA - APC</v>
          </cell>
          <cell r="E393" t="str">
            <v>ASSOCIAÇÃO PARANAENSE DE CULTURA - APC</v>
          </cell>
          <cell r="F393" t="str">
            <v>Próprio</v>
          </cell>
          <cell r="G393" t="str">
            <v>Lote / Terreno</v>
          </cell>
          <cell r="H393"/>
          <cell r="I393" t="str">
            <v>Imobiliário</v>
          </cell>
          <cell r="J393" t="str">
            <v>Rua Iapó, 956</v>
          </cell>
          <cell r="K393">
            <v>0</v>
          </cell>
          <cell r="L393"/>
          <cell r="M393" t="str">
            <v>Prado Velho</v>
          </cell>
          <cell r="N393" t="str">
            <v>Curitiba</v>
          </cell>
          <cell r="O393" t="str">
            <v>Paraná</v>
          </cell>
          <cell r="P393" t="str">
            <v>Brasil</v>
          </cell>
          <cell r="Q393"/>
        </row>
        <row r="394">
          <cell r="A394">
            <v>0</v>
          </cell>
          <cell r="B394" t="str">
            <v>Rua Francisco Nunes 1129TerrenosPrado Velho</v>
          </cell>
          <cell r="C394" t="str">
            <v>(VENDIDO) - 03 Terrenos Estacionamento Alternativo B</v>
          </cell>
          <cell r="D394" t="str">
            <v>ASSOCIAÇÃO PARANAENSE DE CULTURA - APC</v>
          </cell>
          <cell r="E394"/>
          <cell r="F394" t="str">
            <v>Próprio</v>
          </cell>
          <cell r="G394" t="str">
            <v>Lote / Terreno</v>
          </cell>
          <cell r="H394"/>
          <cell r="I394" t="str">
            <v>Imobiliário</v>
          </cell>
          <cell r="J394" t="str">
            <v>Rua Francisco Nunes 1129</v>
          </cell>
          <cell r="K394">
            <v>0</v>
          </cell>
          <cell r="L394" t="str">
            <v>Terrenos</v>
          </cell>
          <cell r="M394" t="str">
            <v>Prado Velho</v>
          </cell>
          <cell r="N394" t="str">
            <v>Curitiba</v>
          </cell>
          <cell r="O394" t="str">
            <v>Paraná</v>
          </cell>
          <cell r="P394" t="str">
            <v>Brasil</v>
          </cell>
          <cell r="Q394"/>
        </row>
        <row r="395">
          <cell r="A395">
            <v>15170</v>
          </cell>
          <cell r="B395" t="str">
            <v>Rua Nilo Peçanha, 3.640São Francisco</v>
          </cell>
          <cell r="C395" t="str">
            <v>( VENDIDO) Nilo Peçanha 3640 - Sobrado (Antiga Residência Irmãos)</v>
          </cell>
          <cell r="D395" t="str">
            <v>ASSOCIAÇÃO BRASILEIRA DE EDUCAÇÃO E CULTURA - ABEC</v>
          </cell>
          <cell r="E395"/>
          <cell r="F395" t="str">
            <v>Próprio</v>
          </cell>
          <cell r="G395" t="str">
            <v>Edificado</v>
          </cell>
          <cell r="H395"/>
          <cell r="I395" t="str">
            <v>Imobiliário</v>
          </cell>
          <cell r="J395" t="str">
            <v>Rua Nilo Peçanha, 3.640</v>
          </cell>
          <cell r="K395">
            <v>0</v>
          </cell>
          <cell r="L395"/>
          <cell r="M395" t="str">
            <v>São Francisco</v>
          </cell>
          <cell r="N395" t="str">
            <v>Curitiba</v>
          </cell>
          <cell r="O395" t="str">
            <v>Paraná</v>
          </cell>
          <cell r="P395" t="str">
            <v>Brasil</v>
          </cell>
          <cell r="Q395"/>
        </row>
        <row r="396">
          <cell r="A396">
            <v>2717</v>
          </cell>
          <cell r="B396" t="str">
            <v>Rua Francisco Nunes, 951Prado Velho</v>
          </cell>
          <cell r="C396" t="str">
            <v>Barracão Francisco Nunes 951</v>
          </cell>
          <cell r="D396" t="str">
            <v>ASSOCIAÇÃO BRASILEIRA DE EDUCAÇÃO E CULTURA - ABEC</v>
          </cell>
          <cell r="E396"/>
          <cell r="F396" t="str">
            <v>Próprio</v>
          </cell>
          <cell r="G396" t="str">
            <v>Edificado - Operacional</v>
          </cell>
          <cell r="H396"/>
          <cell r="I396" t="str">
            <v>Imobiliário</v>
          </cell>
          <cell r="J396" t="str">
            <v>Rua Francisco Nunes, 951</v>
          </cell>
          <cell r="K396">
            <v>0</v>
          </cell>
          <cell r="L396"/>
          <cell r="M396" t="str">
            <v>Prado Velho</v>
          </cell>
          <cell r="N396" t="str">
            <v>Curitiba</v>
          </cell>
          <cell r="O396" t="str">
            <v>Paraná</v>
          </cell>
          <cell r="P396" t="str">
            <v>Brasil</v>
          </cell>
          <cell r="Q396"/>
        </row>
        <row r="397">
          <cell r="A397">
            <v>24025</v>
          </cell>
          <cell r="B397" t="str">
            <v>Rua Guabirotuba, 325Prado Velho</v>
          </cell>
          <cell r="C397" t="str">
            <v>Terreno Padres Maristas</v>
          </cell>
          <cell r="D397" t="str">
            <v>ASSOCIAÇÃO BRASILEIRA DE EDUCAÇÃO E CULTURA - ABEC</v>
          </cell>
          <cell r="E397"/>
          <cell r="F397" t="str">
            <v>Próprio</v>
          </cell>
          <cell r="G397" t="str">
            <v>Lote / Terreno</v>
          </cell>
          <cell r="H397"/>
          <cell r="I397" t="str">
            <v>Imobiliário</v>
          </cell>
          <cell r="J397" t="str">
            <v>Rua Guabirotuba, 325</v>
          </cell>
          <cell r="K397">
            <v>0</v>
          </cell>
          <cell r="L397"/>
          <cell r="M397" t="str">
            <v>Prado Velho</v>
          </cell>
          <cell r="N397" t="str">
            <v>Curitiba</v>
          </cell>
          <cell r="O397" t="str">
            <v>Paraná</v>
          </cell>
          <cell r="P397" t="str">
            <v>Brasil</v>
          </cell>
          <cell r="Q397"/>
        </row>
        <row r="398">
          <cell r="A398">
            <v>0</v>
          </cell>
          <cell r="B398" t="str">
            <v>Cemitério Municipal de CuritibaLote 12 - Q-145Água Verde</v>
          </cell>
          <cell r="C398" t="str">
            <v>Jazigo - Curitiba</v>
          </cell>
          <cell r="D398" t="str">
            <v>ASSOCIAÇÃO BRASILEIRA DE EDUCAÇÃO E CULTURA - ABEC</v>
          </cell>
          <cell r="E398" t="str">
            <v>ASSOCIAÇÃO BRASILEIRA DE EDUCAÇÃO E CULTURA - ABEC</v>
          </cell>
          <cell r="F398" t="str">
            <v>Próprio</v>
          </cell>
          <cell r="G398" t="str">
            <v>Lote / Terreno</v>
          </cell>
          <cell r="H398"/>
          <cell r="I398" t="str">
            <v>Imobiliário</v>
          </cell>
          <cell r="J398" t="str">
            <v>Cemitério Municipal de Curitiba</v>
          </cell>
          <cell r="K398">
            <v>0</v>
          </cell>
          <cell r="L398" t="str">
            <v>Lote 12 - Q-145</v>
          </cell>
          <cell r="M398" t="str">
            <v>Água Verde</v>
          </cell>
          <cell r="N398" t="str">
            <v>Curitiba</v>
          </cell>
          <cell r="O398" t="str">
            <v>Paraná</v>
          </cell>
          <cell r="P398" t="str">
            <v>Brasil</v>
          </cell>
          <cell r="Q398"/>
        </row>
        <row r="399">
          <cell r="A399">
            <v>22684</v>
          </cell>
          <cell r="B399" t="str">
            <v>Rua XV de Novembro, nº 904 e 950Centro</v>
          </cell>
          <cell r="C399" t="str">
            <v>(VENDIDO) Antigo Colégio Santa Maria - Próximo Passo e Tecnólogos</v>
          </cell>
          <cell r="D399" t="str">
            <v>ASSOCIAÇÃO BRASILEIRA DE EDUCAÇÃO E CULTURA - ABEC</v>
          </cell>
          <cell r="E399" t="str">
            <v>ASSOCIAÇÃO BRASILEIRA DE EDUCAÇÃO E CULTURA - ABEC</v>
          </cell>
          <cell r="F399" t="str">
            <v>Próprio</v>
          </cell>
          <cell r="G399" t="str">
            <v>Edificado - Comercial</v>
          </cell>
          <cell r="H399"/>
          <cell r="I399" t="str">
            <v>Imobiliário</v>
          </cell>
          <cell r="J399" t="str">
            <v>Rua XV de Novembro, nº 904 e 950</v>
          </cell>
          <cell r="K399">
            <v>0</v>
          </cell>
          <cell r="L399"/>
          <cell r="M399" t="str">
            <v>Centro</v>
          </cell>
          <cell r="N399" t="str">
            <v>Curitiba</v>
          </cell>
          <cell r="O399" t="str">
            <v>Paraná</v>
          </cell>
          <cell r="P399" t="str">
            <v>Brasil</v>
          </cell>
          <cell r="Q399"/>
        </row>
        <row r="400">
          <cell r="A400">
            <v>76099</v>
          </cell>
          <cell r="B400" t="str">
            <v>Rua XV de Novembro, nº 904 e 950Centro</v>
          </cell>
          <cell r="C400" t="str">
            <v>(VENDIDO) Antigo Colégio Santa Maria - Próximo Passo e Tecnólogos</v>
          </cell>
          <cell r="D400" t="str">
            <v>ASSOCIAÇÃO BRASILEIRA DE EDUCAÇÃO E CULTURA - ABEC</v>
          </cell>
          <cell r="E400" t="str">
            <v>ASSOCIAÇÃO BRASILEIRA DE EDUCAÇÃO E CULTURA - ABEC</v>
          </cell>
          <cell r="F400" t="str">
            <v>Próprio</v>
          </cell>
          <cell r="G400" t="str">
            <v>Edificado - Comercial</v>
          </cell>
          <cell r="H400"/>
          <cell r="I400" t="str">
            <v>Imobiliário</v>
          </cell>
          <cell r="J400" t="str">
            <v>Rua XV de Novembro, nº 904 e 950</v>
          </cell>
          <cell r="K400">
            <v>0</v>
          </cell>
          <cell r="L400"/>
          <cell r="M400" t="str">
            <v>Centro</v>
          </cell>
          <cell r="N400" t="str">
            <v>Curitiba</v>
          </cell>
          <cell r="O400" t="str">
            <v>Paraná</v>
          </cell>
          <cell r="P400" t="str">
            <v>Brasil</v>
          </cell>
          <cell r="Q400"/>
        </row>
        <row r="401">
          <cell r="A401">
            <v>27532</v>
          </cell>
          <cell r="B401" t="str">
            <v>Avenida Sen. Salgado Filho, nº 1476 / 1474Guabirotuba</v>
          </cell>
          <cell r="C401" t="str">
            <v>Prédio Salgado Filho</v>
          </cell>
          <cell r="D401" t="str">
            <v>ASSOCIAÇÃO BRASILEIRA DE EDUCAÇÃO E CULTURA - ABEC</v>
          </cell>
          <cell r="E401" t="str">
            <v>ASSOCIAÇÃO BRASILEIRA DE EDUCAÇÃO E CULTURA - ABEC</v>
          </cell>
          <cell r="F401" t="str">
            <v>Próprio</v>
          </cell>
          <cell r="G401" t="str">
            <v>Edificado - Comercial</v>
          </cell>
          <cell r="H401"/>
          <cell r="I401" t="str">
            <v>Imobiliário</v>
          </cell>
          <cell r="J401" t="str">
            <v>Avenida Sen. Salgado Filho, nº 1476 / 1474</v>
          </cell>
          <cell r="K401">
            <v>0</v>
          </cell>
          <cell r="L401"/>
          <cell r="M401" t="str">
            <v>Guabirotuba</v>
          </cell>
          <cell r="N401" t="str">
            <v>Curitiba</v>
          </cell>
          <cell r="O401" t="str">
            <v>Paraná</v>
          </cell>
          <cell r="P401" t="str">
            <v>Brasil</v>
          </cell>
          <cell r="Q401"/>
        </row>
        <row r="402">
          <cell r="A402">
            <v>15171</v>
          </cell>
          <cell r="B402" t="str">
            <v>Rua Nilo Peçanha, nº 3.640 / 3.660Pilarzinho / São Lourenço</v>
          </cell>
          <cell r="C402" t="str">
            <v>Nilo Peçanha 3660 - Esquina - Antiga Residência Irmãos</v>
          </cell>
          <cell r="D402" t="str">
            <v>ASSOCIAÇÃO BRASILEIRA DE EDUCAÇÃO E CULTURA - ABEC</v>
          </cell>
          <cell r="E402" t="str">
            <v>ASSOCIAÇÃO BRASILEIRA DE EDUCAÇÃO E CULTURA - ABEC</v>
          </cell>
          <cell r="F402" t="str">
            <v>Próprio</v>
          </cell>
          <cell r="G402" t="str">
            <v>Edificado - Comercial</v>
          </cell>
          <cell r="H402"/>
          <cell r="I402" t="str">
            <v>Imobiliário</v>
          </cell>
          <cell r="J402" t="str">
            <v>Rua Nilo Peçanha, nº 3.640 / 3.660</v>
          </cell>
          <cell r="K402">
            <v>0</v>
          </cell>
          <cell r="L402"/>
          <cell r="M402" t="str">
            <v>Pilarzinho / São Lourenço</v>
          </cell>
          <cell r="N402" t="str">
            <v>Curitiba</v>
          </cell>
          <cell r="O402" t="str">
            <v>Paraná</v>
          </cell>
          <cell r="P402" t="str">
            <v>Brasil</v>
          </cell>
          <cell r="Q402"/>
        </row>
        <row r="403">
          <cell r="A403">
            <v>12469</v>
          </cell>
          <cell r="B403" t="str">
            <v>Rua João Negrao, nº 2.720Prado Velho</v>
          </cell>
          <cell r="C403" t="str">
            <v>EDITORA FTD - Prédio Conercial Curitiba</v>
          </cell>
          <cell r="D403" t="str">
            <v>ASSOCIAÇÃO BRASILEIRA DE EDUCAÇÃO E CULTURA - ABEC</v>
          </cell>
          <cell r="E403" t="str">
            <v>ASSOCIAÇÃO BRASILEIRA DE EDUCAÇÃO E CULTURA - ABEC</v>
          </cell>
          <cell r="F403" t="str">
            <v>Próprio</v>
          </cell>
          <cell r="G403" t="str">
            <v>Edificado - Operacional</v>
          </cell>
          <cell r="H403"/>
          <cell r="I403" t="str">
            <v>Imobiliário</v>
          </cell>
          <cell r="J403" t="str">
            <v>Rua João Negrao, nº 2.720</v>
          </cell>
          <cell r="K403">
            <v>0</v>
          </cell>
          <cell r="L403"/>
          <cell r="M403" t="str">
            <v>Prado Velho</v>
          </cell>
          <cell r="N403" t="str">
            <v>Curitiba</v>
          </cell>
          <cell r="O403" t="str">
            <v>Paraná</v>
          </cell>
          <cell r="P403" t="str">
            <v>Brasil</v>
          </cell>
          <cell r="Q403"/>
        </row>
        <row r="404">
          <cell r="A404">
            <v>14900</v>
          </cell>
          <cell r="B404" t="str">
            <v>Rua Prof. Joaquim de Matos Barreto, nº 98São Lourenço</v>
          </cell>
          <cell r="C404" t="str">
            <v>Colégio Marista Santa Maria</v>
          </cell>
          <cell r="D404" t="str">
            <v>ASSOCIAÇÃO BRASILEIRA DE EDUCAÇÃO E CULTURA - ABEC</v>
          </cell>
          <cell r="E404" t="str">
            <v>ASSOCIAÇÃO BRASILEIRA DE EDUCAÇÃO E CULTURA - ABEC</v>
          </cell>
          <cell r="F404" t="str">
            <v>Próprio</v>
          </cell>
          <cell r="G404" t="str">
            <v>Edificado - Operacional</v>
          </cell>
          <cell r="H404"/>
          <cell r="I404" t="str">
            <v>Imobiliário</v>
          </cell>
          <cell r="J404" t="str">
            <v>Rua Prof. Joaquim de Matos Barreto, nº 98</v>
          </cell>
          <cell r="K404">
            <v>0</v>
          </cell>
          <cell r="L404"/>
          <cell r="M404" t="str">
            <v>São Lourenço</v>
          </cell>
          <cell r="N404" t="str">
            <v>Curitiba</v>
          </cell>
          <cell r="O404" t="str">
            <v>Paraná</v>
          </cell>
          <cell r="P404" t="str">
            <v>Brasil</v>
          </cell>
          <cell r="Q404"/>
        </row>
        <row r="405">
          <cell r="A405">
            <v>15026</v>
          </cell>
          <cell r="B405" t="str">
            <v>Rua Prof. Joaquim de Matos Barreto, nº 98São Lourenço</v>
          </cell>
          <cell r="C405" t="str">
            <v>Colégio Marista Santa Maria</v>
          </cell>
          <cell r="D405" t="str">
            <v>ASSOCIAÇÃO BRASILEIRA DE EDUCAÇÃO E CULTURA - ABEC</v>
          </cell>
          <cell r="E405" t="str">
            <v>ASSOCIAÇÃO BRASILEIRA DE EDUCAÇÃO E CULTURA - ABEC</v>
          </cell>
          <cell r="F405" t="str">
            <v>Próprio</v>
          </cell>
          <cell r="G405" t="str">
            <v>Edificado - Operacional</v>
          </cell>
          <cell r="H405"/>
          <cell r="I405" t="str">
            <v>Imobiliário</v>
          </cell>
          <cell r="J405" t="str">
            <v>Rua Prof. Joaquim de Matos Barreto, nº 98</v>
          </cell>
          <cell r="K405">
            <v>0</v>
          </cell>
          <cell r="L405"/>
          <cell r="M405" t="str">
            <v>São Lourenço</v>
          </cell>
          <cell r="N405" t="str">
            <v>Curitiba</v>
          </cell>
          <cell r="O405" t="str">
            <v>Paraná</v>
          </cell>
          <cell r="P405" t="str">
            <v>Brasil</v>
          </cell>
          <cell r="Q405"/>
        </row>
        <row r="406">
          <cell r="A406">
            <v>31855</v>
          </cell>
          <cell r="B406" t="str">
            <v>Rua Prof. Joaquim de Matos Barreto, nº 98São Lourenço</v>
          </cell>
          <cell r="C406" t="str">
            <v>Colégio Marista Santa Maria</v>
          </cell>
          <cell r="D406" t="str">
            <v>ASSOCIAÇÃO BRASILEIRA DE EDUCAÇÃO E CULTURA - ABEC</v>
          </cell>
          <cell r="E406" t="str">
            <v>ASSOCIAÇÃO BRASILEIRA DE EDUCAÇÃO E CULTURA - ABEC</v>
          </cell>
          <cell r="F406" t="str">
            <v>Próprio</v>
          </cell>
          <cell r="G406" t="str">
            <v>Edificado - Operacional</v>
          </cell>
          <cell r="H406"/>
          <cell r="I406" t="str">
            <v>Imobiliário</v>
          </cell>
          <cell r="J406" t="str">
            <v>Rua Prof. Joaquim de Matos Barreto, nº 98</v>
          </cell>
          <cell r="K406">
            <v>0</v>
          </cell>
          <cell r="L406"/>
          <cell r="M406" t="str">
            <v>São Lourenço</v>
          </cell>
          <cell r="N406" t="str">
            <v>Curitiba</v>
          </cell>
          <cell r="O406" t="str">
            <v>Paraná</v>
          </cell>
          <cell r="P406" t="str">
            <v>Brasil</v>
          </cell>
          <cell r="Q406"/>
        </row>
        <row r="407">
          <cell r="A407">
            <v>34398</v>
          </cell>
          <cell r="B407" t="str">
            <v>Rua Prof. Joaquim de Matos Barreto, nº 98São Lourenço</v>
          </cell>
          <cell r="C407" t="str">
            <v>Colégio Marista Santa Maria</v>
          </cell>
          <cell r="D407" t="str">
            <v>ASSOCIAÇÃO BRASILEIRA DE EDUCAÇÃO E CULTURA - ABEC</v>
          </cell>
          <cell r="E407" t="str">
            <v>ASSOCIAÇÃO BRASILEIRA DE EDUCAÇÃO E CULTURA - ABEC</v>
          </cell>
          <cell r="F407" t="str">
            <v>Próprio</v>
          </cell>
          <cell r="G407" t="str">
            <v>Edificado - Operacional</v>
          </cell>
          <cell r="H407"/>
          <cell r="I407" t="str">
            <v>Imobiliário</v>
          </cell>
          <cell r="J407" t="str">
            <v>Rua Prof. Joaquim de Matos Barreto, nº 98</v>
          </cell>
          <cell r="K407">
            <v>0</v>
          </cell>
          <cell r="L407"/>
          <cell r="M407" t="str">
            <v>São Lourenço</v>
          </cell>
          <cell r="N407" t="str">
            <v>Curitiba</v>
          </cell>
          <cell r="O407" t="str">
            <v>Paraná</v>
          </cell>
          <cell r="P407" t="str">
            <v>Brasil</v>
          </cell>
          <cell r="Q407"/>
        </row>
        <row r="408">
          <cell r="A408">
            <v>3962</v>
          </cell>
          <cell r="B408" t="str">
            <v>Rua Prof. Joaquim de Matos Barreto, nº 98São Lourenço</v>
          </cell>
          <cell r="C408" t="str">
            <v>Colégio Marista Santa Maria</v>
          </cell>
          <cell r="D408" t="str">
            <v>ASSOCIAÇÃO BRASILEIRA DE EDUCAÇÃO E CULTURA - ABEC</v>
          </cell>
          <cell r="E408" t="str">
            <v>ASSOCIAÇÃO BRASILEIRA DE EDUCAÇÃO E CULTURA - ABEC</v>
          </cell>
          <cell r="F408" t="str">
            <v>Próprio</v>
          </cell>
          <cell r="G408" t="str">
            <v>Edificado - Operacional</v>
          </cell>
          <cell r="H408"/>
          <cell r="I408" t="str">
            <v>Imobiliário</v>
          </cell>
          <cell r="J408" t="str">
            <v>Rua Prof. Joaquim de Matos Barreto, nº 98</v>
          </cell>
          <cell r="K408">
            <v>0</v>
          </cell>
          <cell r="L408"/>
          <cell r="M408" t="str">
            <v>São Lourenço</v>
          </cell>
          <cell r="N408" t="str">
            <v>Curitiba</v>
          </cell>
          <cell r="O408" t="str">
            <v>Paraná</v>
          </cell>
          <cell r="P408" t="str">
            <v>Brasil</v>
          </cell>
          <cell r="Q408"/>
        </row>
        <row r="409">
          <cell r="A409">
            <v>48347</v>
          </cell>
          <cell r="B409" t="str">
            <v>Rua Prof. Joaquim de Matos Barreto, nº 98São Lourenço</v>
          </cell>
          <cell r="C409" t="str">
            <v>Colégio Marista Santa Maria</v>
          </cell>
          <cell r="D409" t="str">
            <v>ASSOCIAÇÃO BRASILEIRA DE EDUCAÇÃO E CULTURA - ABEC</v>
          </cell>
          <cell r="E409" t="str">
            <v>ASSOCIAÇÃO BRASILEIRA DE EDUCAÇÃO E CULTURA - ABEC</v>
          </cell>
          <cell r="F409" t="str">
            <v>Próprio</v>
          </cell>
          <cell r="G409" t="str">
            <v>Edificado - Operacional</v>
          </cell>
          <cell r="H409"/>
          <cell r="I409" t="str">
            <v>Imobiliário</v>
          </cell>
          <cell r="J409" t="str">
            <v>Rua Prof. Joaquim de Matos Barreto, nº 98</v>
          </cell>
          <cell r="K409">
            <v>0</v>
          </cell>
          <cell r="L409"/>
          <cell r="M409" t="str">
            <v>São Lourenço</v>
          </cell>
          <cell r="N409" t="str">
            <v>Curitiba</v>
          </cell>
          <cell r="O409" t="str">
            <v>Paraná</v>
          </cell>
          <cell r="P409" t="str">
            <v>Brasil</v>
          </cell>
          <cell r="Q409"/>
        </row>
        <row r="410">
          <cell r="A410">
            <v>6303</v>
          </cell>
          <cell r="B410" t="str">
            <v>Rua Prof. Joaquim de Matos Barreto, nº 98São Lourenço</v>
          </cell>
          <cell r="C410" t="str">
            <v>Colégio Marista Santa Maria</v>
          </cell>
          <cell r="D410" t="str">
            <v>ASSOCIAÇÃO BRASILEIRA DE EDUCAÇÃO E CULTURA - ABEC</v>
          </cell>
          <cell r="E410" t="str">
            <v>ASSOCIAÇÃO BRASILEIRA DE EDUCAÇÃO E CULTURA - ABEC</v>
          </cell>
          <cell r="F410" t="str">
            <v>Próprio</v>
          </cell>
          <cell r="G410" t="str">
            <v>Edificado - Operacional</v>
          </cell>
          <cell r="H410"/>
          <cell r="I410" t="str">
            <v>Imobiliário</v>
          </cell>
          <cell r="J410" t="str">
            <v>Rua Prof. Joaquim de Matos Barreto, nº 98</v>
          </cell>
          <cell r="K410">
            <v>0</v>
          </cell>
          <cell r="L410"/>
          <cell r="M410" t="str">
            <v>São Lourenço</v>
          </cell>
          <cell r="N410" t="str">
            <v>Curitiba</v>
          </cell>
          <cell r="O410" t="str">
            <v>Paraná</v>
          </cell>
          <cell r="P410" t="str">
            <v>Brasil</v>
          </cell>
          <cell r="Q410"/>
        </row>
        <row r="411">
          <cell r="A411">
            <v>9443</v>
          </cell>
          <cell r="B411" t="str">
            <v>Rua Guabirotuba, nº 158Prado Velho</v>
          </cell>
          <cell r="C411" t="str">
            <v>Residência Universitária Marista - RUM - Curitiba</v>
          </cell>
          <cell r="D411" t="str">
            <v>ASSOCIAÇÃO BRASILEIRA DE EDUCAÇÃO E CULTURA - ABEC</v>
          </cell>
          <cell r="E411" t="str">
            <v>ASSOCIAÇÃO BRASILEIRA DE EDUCAÇÃO E CULTURA - ABEC</v>
          </cell>
          <cell r="F411" t="str">
            <v>Próprio</v>
          </cell>
          <cell r="G411" t="str">
            <v>Edificado - Operacional</v>
          </cell>
          <cell r="H411"/>
          <cell r="I411" t="str">
            <v>Imobiliário</v>
          </cell>
          <cell r="J411" t="str">
            <v>Rua Guabirotuba, nº 158</v>
          </cell>
          <cell r="K411">
            <v>0</v>
          </cell>
          <cell r="L411"/>
          <cell r="M411" t="str">
            <v>Prado Velho</v>
          </cell>
          <cell r="N411" t="str">
            <v>Curitiba</v>
          </cell>
          <cell r="O411" t="str">
            <v>Paraná</v>
          </cell>
          <cell r="P411" t="str">
            <v>Brasil</v>
          </cell>
          <cell r="Q411"/>
        </row>
        <row r="412">
          <cell r="A412">
            <v>66220</v>
          </cell>
          <cell r="B412" t="str">
            <v>Rua Frã Angélico, nº 127Guabirotuba</v>
          </cell>
          <cell r="C412" t="str">
            <v>Residência Provincial Curitiba</v>
          </cell>
          <cell r="D412" t="str">
            <v>ASSOCIAÇÃO BRASILEIRA DE EDUCAÇÃO E CULTURA - ABEC</v>
          </cell>
          <cell r="E412" t="str">
            <v>ASSOCIAÇÃO BRASILEIRA DE EDUCAÇÃO E CULTURA - ABEC</v>
          </cell>
          <cell r="F412" t="str">
            <v>Próprio</v>
          </cell>
          <cell r="G412" t="str">
            <v>Edificado - Operacional</v>
          </cell>
          <cell r="H412"/>
          <cell r="I412" t="str">
            <v>Imobiliário</v>
          </cell>
          <cell r="J412" t="str">
            <v>Rua Frã Angélico, nº 127</v>
          </cell>
          <cell r="K412">
            <v>0</v>
          </cell>
          <cell r="L412"/>
          <cell r="M412" t="str">
            <v>Guabirotuba</v>
          </cell>
          <cell r="N412" t="str">
            <v>Curitiba</v>
          </cell>
          <cell r="O412" t="str">
            <v>Paraná</v>
          </cell>
          <cell r="P412" t="str">
            <v>Brasil</v>
          </cell>
          <cell r="Q412"/>
        </row>
        <row r="413">
          <cell r="A413">
            <v>78230</v>
          </cell>
          <cell r="B413" t="str">
            <v>Rua Frã Angélico, nº 127Guabirotuba</v>
          </cell>
          <cell r="C413" t="str">
            <v>Residência Provincial Curitiba</v>
          </cell>
          <cell r="D413" t="str">
            <v>ASSOCIAÇÃO BRASILEIRA DE EDUCAÇÃO E CULTURA - ABEC</v>
          </cell>
          <cell r="E413" t="str">
            <v>ASSOCIAÇÃO BRASILEIRA DE EDUCAÇÃO E CULTURA - ABEC</v>
          </cell>
          <cell r="F413" t="str">
            <v>Próprio</v>
          </cell>
          <cell r="G413" t="str">
            <v>Edificado - Operacional</v>
          </cell>
          <cell r="H413"/>
          <cell r="I413" t="str">
            <v>Imobiliário</v>
          </cell>
          <cell r="J413" t="str">
            <v>Rua Frã Angélico, nº 127</v>
          </cell>
          <cell r="K413">
            <v>0</v>
          </cell>
          <cell r="L413"/>
          <cell r="M413" t="str">
            <v>Guabirotuba</v>
          </cell>
          <cell r="N413" t="str">
            <v>Curitiba</v>
          </cell>
          <cell r="O413" t="str">
            <v>Paraná</v>
          </cell>
          <cell r="P413" t="str">
            <v>Brasil</v>
          </cell>
          <cell r="Q413"/>
        </row>
        <row r="414">
          <cell r="A414">
            <v>64859</v>
          </cell>
          <cell r="B414" t="str">
            <v>Rua Bispo Dom José, 2674Seminário</v>
          </cell>
          <cell r="C414" t="str">
            <v>Colégio Marista Paranaense</v>
          </cell>
          <cell r="D414" t="str">
            <v>UNIÃO CATARINENSE DE EDUCAÇÃO - UCE</v>
          </cell>
          <cell r="E414" t="str">
            <v>UNIÃO CATARINENSE DE EDUCAÇÃO - UCE</v>
          </cell>
          <cell r="F414" t="str">
            <v>Próprio</v>
          </cell>
          <cell r="G414" t="str">
            <v>Edificado - Operacional</v>
          </cell>
          <cell r="H414"/>
          <cell r="I414" t="str">
            <v>Imobiliário</v>
          </cell>
          <cell r="J414" t="str">
            <v>Rua Bispo Dom José, 2674</v>
          </cell>
          <cell r="K414">
            <v>0</v>
          </cell>
          <cell r="L414"/>
          <cell r="M414" t="str">
            <v>Seminário</v>
          </cell>
          <cell r="N414" t="str">
            <v>Curitiba</v>
          </cell>
          <cell r="O414" t="str">
            <v>Paraná</v>
          </cell>
          <cell r="P414" t="str">
            <v>Brasil</v>
          </cell>
          <cell r="Q414"/>
        </row>
        <row r="415">
          <cell r="A415">
            <v>91617</v>
          </cell>
          <cell r="B415" t="str">
            <v>Avenida Sen. Salgado Filho, nº 1.651Guabirotuba</v>
          </cell>
          <cell r="C415" t="str">
            <v>CMMC - Centro Marista Marcelino Champagnat</v>
          </cell>
          <cell r="D415" t="str">
            <v>ASSOCIAÇÃO BRASILEIRA DE EDUCAÇÃO E CULTURA - ABEC</v>
          </cell>
          <cell r="E415" t="str">
            <v>ASSOCIAÇÃO BRASILEIRA DE EDUCAÇÃO E CULTURA - ABEC</v>
          </cell>
          <cell r="F415" t="str">
            <v>Próprio</v>
          </cell>
          <cell r="G415" t="str">
            <v>Edificado - Operacional</v>
          </cell>
          <cell r="H415"/>
          <cell r="I415" t="str">
            <v>Imobiliário</v>
          </cell>
          <cell r="J415" t="str">
            <v>Avenida Sen. Salgado Filho, nº 1.651</v>
          </cell>
          <cell r="K415">
            <v>0</v>
          </cell>
          <cell r="L415"/>
          <cell r="M415" t="str">
            <v>Guabirotuba</v>
          </cell>
          <cell r="N415" t="str">
            <v>Curitiba</v>
          </cell>
          <cell r="O415" t="str">
            <v>Paraná</v>
          </cell>
          <cell r="P415" t="str">
            <v>Brasil</v>
          </cell>
          <cell r="Q415"/>
        </row>
        <row r="416">
          <cell r="A416">
            <v>173408</v>
          </cell>
          <cell r="B416" t="str">
            <v>Rua Santa Rita do Passa Quatro, 175Jardim Nova Europa</v>
          </cell>
          <cell r="C416" t="str">
            <v>Recanto Marista - Instituto Medianeira</v>
          </cell>
          <cell r="D416" t="str">
            <v>ASSOCIAÇÃO BRASILEIRA DE EDUCAÇÃO E CULTURA - ABEC</v>
          </cell>
          <cell r="E416" t="str">
            <v>ASSOCIAÇÃO BRASILEIRA DE EDUCAÇÃO E CULTURA - ABEC</v>
          </cell>
          <cell r="F416" t="str">
            <v>Próprio</v>
          </cell>
          <cell r="G416" t="str">
            <v>Chácara/Recanto/Fazenda</v>
          </cell>
          <cell r="H416"/>
          <cell r="I416" t="str">
            <v>Imobiliário</v>
          </cell>
          <cell r="J416" t="str">
            <v>Rua Santa Rita do Passa Quatro, 175</v>
          </cell>
          <cell r="K416">
            <v>0</v>
          </cell>
          <cell r="L416"/>
          <cell r="M416" t="str">
            <v>Jardim Nova Europa</v>
          </cell>
          <cell r="N416" t="str">
            <v>Campinas</v>
          </cell>
          <cell r="O416" t="str">
            <v>São Paulo</v>
          </cell>
          <cell r="P416" t="str">
            <v>Brasil</v>
          </cell>
          <cell r="Q416"/>
        </row>
        <row r="417">
          <cell r="A417">
            <v>176603</v>
          </cell>
          <cell r="B417" t="str">
            <v>Rua Santa Rita do Passa Quatro, 175Jardim Nova Europa</v>
          </cell>
          <cell r="C417" t="str">
            <v>Recanto Marista - Instituto Medianeira</v>
          </cell>
          <cell r="D417" t="str">
            <v>ASSOCIAÇÃO BRASILEIRA DE EDUCAÇÃO E CULTURA - ABEC</v>
          </cell>
          <cell r="E417" t="str">
            <v>ASSOCIAÇÃO BRASILEIRA DE EDUCAÇÃO E CULTURA - ABEC</v>
          </cell>
          <cell r="F417" t="str">
            <v>Próprio</v>
          </cell>
          <cell r="G417" t="str">
            <v>Chácara/Recanto/Fazenda</v>
          </cell>
          <cell r="H417"/>
          <cell r="I417" t="str">
            <v>Imobiliário</v>
          </cell>
          <cell r="J417" t="str">
            <v>Rua Santa Rita do Passa Quatro, 175</v>
          </cell>
          <cell r="K417">
            <v>0</v>
          </cell>
          <cell r="L417"/>
          <cell r="M417" t="str">
            <v>Jardim Nova Europa</v>
          </cell>
          <cell r="N417" t="str">
            <v>Campinas</v>
          </cell>
          <cell r="O417" t="str">
            <v>São Paulo</v>
          </cell>
          <cell r="P417" t="str">
            <v>Brasil</v>
          </cell>
          <cell r="Q417"/>
        </row>
        <row r="418">
          <cell r="A418">
            <v>111058</v>
          </cell>
          <cell r="B418" t="str">
            <v>Rua Taquaritiba, 243Jd. Nova Europa</v>
          </cell>
          <cell r="C418" t="str">
            <v>Residência Campinas</v>
          </cell>
          <cell r="D418" t="str">
            <v>ASSOCIAÇÃO BRASILEIRA DE EDUCAÇÃO E CULTURA - ABEC</v>
          </cell>
          <cell r="E418" t="str">
            <v>ASSOCIAÇÃO BRASILEIRA DE EDUCAÇÃO E CULTURA - ABEC</v>
          </cell>
          <cell r="F418" t="str">
            <v>Próprio</v>
          </cell>
          <cell r="G418" t="str">
            <v>Edificado</v>
          </cell>
          <cell r="H418"/>
          <cell r="I418" t="str">
            <v>Imobiliário</v>
          </cell>
          <cell r="J418" t="str">
            <v>Rua Taquaritiba, 243</v>
          </cell>
          <cell r="K418">
            <v>0</v>
          </cell>
          <cell r="L418"/>
          <cell r="M418" t="str">
            <v>Jd. Nova Europa</v>
          </cell>
          <cell r="N418" t="str">
            <v>Campinas</v>
          </cell>
          <cell r="O418" t="str">
            <v>São Paulo</v>
          </cell>
          <cell r="P418" t="str">
            <v>Brasil</v>
          </cell>
          <cell r="Q418"/>
        </row>
        <row r="419">
          <cell r="A419">
            <v>2635</v>
          </cell>
          <cell r="B419" t="str">
            <v>Rua Guabirotuba, 258Prado Velho</v>
          </cell>
          <cell r="C419" t="str">
            <v>Casa Guabirotuba 258</v>
          </cell>
          <cell r="D419" t="str">
            <v>ASSOCIAÇÃO BRASILEIRA DE EDUCAÇÃO E CULTURA - ABEC</v>
          </cell>
          <cell r="E419" t="str">
            <v>ASSOCIAÇÃO BRASILEIRA DE EDUCAÇÃO E CULTURA - ABEC</v>
          </cell>
          <cell r="F419" t="str">
            <v>Próprio</v>
          </cell>
          <cell r="G419" t="str">
            <v>Lote / Terreno</v>
          </cell>
          <cell r="H419"/>
          <cell r="I419" t="str">
            <v>Imobiliário</v>
          </cell>
          <cell r="J419" t="str">
            <v>Rua Guabirotuba, 258</v>
          </cell>
          <cell r="K419">
            <v>0</v>
          </cell>
          <cell r="L419"/>
          <cell r="M419" t="str">
            <v>Prado Velho</v>
          </cell>
          <cell r="N419" t="str">
            <v>Curitiba</v>
          </cell>
          <cell r="O419" t="str">
            <v>Paraná</v>
          </cell>
          <cell r="P419" t="str">
            <v>Brasil</v>
          </cell>
          <cell r="Q419"/>
        </row>
        <row r="420">
          <cell r="A420">
            <v>28579</v>
          </cell>
          <cell r="B420" t="str">
            <v>Avenida Marechal Floriano Peixoto, 2.659Prado Velho</v>
          </cell>
          <cell r="C420" t="str">
            <v>Hospital Nossa Senhora da Luz</v>
          </cell>
          <cell r="D420" t="str">
            <v>ASSOCIAÇÃO BRASILEIRA DE EDUCAÇÃO E CULTURA - ABEC</v>
          </cell>
          <cell r="E420"/>
          <cell r="F420" t="str">
            <v>Próprio</v>
          </cell>
          <cell r="G420" t="str">
            <v>Edificado - Operacional</v>
          </cell>
          <cell r="H420"/>
          <cell r="I420" t="str">
            <v>Imobiliário</v>
          </cell>
          <cell r="J420" t="str">
            <v>Avenida Marechal Floriano Peixoto, 2.659</v>
          </cell>
          <cell r="K420">
            <v>0</v>
          </cell>
          <cell r="L420"/>
          <cell r="M420" t="str">
            <v>Prado Velho</v>
          </cell>
          <cell r="N420" t="str">
            <v>Curitiba</v>
          </cell>
          <cell r="O420" t="str">
            <v>Paraná</v>
          </cell>
          <cell r="P420" t="str">
            <v>Brasil</v>
          </cell>
          <cell r="Q420"/>
        </row>
        <row r="421">
          <cell r="A421">
            <v>21691</v>
          </cell>
          <cell r="B421" t="str">
            <v>Rua Imaculada Conceição, 1.430Prado Velho</v>
          </cell>
          <cell r="C421" t="str">
            <v>Tecnoparque - Antiga CIA Providência</v>
          </cell>
          <cell r="D421" t="str">
            <v>ASSOCIAÇÃO PARANAENSE DE CULTURA - APC</v>
          </cell>
          <cell r="E421" t="str">
            <v>ASSOCIAÇÃO PARANAENSE DE CULTURA - APC</v>
          </cell>
          <cell r="F421" t="str">
            <v>Próprio</v>
          </cell>
          <cell r="G421" t="str">
            <v>Edificado - Operacional</v>
          </cell>
          <cell r="H421"/>
          <cell r="I421" t="str">
            <v>Imobiliário</v>
          </cell>
          <cell r="J421" t="str">
            <v>Rua Imaculada Conceição, 1.430</v>
          </cell>
          <cell r="K421">
            <v>0</v>
          </cell>
          <cell r="L421"/>
          <cell r="M421" t="str">
            <v>Prado Velho</v>
          </cell>
          <cell r="N421" t="str">
            <v>Curitiba</v>
          </cell>
          <cell r="O421" t="str">
            <v>Paraná</v>
          </cell>
          <cell r="P421" t="str">
            <v>Brasil</v>
          </cell>
          <cell r="Q421"/>
        </row>
        <row r="422">
          <cell r="A422">
            <v>22210</v>
          </cell>
          <cell r="B422" t="str">
            <v>Rua Amauri Langue Silvério, 270Pilarzinho</v>
          </cell>
          <cell r="C422" t="str">
            <v>Radio Lúmen - Pilarzinho - FC</v>
          </cell>
          <cell r="D422" t="str">
            <v>FUNDAÇÃO CHAMPAGNAT - FC</v>
          </cell>
          <cell r="E422" t="str">
            <v>FUNDAÇÃO CHAMPAGNAT - FC</v>
          </cell>
          <cell r="F422" t="str">
            <v>Próprio</v>
          </cell>
          <cell r="G422" t="str">
            <v>Edificado - Operacional</v>
          </cell>
          <cell r="H422"/>
          <cell r="I422" t="str">
            <v>Imobiliário</v>
          </cell>
          <cell r="J422" t="str">
            <v>Rua Amauri Langue Silvério, 270</v>
          </cell>
          <cell r="K422">
            <v>0</v>
          </cell>
          <cell r="L422"/>
          <cell r="M422" t="str">
            <v>Pilarzinho</v>
          </cell>
          <cell r="N422" t="str">
            <v>Curitiba</v>
          </cell>
          <cell r="O422" t="str">
            <v>Paraná</v>
          </cell>
          <cell r="P422" t="str">
            <v>Brasil</v>
          </cell>
          <cell r="Q422"/>
        </row>
        <row r="423">
          <cell r="A423">
            <v>13825</v>
          </cell>
          <cell r="B423" t="str">
            <v>Rua XV de Novembro, 1.050Centro</v>
          </cell>
          <cell r="C423" t="str">
            <v>Sede CEB</v>
          </cell>
          <cell r="D423" t="str">
            <v>CEB - Círculo de Estudos Bandeirantes</v>
          </cell>
          <cell r="E423" t="str">
            <v>CEB - Círculo de Estudos Bandeirantes</v>
          </cell>
          <cell r="F423" t="str">
            <v>Próprio</v>
          </cell>
          <cell r="G423" t="str">
            <v>Edificado - Operacional</v>
          </cell>
          <cell r="H423"/>
          <cell r="I423" t="str">
            <v>Imobiliário</v>
          </cell>
          <cell r="J423" t="str">
            <v>Rua XV de Novembro, 1.050</v>
          </cell>
          <cell r="K423">
            <v>0</v>
          </cell>
          <cell r="L423"/>
          <cell r="M423" t="str">
            <v>Centro</v>
          </cell>
          <cell r="N423" t="str">
            <v>Curitiba</v>
          </cell>
          <cell r="O423" t="str">
            <v>Paraná</v>
          </cell>
          <cell r="P423" t="str">
            <v>Brasil</v>
          </cell>
          <cell r="Q423"/>
        </row>
        <row r="424">
          <cell r="A424">
            <v>7397</v>
          </cell>
          <cell r="B424" t="str">
            <v>Rua Iapó, 975Prado Velho</v>
          </cell>
          <cell r="C424" t="str">
            <v>Maquetaria e Refeitório</v>
          </cell>
          <cell r="D424" t="str">
            <v>UNIÃO CATARINENSE DE EDUCAÇÃO - UCE</v>
          </cell>
          <cell r="E424"/>
          <cell r="F424" t="str">
            <v>Próprio</v>
          </cell>
          <cell r="G424" t="str">
            <v>Edificado - Operacional</v>
          </cell>
          <cell r="H424"/>
          <cell r="I424" t="str">
            <v>Imobiliário</v>
          </cell>
          <cell r="J424" t="str">
            <v>Rua Iapó, 975</v>
          </cell>
          <cell r="K424">
            <v>0</v>
          </cell>
          <cell r="L424"/>
          <cell r="M424" t="str">
            <v>Prado Velho</v>
          </cell>
          <cell r="N424" t="str">
            <v>Curitiba</v>
          </cell>
          <cell r="O424" t="str">
            <v>Paraná</v>
          </cell>
          <cell r="P424" t="str">
            <v>Brasil</v>
          </cell>
          <cell r="Q424"/>
        </row>
        <row r="425">
          <cell r="A425">
            <v>1639</v>
          </cell>
          <cell r="B425" t="str">
            <v>Rua Amauri Langue Silvério, 270Pilarzinho</v>
          </cell>
          <cell r="C425" t="str">
            <v>Radio Lúmen - Pilarzinho - FNSR</v>
          </cell>
          <cell r="D425" t="str">
            <v>FUNDAÇÃO NOSSA SENHORA DO ROCIO - FNSR</v>
          </cell>
          <cell r="E425" t="str">
            <v>FUNDAÇÃO NOSSA SENHORA DO ROCIO - FNSR</v>
          </cell>
          <cell r="F425" t="str">
            <v>Próprio</v>
          </cell>
          <cell r="G425" t="str">
            <v>Edificado - Operacional</v>
          </cell>
          <cell r="H425"/>
          <cell r="I425" t="str">
            <v>Imobiliário</v>
          </cell>
          <cell r="J425" t="str">
            <v>Rua Amauri Langue Silvério, 270</v>
          </cell>
          <cell r="K425">
            <v>0</v>
          </cell>
          <cell r="L425"/>
          <cell r="M425" t="str">
            <v>Pilarzinho</v>
          </cell>
          <cell r="N425" t="str">
            <v>Curitiba</v>
          </cell>
          <cell r="O425" t="str">
            <v>Paraná</v>
          </cell>
          <cell r="P425" t="str">
            <v>Brasil</v>
          </cell>
          <cell r="Q425"/>
        </row>
        <row r="426">
          <cell r="A426">
            <v>8125</v>
          </cell>
          <cell r="B426" t="str">
            <v>Rua Amauri Langue Silvério, 270Pilarzinho</v>
          </cell>
          <cell r="C426" t="str">
            <v>Radio Lúmen - Pilarzinho - FNSR</v>
          </cell>
          <cell r="D426" t="str">
            <v>FUNDAÇÃO NOSSA SENHORA DO ROCIO - FNSR</v>
          </cell>
          <cell r="E426" t="str">
            <v>FUNDAÇÃO NOSSA SENHORA DO ROCIO - FNSR</v>
          </cell>
          <cell r="F426" t="str">
            <v>Próprio</v>
          </cell>
          <cell r="G426" t="str">
            <v>Edificado - Operacional</v>
          </cell>
          <cell r="H426"/>
          <cell r="I426" t="str">
            <v>Imobiliário</v>
          </cell>
          <cell r="J426" t="str">
            <v>Rua Amauri Langue Silvério, 270</v>
          </cell>
          <cell r="K426">
            <v>0</v>
          </cell>
          <cell r="L426"/>
          <cell r="M426" t="str">
            <v>Pilarzinho</v>
          </cell>
          <cell r="N426" t="str">
            <v>Curitiba</v>
          </cell>
          <cell r="O426" t="str">
            <v>Paraná</v>
          </cell>
          <cell r="P426" t="str">
            <v>Brasil</v>
          </cell>
          <cell r="Q426"/>
        </row>
        <row r="427">
          <cell r="A427">
            <v>17792</v>
          </cell>
          <cell r="B427" t="str">
            <v>Rua Antônio Grocoske, 45Prado Velho</v>
          </cell>
          <cell r="C427" t="str">
            <v>Arquivo Central - APC</v>
          </cell>
          <cell r="D427" t="str">
            <v>ASSOCIAÇÃO BRASILEIRA DE EDUCAÇÃO E CULTURA - ABEC</v>
          </cell>
          <cell r="E427" t="str">
            <v>ASSOCIAÇÃO BRASILEIRA DE EDUCAÇÃO E CULTURA - ABEC</v>
          </cell>
          <cell r="F427" t="str">
            <v>Próprio</v>
          </cell>
          <cell r="G427" t="str">
            <v>Edificado - Operacional</v>
          </cell>
          <cell r="H427"/>
          <cell r="I427" t="str">
            <v>Imobiliário</v>
          </cell>
          <cell r="J427" t="str">
            <v>Rua Antônio Grocoske, 45</v>
          </cell>
          <cell r="K427">
            <v>0</v>
          </cell>
          <cell r="L427"/>
          <cell r="M427" t="str">
            <v>Prado Velho</v>
          </cell>
          <cell r="N427" t="str">
            <v>Curitiba</v>
          </cell>
          <cell r="O427" t="str">
            <v>Paraná</v>
          </cell>
          <cell r="P427" t="str">
            <v>Brasil</v>
          </cell>
          <cell r="Q427"/>
        </row>
        <row r="428">
          <cell r="A428">
            <v>20836</v>
          </cell>
          <cell r="B428" t="str">
            <v>Rua Imaculada Conceição, 1155Prado Velho</v>
          </cell>
          <cell r="C428" t="str">
            <v>Câmpus Curitiba</v>
          </cell>
          <cell r="D428" t="str">
            <v>ASSOCIAÇÃO PARANAENSE DE CULTURA - APC</v>
          </cell>
          <cell r="E428" t="str">
            <v>ASSOCIAÇÃO PARANAENSE DE CULTURA - APC</v>
          </cell>
          <cell r="F428" t="str">
            <v>Próprio</v>
          </cell>
          <cell r="G428" t="str">
            <v>Edificado - Operacional</v>
          </cell>
          <cell r="H428"/>
          <cell r="I428" t="str">
            <v>Imobiliário</v>
          </cell>
          <cell r="J428" t="str">
            <v>Rua Imaculada Conceição, 1155</v>
          </cell>
          <cell r="K428">
            <v>0</v>
          </cell>
          <cell r="L428"/>
          <cell r="M428" t="str">
            <v>Prado Velho</v>
          </cell>
          <cell r="N428" t="str">
            <v>Curitiba</v>
          </cell>
          <cell r="O428" t="str">
            <v>Paraná</v>
          </cell>
          <cell r="P428" t="str">
            <v>Brasil</v>
          </cell>
          <cell r="Q428"/>
        </row>
        <row r="429">
          <cell r="A429">
            <v>5612</v>
          </cell>
          <cell r="B429" t="str">
            <v>Rua dos Palotinos, 116Cristo Rei</v>
          </cell>
          <cell r="C429" t="str">
            <v>Conjunto Residencial Montreal - Apartamento 25</v>
          </cell>
          <cell r="D429" t="str">
            <v>ASSOCIAÇÃO BRASILEIRA DE EDUCAÇÃO E CULTURA - ABEC</v>
          </cell>
          <cell r="E429"/>
          <cell r="F429" t="str">
            <v>Próprio</v>
          </cell>
          <cell r="G429" t="str">
            <v>Edificado - Comercial</v>
          </cell>
          <cell r="H429"/>
          <cell r="I429" t="str">
            <v>Imobiliário</v>
          </cell>
          <cell r="J429" t="str">
            <v>Rua dos Palotinos, 116</v>
          </cell>
          <cell r="K429">
            <v>0</v>
          </cell>
          <cell r="L429"/>
          <cell r="M429" t="str">
            <v>Cristo Rei</v>
          </cell>
          <cell r="N429" t="str">
            <v>Curitiba</v>
          </cell>
          <cell r="O429" t="str">
            <v>Paraná</v>
          </cell>
          <cell r="P429" t="str">
            <v>Brasil</v>
          </cell>
          <cell r="Q429"/>
        </row>
        <row r="430">
          <cell r="A430">
            <v>13896</v>
          </cell>
          <cell r="B430" t="str">
            <v>Rua Doutor Muricy, 926Conj 700Centro</v>
          </cell>
          <cell r="C430" t="str">
            <v>Edifício Dom Manuel D'Elboux - Conjunto 700</v>
          </cell>
          <cell r="D430" t="str">
            <v>ASSOCIAÇÃO PARANAENSE DE CULTURA - APC</v>
          </cell>
          <cell r="E430" t="str">
            <v>ASSOCIAÇÃO PARANAENSE DE CULTURA - APC</v>
          </cell>
          <cell r="F430" t="str">
            <v>Próprio</v>
          </cell>
          <cell r="G430" t="str">
            <v>Edificado - Comercial</v>
          </cell>
          <cell r="H430"/>
          <cell r="I430" t="str">
            <v>Imobiliário</v>
          </cell>
          <cell r="J430" t="str">
            <v>Rua Doutor Muricy, 926</v>
          </cell>
          <cell r="K430">
            <v>0</v>
          </cell>
          <cell r="L430" t="str">
            <v>Conj 700</v>
          </cell>
          <cell r="M430" t="str">
            <v>Centro</v>
          </cell>
          <cell r="N430" t="str">
            <v>Curitiba</v>
          </cell>
          <cell r="O430" t="str">
            <v>Paraná</v>
          </cell>
          <cell r="P430" t="str">
            <v>Brasil</v>
          </cell>
          <cell r="Q430"/>
        </row>
        <row r="431">
          <cell r="A431">
            <v>5709</v>
          </cell>
          <cell r="B431" t="str">
            <v>Avenida São José, 300Cristo Rei</v>
          </cell>
          <cell r="C431" t="str">
            <v>Hospital Universitário Cajuru / Hospital Marcelino Champagnat</v>
          </cell>
          <cell r="D431" t="str">
            <v>ASSOCIAÇÃO PARANAENSE DE CULTURA - APC</v>
          </cell>
          <cell r="E431" t="str">
            <v>ASSOCIAÇÃO PARANAENSE DE CULTURA - APC</v>
          </cell>
          <cell r="F431" t="str">
            <v>Próprio</v>
          </cell>
          <cell r="G431" t="str">
            <v>Edificado - Operacional</v>
          </cell>
          <cell r="H431"/>
          <cell r="I431" t="str">
            <v>Imobiliário</v>
          </cell>
          <cell r="J431" t="str">
            <v>Avenida São José, 300</v>
          </cell>
          <cell r="K431">
            <v>0</v>
          </cell>
          <cell r="L431"/>
          <cell r="M431" t="str">
            <v>Cristo Rei</v>
          </cell>
          <cell r="N431" t="str">
            <v>Curitiba</v>
          </cell>
          <cell r="O431" t="str">
            <v>Paraná</v>
          </cell>
          <cell r="P431" t="str">
            <v>Brasil</v>
          </cell>
          <cell r="Q431"/>
        </row>
        <row r="432">
          <cell r="A432">
            <v>470</v>
          </cell>
          <cell r="B432" t="str">
            <v>Rua Iapó, 1211Prado Velho</v>
          </cell>
          <cell r="C432" t="str">
            <v>Edifício - Iapó 1211- PUC Idiomas</v>
          </cell>
          <cell r="D432" t="str">
            <v>ASSOCIAÇÃO BRASILEIRA DE EDUCAÇÃO E CULTURA - ABEC</v>
          </cell>
          <cell r="E432" t="str">
            <v>ASSOCIAÇÃO BRASILEIRA DE EDUCAÇÃO E CULTURA - ABEC</v>
          </cell>
          <cell r="F432" t="str">
            <v>Próprio</v>
          </cell>
          <cell r="G432" t="str">
            <v>Edificado - Operacional</v>
          </cell>
          <cell r="H432"/>
          <cell r="I432" t="str">
            <v>Imobiliário</v>
          </cell>
          <cell r="J432" t="str">
            <v>Rua Iapó, 1211</v>
          </cell>
          <cell r="K432">
            <v>0</v>
          </cell>
          <cell r="L432"/>
          <cell r="M432" t="str">
            <v>Prado Velho</v>
          </cell>
          <cell r="N432" t="str">
            <v>Curitiba</v>
          </cell>
          <cell r="O432" t="str">
            <v>Paraná</v>
          </cell>
          <cell r="P432" t="str">
            <v>Brasil</v>
          </cell>
          <cell r="Q432"/>
        </row>
        <row r="433">
          <cell r="A433">
            <v>14216</v>
          </cell>
          <cell r="B433" t="str">
            <v>Rua Imaculada Conceição, 1062Prado Velho</v>
          </cell>
          <cell r="C433" t="str">
            <v>AFPUC - Associação dos Funcionários - Curitiba</v>
          </cell>
          <cell r="D433" t="str">
            <v>ASSOCIAÇÃO BRASILEIRA DE EDUCAÇÃO E CULTURA - ABEC</v>
          </cell>
          <cell r="E433" t="str">
            <v>ASSOCIAÇÃO BRASILEIRA DE EDUCAÇÃO E CULTURA - ABEC</v>
          </cell>
          <cell r="F433" t="str">
            <v>Próprio</v>
          </cell>
          <cell r="G433" t="str">
            <v>Edificado - Operacional</v>
          </cell>
          <cell r="H433"/>
          <cell r="I433" t="str">
            <v>Imobiliário</v>
          </cell>
          <cell r="J433" t="str">
            <v>Rua Imaculada Conceição, 1062</v>
          </cell>
          <cell r="K433">
            <v>0</v>
          </cell>
          <cell r="L433"/>
          <cell r="M433" t="str">
            <v>Prado Velho</v>
          </cell>
          <cell r="N433" t="str">
            <v>Curitiba</v>
          </cell>
          <cell r="O433" t="str">
            <v>Paraná</v>
          </cell>
          <cell r="P433" t="str">
            <v>Brasil</v>
          </cell>
          <cell r="Q433"/>
        </row>
        <row r="434">
          <cell r="A434">
            <v>8644</v>
          </cell>
          <cell r="B434" t="str">
            <v>Rua Guabirotuba, 283Prado Velho</v>
          </cell>
          <cell r="C434" t="str">
            <v>Casa Guabirotuba 283 - Centro Social Marista Propulsão</v>
          </cell>
          <cell r="D434" t="str">
            <v>UNIÃO CATARINENSE DE EDUCAÇÃO - UCE</v>
          </cell>
          <cell r="E434"/>
          <cell r="F434" t="str">
            <v>Próprio</v>
          </cell>
          <cell r="G434" t="str">
            <v>Edificado</v>
          </cell>
          <cell r="H434"/>
          <cell r="I434" t="str">
            <v>Imobiliário</v>
          </cell>
          <cell r="J434" t="str">
            <v>Rua Guabirotuba, 283</v>
          </cell>
          <cell r="K434">
            <v>0</v>
          </cell>
          <cell r="L434"/>
          <cell r="M434" t="str">
            <v>Prado Velho</v>
          </cell>
          <cell r="N434" t="str">
            <v>Curitiba</v>
          </cell>
          <cell r="O434" t="str">
            <v>Paraná</v>
          </cell>
          <cell r="P434" t="str">
            <v>Brasil</v>
          </cell>
          <cell r="Q434"/>
        </row>
        <row r="435">
          <cell r="A435">
            <v>9228</v>
          </cell>
          <cell r="B435" t="str">
            <v>Rua Iapó, 1245Prado Velho</v>
          </cell>
          <cell r="C435" t="str">
            <v>HotMilk - Aceleradora da PUC</v>
          </cell>
          <cell r="D435" t="str">
            <v>ASSOCIAÇÃO BRASILEIRA DE EDUCAÇÃO E CULTURA - ABEC</v>
          </cell>
          <cell r="E435"/>
          <cell r="F435" t="str">
            <v>Próprio</v>
          </cell>
          <cell r="G435" t="str">
            <v>Edificado - Operacional</v>
          </cell>
          <cell r="H435"/>
          <cell r="I435" t="str">
            <v>Imobiliário</v>
          </cell>
          <cell r="J435" t="str">
            <v>Rua Iapó, 1245</v>
          </cell>
          <cell r="K435">
            <v>0</v>
          </cell>
          <cell r="L435"/>
          <cell r="M435" t="str">
            <v>Prado Velho</v>
          </cell>
          <cell r="N435" t="str">
            <v>Curitiba</v>
          </cell>
          <cell r="O435" t="str">
            <v>Paraná</v>
          </cell>
          <cell r="P435" t="str">
            <v>Brasil</v>
          </cell>
          <cell r="Q435"/>
        </row>
        <row r="436">
          <cell r="A436">
            <v>6360</v>
          </cell>
          <cell r="B436" t="str">
            <v>Rua Guabirotuba, 268Prado Velho</v>
          </cell>
          <cell r="C436" t="str">
            <v>Casa Guabirotuba 268</v>
          </cell>
          <cell r="D436" t="str">
            <v>ASSOCIAÇÃO BRASILEIRA DE EDUCAÇÃO E CULTURA - ABEC</v>
          </cell>
          <cell r="E436" t="str">
            <v>ASSOCIAÇÃO BRASILEIRA DE EDUCAÇÃO E CULTURA - ABEC</v>
          </cell>
          <cell r="F436" t="str">
            <v>Próprio</v>
          </cell>
          <cell r="G436" t="str">
            <v>Lote / Terreno</v>
          </cell>
          <cell r="H436"/>
          <cell r="I436" t="str">
            <v>Imobiliário</v>
          </cell>
          <cell r="J436" t="str">
            <v>Rua Guabirotuba, 268</v>
          </cell>
          <cell r="K436">
            <v>0</v>
          </cell>
          <cell r="L436"/>
          <cell r="M436" t="str">
            <v>Prado Velho</v>
          </cell>
          <cell r="N436" t="str">
            <v>Curitiba</v>
          </cell>
          <cell r="O436" t="str">
            <v>Paraná</v>
          </cell>
          <cell r="P436" t="str">
            <v>Brasil</v>
          </cell>
          <cell r="Q436"/>
        </row>
        <row r="437">
          <cell r="A437">
            <v>29442</v>
          </cell>
          <cell r="B437" t="str">
            <v>Rua Amauri Langue Silvério, 270Pilarzinho</v>
          </cell>
          <cell r="C437" t="str">
            <v>Radio Lúmen - Pilarzinho - APC</v>
          </cell>
          <cell r="D437" t="str">
            <v>ASSOCIAÇÃO PARANAENSE DE CULTURA - APC</v>
          </cell>
          <cell r="E437"/>
          <cell r="F437" t="str">
            <v>Próprio</v>
          </cell>
          <cell r="G437" t="str">
            <v>Edificado - Operacional</v>
          </cell>
          <cell r="H437"/>
          <cell r="I437" t="str">
            <v>Imobiliário</v>
          </cell>
          <cell r="J437" t="str">
            <v>Rua Amauri Langue Silvério, 270</v>
          </cell>
          <cell r="K437">
            <v>0</v>
          </cell>
          <cell r="L437"/>
          <cell r="M437" t="str">
            <v>Pilarzinho</v>
          </cell>
          <cell r="N437" t="str">
            <v>Curitiba</v>
          </cell>
          <cell r="O437" t="str">
            <v>Paraná</v>
          </cell>
          <cell r="P437" t="str">
            <v>Brasil</v>
          </cell>
          <cell r="Q437"/>
        </row>
        <row r="438">
          <cell r="A438">
            <v>30867</v>
          </cell>
          <cell r="B438" t="str">
            <v>Rua Amauri Langue Silvério, 270Pilarzinho</v>
          </cell>
          <cell r="C438" t="str">
            <v>Radio Lúmen - Pilarzinho - APC</v>
          </cell>
          <cell r="D438" t="str">
            <v>ASSOCIAÇÃO PARANAENSE DE CULTURA - APC</v>
          </cell>
          <cell r="E438"/>
          <cell r="F438" t="str">
            <v>Próprio</v>
          </cell>
          <cell r="G438" t="str">
            <v>Edificado - Operacional</v>
          </cell>
          <cell r="H438"/>
          <cell r="I438" t="str">
            <v>Imobiliário</v>
          </cell>
          <cell r="J438" t="str">
            <v>Rua Amauri Langue Silvério, 270</v>
          </cell>
          <cell r="K438">
            <v>0</v>
          </cell>
          <cell r="L438"/>
          <cell r="M438" t="str">
            <v>Pilarzinho</v>
          </cell>
          <cell r="N438" t="str">
            <v>Curitiba</v>
          </cell>
          <cell r="O438" t="str">
            <v>Paraná</v>
          </cell>
          <cell r="P438" t="str">
            <v>Brasil</v>
          </cell>
          <cell r="Q438"/>
        </row>
        <row r="439">
          <cell r="A439">
            <v>32086</v>
          </cell>
          <cell r="B439" t="str">
            <v>Rua Amauri Langue Silvério, 270Pilarzinho</v>
          </cell>
          <cell r="C439" t="str">
            <v>Radio Lúmen - Pilarzinho - APC</v>
          </cell>
          <cell r="D439" t="str">
            <v>ASSOCIAÇÃO PARANAENSE DE CULTURA - APC</v>
          </cell>
          <cell r="E439"/>
          <cell r="F439" t="str">
            <v>Próprio</v>
          </cell>
          <cell r="G439" t="str">
            <v>Edificado - Operacional</v>
          </cell>
          <cell r="H439"/>
          <cell r="I439" t="str">
            <v>Imobiliário</v>
          </cell>
          <cell r="J439" t="str">
            <v>Rua Amauri Langue Silvério, 270</v>
          </cell>
          <cell r="K439">
            <v>0</v>
          </cell>
          <cell r="L439"/>
          <cell r="M439" t="str">
            <v>Pilarzinho</v>
          </cell>
          <cell r="N439" t="str">
            <v>Curitiba</v>
          </cell>
          <cell r="O439" t="str">
            <v>Paraná</v>
          </cell>
          <cell r="P439" t="str">
            <v>Brasil</v>
          </cell>
          <cell r="Q439"/>
        </row>
        <row r="440">
          <cell r="A440">
            <v>32878</v>
          </cell>
          <cell r="B440" t="str">
            <v>Rua Amauri Langue Silvério, 270Pilarzinho</v>
          </cell>
          <cell r="C440" t="str">
            <v>Radio Lúmen - Pilarzinho - APC</v>
          </cell>
          <cell r="D440" t="str">
            <v>ASSOCIAÇÃO PARANAENSE DE CULTURA - APC</v>
          </cell>
          <cell r="E440"/>
          <cell r="F440" t="str">
            <v>Próprio</v>
          </cell>
          <cell r="G440" t="str">
            <v>Edificado - Operacional</v>
          </cell>
          <cell r="H440"/>
          <cell r="I440" t="str">
            <v>Imobiliário</v>
          </cell>
          <cell r="J440" t="str">
            <v>Rua Amauri Langue Silvério, 270</v>
          </cell>
          <cell r="K440">
            <v>0</v>
          </cell>
          <cell r="L440"/>
          <cell r="M440" t="str">
            <v>Pilarzinho</v>
          </cell>
          <cell r="N440" t="str">
            <v>Curitiba</v>
          </cell>
          <cell r="O440" t="str">
            <v>Paraná</v>
          </cell>
          <cell r="P440" t="str">
            <v>Brasil</v>
          </cell>
          <cell r="Q440"/>
        </row>
        <row r="441">
          <cell r="A441">
            <v>33118</v>
          </cell>
          <cell r="B441" t="str">
            <v>Rua Amauri Langue Silvério, 270Pilarzinho</v>
          </cell>
          <cell r="C441" t="str">
            <v>Radio Lúmen - Pilarzinho - APC</v>
          </cell>
          <cell r="D441" t="str">
            <v>ASSOCIAÇÃO PARANAENSE DE CULTURA - APC</v>
          </cell>
          <cell r="E441"/>
          <cell r="F441" t="str">
            <v>Próprio</v>
          </cell>
          <cell r="G441" t="str">
            <v>Edificado - Operacional</v>
          </cell>
          <cell r="H441"/>
          <cell r="I441" t="str">
            <v>Imobiliário</v>
          </cell>
          <cell r="J441" t="str">
            <v>Rua Amauri Langue Silvério, 270</v>
          </cell>
          <cell r="K441">
            <v>0</v>
          </cell>
          <cell r="L441"/>
          <cell r="M441" t="str">
            <v>Pilarzinho</v>
          </cell>
          <cell r="N441" t="str">
            <v>Curitiba</v>
          </cell>
          <cell r="O441" t="str">
            <v>Paraná</v>
          </cell>
          <cell r="P441" t="str">
            <v>Brasil</v>
          </cell>
          <cell r="Q441"/>
        </row>
        <row r="442">
          <cell r="A442">
            <v>21757</v>
          </cell>
          <cell r="B442" t="str">
            <v>Rua Salgado Filho, 519Prado Velho</v>
          </cell>
          <cell r="C442" t="str">
            <v>Garagem/Fisioterapia/Gráfica</v>
          </cell>
          <cell r="D442" t="str">
            <v>ASSOCIAÇÃO PARANAENSE DE CULTURA - APC</v>
          </cell>
          <cell r="E442" t="str">
            <v>ASSOCIAÇÃO PARANAENSE DE CULTURA - APC</v>
          </cell>
          <cell r="F442" t="str">
            <v>Próprio</v>
          </cell>
          <cell r="G442" t="str">
            <v>Edificado - Operacional</v>
          </cell>
          <cell r="H442"/>
          <cell r="I442" t="str">
            <v>Imobiliário</v>
          </cell>
          <cell r="J442" t="str">
            <v>Rua Salgado Filho, 519</v>
          </cell>
          <cell r="K442">
            <v>0</v>
          </cell>
          <cell r="L442"/>
          <cell r="M442" t="str">
            <v>Prado Velho</v>
          </cell>
          <cell r="N442" t="str">
            <v>Curitiba</v>
          </cell>
          <cell r="O442" t="str">
            <v>Paraná</v>
          </cell>
          <cell r="P442" t="str">
            <v>Brasil</v>
          </cell>
          <cell r="Q442"/>
        </row>
        <row r="443">
          <cell r="A443">
            <v>3487</v>
          </cell>
          <cell r="B443" t="str">
            <v>Rua Iapó, 1225Prado Velho</v>
          </cell>
          <cell r="C443" t="str">
            <v>Agência PUC - PUC WEB</v>
          </cell>
          <cell r="D443" t="str">
            <v>ASSOCIAÇÃO BRASILEIRA DE EDUCAÇÃO E CULTURA - ABEC</v>
          </cell>
          <cell r="E443" t="str">
            <v>ASSOCIAÇÃO BRASILEIRA DE EDUCAÇÃO E CULTURA - ABEC</v>
          </cell>
          <cell r="F443" t="str">
            <v>Próprio</v>
          </cell>
          <cell r="G443" t="str">
            <v>Edificado - Operacional</v>
          </cell>
          <cell r="H443"/>
          <cell r="I443" t="str">
            <v>Imobiliário</v>
          </cell>
          <cell r="J443" t="str">
            <v>Rua Iapó, 1225</v>
          </cell>
          <cell r="K443">
            <v>0</v>
          </cell>
          <cell r="L443"/>
          <cell r="M443" t="str">
            <v>Prado Velho</v>
          </cell>
          <cell r="N443" t="str">
            <v>Curitiba</v>
          </cell>
          <cell r="O443" t="str">
            <v>Paraná</v>
          </cell>
          <cell r="P443" t="str">
            <v>Brasil</v>
          </cell>
          <cell r="Q443"/>
        </row>
        <row r="444">
          <cell r="A444">
            <v>5721</v>
          </cell>
          <cell r="B444" t="str">
            <v>Rua Iapó, 1111Prado Velho</v>
          </cell>
          <cell r="C444" t="str">
            <v>Nucleo de Práticas Jurídicas - NPJ Curitiba</v>
          </cell>
          <cell r="D444" t="str">
            <v>ASSOCIAÇÃO BRASILEIRA DE EDUCAÇÃO E CULTURA - ABEC</v>
          </cell>
          <cell r="E444"/>
          <cell r="F444" t="str">
            <v>Próprio</v>
          </cell>
          <cell r="G444" t="str">
            <v>Edificado - Operacional</v>
          </cell>
          <cell r="H444"/>
          <cell r="I444" t="str">
            <v>Imobiliário</v>
          </cell>
          <cell r="J444" t="str">
            <v>Rua Iapó, 1111</v>
          </cell>
          <cell r="K444">
            <v>0</v>
          </cell>
          <cell r="L444"/>
          <cell r="M444" t="str">
            <v>Prado Velho</v>
          </cell>
          <cell r="N444" t="str">
            <v>Curitiba</v>
          </cell>
          <cell r="O444" t="str">
            <v>Paraná</v>
          </cell>
          <cell r="P444" t="str">
            <v>Brasil</v>
          </cell>
          <cell r="Q444"/>
        </row>
        <row r="445">
          <cell r="A445">
            <v>13431</v>
          </cell>
          <cell r="B445" t="str">
            <v>Rua Iapó, 861Prado Velho</v>
          </cell>
          <cell r="C445" t="str">
            <v>Estacionamento Alternativo A (1) - Campus Curitiba</v>
          </cell>
          <cell r="D445" t="str">
            <v>ASSOCIAÇÃO BRASILEIRA DE EDUCAÇÃO E CULTURA - ABEC</v>
          </cell>
          <cell r="E445" t="str">
            <v>ASSOCIAÇÃO BRASILEIRA DE EDUCAÇÃO E CULTURA - ABEC</v>
          </cell>
          <cell r="F445" t="str">
            <v>Próprio</v>
          </cell>
          <cell r="G445" t="str">
            <v>Lotes / Terrenos</v>
          </cell>
          <cell r="H445"/>
          <cell r="I445" t="str">
            <v>Imobiliário</v>
          </cell>
          <cell r="J445" t="str">
            <v>Rua Iapó, 861</v>
          </cell>
          <cell r="K445">
            <v>0</v>
          </cell>
          <cell r="L445"/>
          <cell r="M445" t="str">
            <v>Prado Velho</v>
          </cell>
          <cell r="N445" t="str">
            <v>Curitiba</v>
          </cell>
          <cell r="O445" t="str">
            <v>Paraná</v>
          </cell>
          <cell r="P445" t="str">
            <v>Brasil</v>
          </cell>
          <cell r="Q445"/>
        </row>
        <row r="446">
          <cell r="A446">
            <v>13441</v>
          </cell>
          <cell r="B446" t="str">
            <v>Rua Iapó, 861Prado Velho</v>
          </cell>
          <cell r="C446" t="str">
            <v>Estacionamento Alternativo A (1) - Campus Curitiba</v>
          </cell>
          <cell r="D446" t="str">
            <v>ASSOCIAÇÃO BRASILEIRA DE EDUCAÇÃO E CULTURA - ABEC</v>
          </cell>
          <cell r="E446" t="str">
            <v>ASSOCIAÇÃO BRASILEIRA DE EDUCAÇÃO E CULTURA - ABEC</v>
          </cell>
          <cell r="F446" t="str">
            <v>Próprio</v>
          </cell>
          <cell r="G446" t="str">
            <v>Lotes / Terrenos</v>
          </cell>
          <cell r="H446"/>
          <cell r="I446" t="str">
            <v>Imobiliário</v>
          </cell>
          <cell r="J446" t="str">
            <v>Rua Iapó, 861</v>
          </cell>
          <cell r="K446">
            <v>0</v>
          </cell>
          <cell r="L446"/>
          <cell r="M446" t="str">
            <v>Prado Velho</v>
          </cell>
          <cell r="N446" t="str">
            <v>Curitiba</v>
          </cell>
          <cell r="O446" t="str">
            <v>Paraná</v>
          </cell>
          <cell r="P446" t="str">
            <v>Brasil</v>
          </cell>
          <cell r="Q446"/>
        </row>
        <row r="447">
          <cell r="A447">
            <v>13442</v>
          </cell>
          <cell r="B447" t="str">
            <v>Rua Iapó, 861Prado Velho</v>
          </cell>
          <cell r="C447" t="str">
            <v>Estacionamento Alternativo A (1) - Campus Curitiba</v>
          </cell>
          <cell r="D447" t="str">
            <v>ASSOCIAÇÃO BRASILEIRA DE EDUCAÇÃO E CULTURA - ABEC</v>
          </cell>
          <cell r="E447" t="str">
            <v>ASSOCIAÇÃO BRASILEIRA DE EDUCAÇÃO E CULTURA - ABEC</v>
          </cell>
          <cell r="F447" t="str">
            <v>Próprio</v>
          </cell>
          <cell r="G447" t="str">
            <v>Lotes / Terrenos</v>
          </cell>
          <cell r="H447"/>
          <cell r="I447" t="str">
            <v>Imobiliário</v>
          </cell>
          <cell r="J447" t="str">
            <v>Rua Iapó, 861</v>
          </cell>
          <cell r="K447">
            <v>0</v>
          </cell>
          <cell r="L447"/>
          <cell r="M447" t="str">
            <v>Prado Velho</v>
          </cell>
          <cell r="N447" t="str">
            <v>Curitiba</v>
          </cell>
          <cell r="O447" t="str">
            <v>Paraná</v>
          </cell>
          <cell r="P447" t="str">
            <v>Brasil</v>
          </cell>
          <cell r="Q447"/>
        </row>
        <row r="448">
          <cell r="A448">
            <v>14959</v>
          </cell>
          <cell r="B448" t="str">
            <v>Rua Iapó, 861Prado Velho</v>
          </cell>
          <cell r="C448" t="str">
            <v>Estacionamento Alternativo A (1) - Campus Curitiba</v>
          </cell>
          <cell r="D448" t="str">
            <v>ASSOCIAÇÃO BRASILEIRA DE EDUCAÇÃO E CULTURA - ABEC</v>
          </cell>
          <cell r="E448" t="str">
            <v>ASSOCIAÇÃO BRASILEIRA DE EDUCAÇÃO E CULTURA - ABEC</v>
          </cell>
          <cell r="F448" t="str">
            <v>Próprio</v>
          </cell>
          <cell r="G448" t="str">
            <v>Lotes / Terrenos</v>
          </cell>
          <cell r="H448"/>
          <cell r="I448" t="str">
            <v>Imobiliário</v>
          </cell>
          <cell r="J448" t="str">
            <v>Rua Iapó, 861</v>
          </cell>
          <cell r="K448">
            <v>0</v>
          </cell>
          <cell r="L448"/>
          <cell r="M448" t="str">
            <v>Prado Velho</v>
          </cell>
          <cell r="N448" t="str">
            <v>Curitiba</v>
          </cell>
          <cell r="O448" t="str">
            <v>Paraná</v>
          </cell>
          <cell r="P448" t="str">
            <v>Brasil</v>
          </cell>
          <cell r="Q448"/>
        </row>
        <row r="449">
          <cell r="A449">
            <v>14960</v>
          </cell>
          <cell r="B449" t="str">
            <v>Rua Iapó, 861Prado Velho</v>
          </cell>
          <cell r="C449" t="str">
            <v>Estacionamento Alternativo A (1) - Campus Curitiba</v>
          </cell>
          <cell r="D449" t="str">
            <v>ASSOCIAÇÃO BRASILEIRA DE EDUCAÇÃO E CULTURA - ABEC</v>
          </cell>
          <cell r="E449" t="str">
            <v>ASSOCIAÇÃO BRASILEIRA DE EDUCAÇÃO E CULTURA - ABEC</v>
          </cell>
          <cell r="F449" t="str">
            <v>Próprio</v>
          </cell>
          <cell r="G449" t="str">
            <v>Lotes / Terrenos</v>
          </cell>
          <cell r="H449"/>
          <cell r="I449" t="str">
            <v>Imobiliário</v>
          </cell>
          <cell r="J449" t="str">
            <v>Rua Iapó, 861</v>
          </cell>
          <cell r="K449">
            <v>0</v>
          </cell>
          <cell r="L449"/>
          <cell r="M449" t="str">
            <v>Prado Velho</v>
          </cell>
          <cell r="N449" t="str">
            <v>Curitiba</v>
          </cell>
          <cell r="O449" t="str">
            <v>Paraná</v>
          </cell>
          <cell r="P449" t="str">
            <v>Brasil</v>
          </cell>
          <cell r="Q449"/>
        </row>
        <row r="450">
          <cell r="A450">
            <v>14961</v>
          </cell>
          <cell r="B450" t="str">
            <v>Rua Iapó, 861Prado Velho</v>
          </cell>
          <cell r="C450" t="str">
            <v>Estacionamento Alternativo A (1) - Campus Curitiba</v>
          </cell>
          <cell r="D450" t="str">
            <v>ASSOCIAÇÃO BRASILEIRA DE EDUCAÇÃO E CULTURA - ABEC</v>
          </cell>
          <cell r="E450" t="str">
            <v>ASSOCIAÇÃO BRASILEIRA DE EDUCAÇÃO E CULTURA - ABEC</v>
          </cell>
          <cell r="F450" t="str">
            <v>Próprio</v>
          </cell>
          <cell r="G450" t="str">
            <v>Lotes / Terrenos</v>
          </cell>
          <cell r="H450"/>
          <cell r="I450" t="str">
            <v>Imobiliário</v>
          </cell>
          <cell r="J450" t="str">
            <v>Rua Iapó, 861</v>
          </cell>
          <cell r="K450">
            <v>0</v>
          </cell>
          <cell r="L450"/>
          <cell r="M450" t="str">
            <v>Prado Velho</v>
          </cell>
          <cell r="N450" t="str">
            <v>Curitiba</v>
          </cell>
          <cell r="O450" t="str">
            <v>Paraná</v>
          </cell>
          <cell r="P450" t="str">
            <v>Brasil</v>
          </cell>
          <cell r="Q450"/>
        </row>
        <row r="451">
          <cell r="A451">
            <v>14962</v>
          </cell>
          <cell r="B451" t="str">
            <v>Rua Iapó, 861Prado Velho</v>
          </cell>
          <cell r="C451" t="str">
            <v>Estacionamento Alternativo A (1) - Campus Curitiba</v>
          </cell>
          <cell r="D451" t="str">
            <v>ASSOCIAÇÃO BRASILEIRA DE EDUCAÇÃO E CULTURA - ABEC</v>
          </cell>
          <cell r="E451" t="str">
            <v>ASSOCIAÇÃO BRASILEIRA DE EDUCAÇÃO E CULTURA - ABEC</v>
          </cell>
          <cell r="F451" t="str">
            <v>Próprio</v>
          </cell>
          <cell r="G451" t="str">
            <v>Lotes / Terrenos</v>
          </cell>
          <cell r="H451"/>
          <cell r="I451" t="str">
            <v>Imobiliário</v>
          </cell>
          <cell r="J451" t="str">
            <v>Rua Iapó, 861</v>
          </cell>
          <cell r="K451">
            <v>0</v>
          </cell>
          <cell r="L451"/>
          <cell r="M451" t="str">
            <v>Prado Velho</v>
          </cell>
          <cell r="N451" t="str">
            <v>Curitiba</v>
          </cell>
          <cell r="O451" t="str">
            <v>Paraná</v>
          </cell>
          <cell r="P451" t="str">
            <v>Brasil</v>
          </cell>
          <cell r="Q451"/>
        </row>
        <row r="452">
          <cell r="A452">
            <v>14977</v>
          </cell>
          <cell r="B452" t="str">
            <v>Rua Iapó, 861Prado Velho</v>
          </cell>
          <cell r="C452" t="str">
            <v>Estacionamento Alternativo A (1) - Campus Curitiba</v>
          </cell>
          <cell r="D452" t="str">
            <v>ASSOCIAÇÃO BRASILEIRA DE EDUCAÇÃO E CULTURA - ABEC</v>
          </cell>
          <cell r="E452" t="str">
            <v>ASSOCIAÇÃO BRASILEIRA DE EDUCAÇÃO E CULTURA - ABEC</v>
          </cell>
          <cell r="F452" t="str">
            <v>Próprio</v>
          </cell>
          <cell r="G452" t="str">
            <v>Lotes / Terrenos</v>
          </cell>
          <cell r="H452"/>
          <cell r="I452" t="str">
            <v>Imobiliário</v>
          </cell>
          <cell r="J452" t="str">
            <v>Rua Iapó, 861</v>
          </cell>
          <cell r="K452">
            <v>0</v>
          </cell>
          <cell r="L452"/>
          <cell r="M452" t="str">
            <v>Prado Velho</v>
          </cell>
          <cell r="N452" t="str">
            <v>Curitiba</v>
          </cell>
          <cell r="O452" t="str">
            <v>Paraná</v>
          </cell>
          <cell r="P452" t="str">
            <v>Brasil</v>
          </cell>
          <cell r="Q452"/>
        </row>
        <row r="453">
          <cell r="A453">
            <v>7589</v>
          </cell>
          <cell r="B453" t="str">
            <v>Rua Iapó, 861Prado Velho</v>
          </cell>
          <cell r="C453" t="str">
            <v>Estacionamento Alternativo A (1) - Campus Curitiba</v>
          </cell>
          <cell r="D453" t="str">
            <v>ASSOCIAÇÃO BRASILEIRA DE EDUCAÇÃO E CULTURA - ABEC</v>
          </cell>
          <cell r="E453" t="str">
            <v>ASSOCIAÇÃO BRASILEIRA DE EDUCAÇÃO E CULTURA - ABEC</v>
          </cell>
          <cell r="F453" t="str">
            <v>Próprio</v>
          </cell>
          <cell r="G453" t="str">
            <v>Lotes / Terrenos</v>
          </cell>
          <cell r="H453"/>
          <cell r="I453" t="str">
            <v>Imobiliário</v>
          </cell>
          <cell r="J453" t="str">
            <v>Rua Iapó, 861</v>
          </cell>
          <cell r="K453">
            <v>0</v>
          </cell>
          <cell r="L453"/>
          <cell r="M453" t="str">
            <v>Prado Velho</v>
          </cell>
          <cell r="N453" t="str">
            <v>Curitiba</v>
          </cell>
          <cell r="O453" t="str">
            <v>Paraná</v>
          </cell>
          <cell r="P453" t="str">
            <v>Brasil</v>
          </cell>
          <cell r="Q453"/>
        </row>
        <row r="454">
          <cell r="A454">
            <v>14454</v>
          </cell>
          <cell r="B454" t="str">
            <v>Rua Iapó, 956Prado Velho</v>
          </cell>
          <cell r="C454" t="str">
            <v>Estacionamento Alternativo C (3) - Campus Curitiba - ABEC</v>
          </cell>
          <cell r="D454" t="str">
            <v>ASSOCIAÇÃO BRASILEIRA DE EDUCAÇÃO E CULTURA - ABEC</v>
          </cell>
          <cell r="E454" t="str">
            <v>ASSOCIAÇÃO BRASILEIRA DE EDUCAÇÃO E CULTURA - ABEC</v>
          </cell>
          <cell r="F454" t="str">
            <v>Próprio</v>
          </cell>
          <cell r="G454" t="str">
            <v>Lotes / Terrenos</v>
          </cell>
          <cell r="H454"/>
          <cell r="I454" t="str">
            <v>Imobiliário</v>
          </cell>
          <cell r="J454" t="str">
            <v>Rua Iapó, 956</v>
          </cell>
          <cell r="K454">
            <v>0</v>
          </cell>
          <cell r="L454"/>
          <cell r="M454" t="str">
            <v>Prado Velho</v>
          </cell>
          <cell r="N454" t="str">
            <v>Curitiba</v>
          </cell>
          <cell r="O454" t="str">
            <v>Paraná</v>
          </cell>
          <cell r="P454" t="str">
            <v>Brasil</v>
          </cell>
          <cell r="Q454"/>
        </row>
        <row r="455">
          <cell r="A455">
            <v>15224</v>
          </cell>
          <cell r="B455" t="str">
            <v>Rua Iapó, 956Prado Velho</v>
          </cell>
          <cell r="C455" t="str">
            <v>Estacionamento Alternativo C (3) - Campus Curitiba - ABEC</v>
          </cell>
          <cell r="D455" t="str">
            <v>ASSOCIAÇÃO BRASILEIRA DE EDUCAÇÃO E CULTURA - ABEC</v>
          </cell>
          <cell r="E455" t="str">
            <v>ASSOCIAÇÃO BRASILEIRA DE EDUCAÇÃO E CULTURA - ABEC</v>
          </cell>
          <cell r="F455" t="str">
            <v>Próprio</v>
          </cell>
          <cell r="G455" t="str">
            <v>Lotes / Terrenos</v>
          </cell>
          <cell r="H455"/>
          <cell r="I455" t="str">
            <v>Imobiliário</v>
          </cell>
          <cell r="J455" t="str">
            <v>Rua Iapó, 956</v>
          </cell>
          <cell r="K455">
            <v>0</v>
          </cell>
          <cell r="L455"/>
          <cell r="M455" t="str">
            <v>Prado Velho</v>
          </cell>
          <cell r="N455" t="str">
            <v>Curitiba</v>
          </cell>
          <cell r="O455" t="str">
            <v>Paraná</v>
          </cell>
          <cell r="P455" t="str">
            <v>Brasil</v>
          </cell>
          <cell r="Q455"/>
        </row>
        <row r="456">
          <cell r="A456">
            <v>17617</v>
          </cell>
          <cell r="B456" t="str">
            <v>Rua Iapó, 956Prado Velho</v>
          </cell>
          <cell r="C456" t="str">
            <v>Estacionamento Alternativo C (3) - Campus Curitiba - ABEC</v>
          </cell>
          <cell r="D456" t="str">
            <v>ASSOCIAÇÃO BRASILEIRA DE EDUCAÇÃO E CULTURA - ABEC</v>
          </cell>
          <cell r="E456" t="str">
            <v>ASSOCIAÇÃO BRASILEIRA DE EDUCAÇÃO E CULTURA - ABEC</v>
          </cell>
          <cell r="F456" t="str">
            <v>Próprio</v>
          </cell>
          <cell r="G456" t="str">
            <v>Lotes / Terrenos</v>
          </cell>
          <cell r="H456"/>
          <cell r="I456" t="str">
            <v>Imobiliário</v>
          </cell>
          <cell r="J456" t="str">
            <v>Rua Iapó, 956</v>
          </cell>
          <cell r="K456">
            <v>0</v>
          </cell>
          <cell r="L456"/>
          <cell r="M456" t="str">
            <v>Prado Velho</v>
          </cell>
          <cell r="N456" t="str">
            <v>Curitiba</v>
          </cell>
          <cell r="O456" t="str">
            <v>Paraná</v>
          </cell>
          <cell r="P456" t="str">
            <v>Brasil</v>
          </cell>
          <cell r="Q456"/>
        </row>
        <row r="457">
          <cell r="A457">
            <v>20182</v>
          </cell>
          <cell r="B457" t="str">
            <v>Rua Iapó, 956Prado Velho</v>
          </cell>
          <cell r="C457" t="str">
            <v>Estacionamento Alternativo C (3) - Campus Curitiba - ABEC</v>
          </cell>
          <cell r="D457" t="str">
            <v>ASSOCIAÇÃO BRASILEIRA DE EDUCAÇÃO E CULTURA - ABEC</v>
          </cell>
          <cell r="E457" t="str">
            <v>ASSOCIAÇÃO BRASILEIRA DE EDUCAÇÃO E CULTURA - ABEC</v>
          </cell>
          <cell r="F457" t="str">
            <v>Próprio</v>
          </cell>
          <cell r="G457" t="str">
            <v>Lotes / Terrenos</v>
          </cell>
          <cell r="H457"/>
          <cell r="I457" t="str">
            <v>Imobiliário</v>
          </cell>
          <cell r="J457" t="str">
            <v>Rua Iapó, 956</v>
          </cell>
          <cell r="K457">
            <v>0</v>
          </cell>
          <cell r="L457"/>
          <cell r="M457" t="str">
            <v>Prado Velho</v>
          </cell>
          <cell r="N457" t="str">
            <v>Curitiba</v>
          </cell>
          <cell r="O457" t="str">
            <v>Paraná</v>
          </cell>
          <cell r="P457" t="str">
            <v>Brasil</v>
          </cell>
          <cell r="Q457"/>
        </row>
        <row r="458">
          <cell r="A458">
            <v>6966</v>
          </cell>
          <cell r="B458" t="str">
            <v>Rua Iapó, 956Prado Velho</v>
          </cell>
          <cell r="C458" t="str">
            <v>Estacionamento Alternativo C (3) - Campus Curitiba - ABEC</v>
          </cell>
          <cell r="D458" t="str">
            <v>ASSOCIAÇÃO BRASILEIRA DE EDUCAÇÃO E CULTURA - ABEC</v>
          </cell>
          <cell r="E458" t="str">
            <v>ASSOCIAÇÃO BRASILEIRA DE EDUCAÇÃO E CULTURA - ABEC</v>
          </cell>
          <cell r="F458" t="str">
            <v>Próprio</v>
          </cell>
          <cell r="G458" t="str">
            <v>Lotes / Terrenos</v>
          </cell>
          <cell r="H458"/>
          <cell r="I458" t="str">
            <v>Imobiliário</v>
          </cell>
          <cell r="J458" t="str">
            <v>Rua Iapó, 956</v>
          </cell>
          <cell r="K458">
            <v>0</v>
          </cell>
          <cell r="L458"/>
          <cell r="M458" t="str">
            <v>Prado Velho</v>
          </cell>
          <cell r="N458" t="str">
            <v>Curitiba</v>
          </cell>
          <cell r="O458" t="str">
            <v>Paraná</v>
          </cell>
          <cell r="P458" t="str">
            <v>Brasil</v>
          </cell>
          <cell r="Q458"/>
        </row>
        <row r="459">
          <cell r="A459">
            <v>7323</v>
          </cell>
          <cell r="B459" t="str">
            <v>Rua Iapó, 956Prado Velho</v>
          </cell>
          <cell r="C459" t="str">
            <v>Estacionamento Alternativo C (3) - Campus Curitiba - ABEC</v>
          </cell>
          <cell r="D459" t="str">
            <v>ASSOCIAÇÃO BRASILEIRA DE EDUCAÇÃO E CULTURA - ABEC</v>
          </cell>
          <cell r="E459" t="str">
            <v>ASSOCIAÇÃO BRASILEIRA DE EDUCAÇÃO E CULTURA - ABEC</v>
          </cell>
          <cell r="F459" t="str">
            <v>Próprio</v>
          </cell>
          <cell r="G459" t="str">
            <v>Lotes / Terrenos</v>
          </cell>
          <cell r="H459"/>
          <cell r="I459" t="str">
            <v>Imobiliário</v>
          </cell>
          <cell r="J459" t="str">
            <v>Rua Iapó, 956</v>
          </cell>
          <cell r="K459">
            <v>0</v>
          </cell>
          <cell r="L459"/>
          <cell r="M459" t="str">
            <v>Prado Velho</v>
          </cell>
          <cell r="N459" t="str">
            <v>Curitiba</v>
          </cell>
          <cell r="O459" t="str">
            <v>Paraná</v>
          </cell>
          <cell r="P459" t="str">
            <v>Brasil</v>
          </cell>
          <cell r="Q459"/>
        </row>
        <row r="460">
          <cell r="A460">
            <v>8675</v>
          </cell>
          <cell r="B460" t="str">
            <v>Rua Iapó, 956Prado Velho</v>
          </cell>
          <cell r="C460" t="str">
            <v>Estacionamento Alternativo C (3) - Campus Curitiba - ABEC</v>
          </cell>
          <cell r="D460" t="str">
            <v>ASSOCIAÇÃO BRASILEIRA DE EDUCAÇÃO E CULTURA - ABEC</v>
          </cell>
          <cell r="E460" t="str">
            <v>ASSOCIAÇÃO BRASILEIRA DE EDUCAÇÃO E CULTURA - ABEC</v>
          </cell>
          <cell r="F460" t="str">
            <v>Próprio</v>
          </cell>
          <cell r="G460" t="str">
            <v>Lotes / Terrenos</v>
          </cell>
          <cell r="H460"/>
          <cell r="I460" t="str">
            <v>Imobiliário</v>
          </cell>
          <cell r="J460" t="str">
            <v>Rua Iapó, 956</v>
          </cell>
          <cell r="K460">
            <v>0</v>
          </cell>
          <cell r="L460"/>
          <cell r="M460" t="str">
            <v>Prado Velho</v>
          </cell>
          <cell r="N460" t="str">
            <v>Curitiba</v>
          </cell>
          <cell r="O460" t="str">
            <v>Paraná</v>
          </cell>
          <cell r="P460" t="str">
            <v>Brasil</v>
          </cell>
          <cell r="Q460"/>
        </row>
        <row r="461">
          <cell r="A461">
            <v>5463</v>
          </cell>
          <cell r="B461" t="str">
            <v>Rua Comendador Roseira, 599IgrejinhaPrado Velho</v>
          </cell>
          <cell r="C461" t="str">
            <v>DSC - DIE -(Igrejinha)</v>
          </cell>
          <cell r="D461" t="str">
            <v>UNIÃO CATARINENSE DE EDUCAÇÃO - UCE</v>
          </cell>
          <cell r="E461"/>
          <cell r="F461" t="str">
            <v>Próprio</v>
          </cell>
          <cell r="G461" t="str">
            <v>Edificado - Operacional</v>
          </cell>
          <cell r="H461"/>
          <cell r="I461" t="str">
            <v>Imobiliário</v>
          </cell>
          <cell r="J461" t="str">
            <v>Rua Comendador Roseira, 599</v>
          </cell>
          <cell r="K461">
            <v>0</v>
          </cell>
          <cell r="L461" t="str">
            <v>Igrejinha</v>
          </cell>
          <cell r="M461" t="str">
            <v>Prado Velho</v>
          </cell>
          <cell r="N461" t="str">
            <v>Curitiba</v>
          </cell>
          <cell r="O461" t="str">
            <v>Paraná</v>
          </cell>
          <cell r="P461" t="str">
            <v>Brasil</v>
          </cell>
          <cell r="Q461"/>
        </row>
        <row r="462">
          <cell r="A462">
            <v>13392</v>
          </cell>
          <cell r="B462" t="str">
            <v>Rua Iapó, 1252Prado Velho</v>
          </cell>
          <cell r="C462" t="str">
            <v>Estacionamento Alternativo B (2) - Campus Curitiba</v>
          </cell>
          <cell r="D462" t="str">
            <v>ASSOCIAÇÃO BRASILEIRA DE EDUCAÇÃO E CULTURA - ABEC</v>
          </cell>
          <cell r="E462" t="str">
            <v>ASSOCIAÇÃO BRASILEIRA DE EDUCAÇÃO E CULTURA - ABEC</v>
          </cell>
          <cell r="F462" t="str">
            <v>Próprio</v>
          </cell>
          <cell r="G462" t="str">
            <v>Lote / Terreno</v>
          </cell>
          <cell r="H462"/>
          <cell r="I462" t="str">
            <v>Imobiliário</v>
          </cell>
          <cell r="J462" t="str">
            <v>Rua Iapó, 1252</v>
          </cell>
          <cell r="K462">
            <v>0</v>
          </cell>
          <cell r="L462"/>
          <cell r="M462" t="str">
            <v>Prado Velho</v>
          </cell>
          <cell r="N462" t="str">
            <v>Curitiba</v>
          </cell>
          <cell r="O462" t="str">
            <v>Paraná</v>
          </cell>
          <cell r="P462" t="str">
            <v>Brasil</v>
          </cell>
          <cell r="Q462"/>
        </row>
        <row r="463">
          <cell r="A463">
            <v>14483</v>
          </cell>
          <cell r="B463" t="str">
            <v>Rua Iapó, 1252Prado Velho</v>
          </cell>
          <cell r="C463" t="str">
            <v>Estacionamento Alternativo B (2) - Campus Curitiba</v>
          </cell>
          <cell r="D463" t="str">
            <v>ASSOCIAÇÃO BRASILEIRA DE EDUCAÇÃO E CULTURA - ABEC</v>
          </cell>
          <cell r="E463" t="str">
            <v>ASSOCIAÇÃO BRASILEIRA DE EDUCAÇÃO E CULTURA - ABEC</v>
          </cell>
          <cell r="F463" t="str">
            <v>Próprio</v>
          </cell>
          <cell r="G463" t="str">
            <v>Lote / Terreno</v>
          </cell>
          <cell r="H463"/>
          <cell r="I463" t="str">
            <v>Imobiliário</v>
          </cell>
          <cell r="J463" t="str">
            <v>Rua Iapó, 1252</v>
          </cell>
          <cell r="K463">
            <v>0</v>
          </cell>
          <cell r="L463"/>
          <cell r="M463" t="str">
            <v>Prado Velho</v>
          </cell>
          <cell r="N463" t="str">
            <v>Curitiba</v>
          </cell>
          <cell r="O463" t="str">
            <v>Paraná</v>
          </cell>
          <cell r="P463" t="str">
            <v>Brasil</v>
          </cell>
          <cell r="Q463"/>
        </row>
        <row r="464">
          <cell r="A464">
            <v>14484</v>
          </cell>
          <cell r="B464" t="str">
            <v>Rua Iapó, 1252Prado Velho</v>
          </cell>
          <cell r="C464" t="str">
            <v>Estacionamento Alternativo B (2) - Campus Curitiba</v>
          </cell>
          <cell r="D464" t="str">
            <v>ASSOCIAÇÃO BRASILEIRA DE EDUCAÇÃO E CULTURA - ABEC</v>
          </cell>
          <cell r="E464" t="str">
            <v>ASSOCIAÇÃO BRASILEIRA DE EDUCAÇÃO E CULTURA - ABEC</v>
          </cell>
          <cell r="F464" t="str">
            <v>Próprio</v>
          </cell>
          <cell r="G464" t="str">
            <v>Lote / Terreno</v>
          </cell>
          <cell r="H464"/>
          <cell r="I464" t="str">
            <v>Imobiliário</v>
          </cell>
          <cell r="J464" t="str">
            <v>Rua Iapó, 1252</v>
          </cell>
          <cell r="K464">
            <v>0</v>
          </cell>
          <cell r="L464"/>
          <cell r="M464" t="str">
            <v>Prado Velho</v>
          </cell>
          <cell r="N464" t="str">
            <v>Curitiba</v>
          </cell>
          <cell r="O464" t="str">
            <v>Paraná</v>
          </cell>
          <cell r="P464" t="str">
            <v>Brasil</v>
          </cell>
          <cell r="Q464"/>
        </row>
        <row r="465">
          <cell r="A465">
            <v>14485</v>
          </cell>
          <cell r="B465" t="str">
            <v>Rua Iapó, 1252Prado Velho</v>
          </cell>
          <cell r="C465" t="str">
            <v>Estacionamento Alternativo B (2) - Campus Curitiba</v>
          </cell>
          <cell r="D465" t="str">
            <v>ASSOCIAÇÃO BRASILEIRA DE EDUCAÇÃO E CULTURA - ABEC</v>
          </cell>
          <cell r="E465" t="str">
            <v>ASSOCIAÇÃO BRASILEIRA DE EDUCAÇÃO E CULTURA - ABEC</v>
          </cell>
          <cell r="F465" t="str">
            <v>Próprio</v>
          </cell>
          <cell r="G465" t="str">
            <v>Lote / Terreno</v>
          </cell>
          <cell r="H465"/>
          <cell r="I465" t="str">
            <v>Imobiliário</v>
          </cell>
          <cell r="J465" t="str">
            <v>Rua Iapó, 1252</v>
          </cell>
          <cell r="K465">
            <v>0</v>
          </cell>
          <cell r="L465"/>
          <cell r="M465" t="str">
            <v>Prado Velho</v>
          </cell>
          <cell r="N465" t="str">
            <v>Curitiba</v>
          </cell>
          <cell r="O465" t="str">
            <v>Paraná</v>
          </cell>
          <cell r="P465" t="str">
            <v>Brasil</v>
          </cell>
          <cell r="Q465"/>
        </row>
        <row r="466">
          <cell r="A466">
            <v>14486</v>
          </cell>
          <cell r="B466" t="str">
            <v>Rua Iapó, 1252Prado Velho</v>
          </cell>
          <cell r="C466" t="str">
            <v>Estacionamento Alternativo B (2) - Campus Curitiba</v>
          </cell>
          <cell r="D466" t="str">
            <v>ASSOCIAÇÃO BRASILEIRA DE EDUCAÇÃO E CULTURA - ABEC</v>
          </cell>
          <cell r="E466" t="str">
            <v>ASSOCIAÇÃO BRASILEIRA DE EDUCAÇÃO E CULTURA - ABEC</v>
          </cell>
          <cell r="F466" t="str">
            <v>Próprio</v>
          </cell>
          <cell r="G466" t="str">
            <v>Lote / Terreno</v>
          </cell>
          <cell r="H466"/>
          <cell r="I466" t="str">
            <v>Imobiliário</v>
          </cell>
          <cell r="J466" t="str">
            <v>Rua Iapó, 1252</v>
          </cell>
          <cell r="K466">
            <v>0</v>
          </cell>
          <cell r="L466"/>
          <cell r="M466" t="str">
            <v>Prado Velho</v>
          </cell>
          <cell r="N466" t="str">
            <v>Curitiba</v>
          </cell>
          <cell r="O466" t="str">
            <v>Paraná</v>
          </cell>
          <cell r="P466" t="str">
            <v>Brasil</v>
          </cell>
          <cell r="Q466"/>
        </row>
        <row r="467">
          <cell r="A467">
            <v>14487</v>
          </cell>
          <cell r="B467" t="str">
            <v>Rua Iapó, 1252Prado Velho</v>
          </cell>
          <cell r="C467" t="str">
            <v>Estacionamento Alternativo B (2) - Campus Curitiba</v>
          </cell>
          <cell r="D467" t="str">
            <v>ASSOCIAÇÃO BRASILEIRA DE EDUCAÇÃO E CULTURA - ABEC</v>
          </cell>
          <cell r="E467" t="str">
            <v>ASSOCIAÇÃO BRASILEIRA DE EDUCAÇÃO E CULTURA - ABEC</v>
          </cell>
          <cell r="F467" t="str">
            <v>Próprio</v>
          </cell>
          <cell r="G467" t="str">
            <v>Lote / Terreno</v>
          </cell>
          <cell r="H467"/>
          <cell r="I467" t="str">
            <v>Imobiliário</v>
          </cell>
          <cell r="J467" t="str">
            <v>Rua Iapó, 1252</v>
          </cell>
          <cell r="K467">
            <v>0</v>
          </cell>
          <cell r="L467"/>
          <cell r="M467" t="str">
            <v>Prado Velho</v>
          </cell>
          <cell r="N467" t="str">
            <v>Curitiba</v>
          </cell>
          <cell r="O467" t="str">
            <v>Paraná</v>
          </cell>
          <cell r="P467" t="str">
            <v>Brasil</v>
          </cell>
          <cell r="Q467"/>
        </row>
        <row r="468">
          <cell r="A468">
            <v>14488</v>
          </cell>
          <cell r="B468" t="str">
            <v>Rua Iapó, 1252Prado Velho</v>
          </cell>
          <cell r="C468" t="str">
            <v>Estacionamento Alternativo B (2) - Campus Curitiba</v>
          </cell>
          <cell r="D468" t="str">
            <v>ASSOCIAÇÃO BRASILEIRA DE EDUCAÇÃO E CULTURA - ABEC</v>
          </cell>
          <cell r="E468" t="str">
            <v>ASSOCIAÇÃO BRASILEIRA DE EDUCAÇÃO E CULTURA - ABEC</v>
          </cell>
          <cell r="F468" t="str">
            <v>Próprio</v>
          </cell>
          <cell r="G468" t="str">
            <v>Lote / Terreno</v>
          </cell>
          <cell r="H468"/>
          <cell r="I468" t="str">
            <v>Imobiliário</v>
          </cell>
          <cell r="J468" t="str">
            <v>Rua Iapó, 1252</v>
          </cell>
          <cell r="K468">
            <v>0</v>
          </cell>
          <cell r="L468"/>
          <cell r="M468" t="str">
            <v>Prado Velho</v>
          </cell>
          <cell r="N468" t="str">
            <v>Curitiba</v>
          </cell>
          <cell r="O468" t="str">
            <v>Paraná</v>
          </cell>
          <cell r="P468" t="str">
            <v>Brasil</v>
          </cell>
          <cell r="Q468"/>
        </row>
        <row r="469">
          <cell r="A469">
            <v>8794</v>
          </cell>
          <cell r="B469" t="str">
            <v>Rua Iapó, 1252Prado Velho</v>
          </cell>
          <cell r="C469" t="str">
            <v>Estacionamento Alternativo B (2) - Campus Curitiba</v>
          </cell>
          <cell r="D469" t="str">
            <v>ASSOCIAÇÃO BRASILEIRA DE EDUCAÇÃO E CULTURA - ABEC</v>
          </cell>
          <cell r="E469" t="str">
            <v>ASSOCIAÇÃO BRASILEIRA DE EDUCAÇÃO E CULTURA - ABEC</v>
          </cell>
          <cell r="F469" t="str">
            <v>Próprio</v>
          </cell>
          <cell r="G469" t="str">
            <v>Lote / Terreno</v>
          </cell>
          <cell r="H469"/>
          <cell r="I469" t="str">
            <v>Imobiliário</v>
          </cell>
          <cell r="J469" t="str">
            <v>Rua Iapó, 1252</v>
          </cell>
          <cell r="K469">
            <v>0</v>
          </cell>
          <cell r="L469"/>
          <cell r="M469" t="str">
            <v>Prado Velho</v>
          </cell>
          <cell r="N469" t="str">
            <v>Curitiba</v>
          </cell>
          <cell r="O469" t="str">
            <v>Paraná</v>
          </cell>
          <cell r="P469" t="str">
            <v>Brasil</v>
          </cell>
          <cell r="Q469"/>
        </row>
        <row r="470">
          <cell r="A470">
            <v>8795</v>
          </cell>
          <cell r="B470" t="str">
            <v>Rua Iapó, 1252Prado Velho</v>
          </cell>
          <cell r="C470" t="str">
            <v>Estacionamento Alternativo B (2) - Campus Curitiba</v>
          </cell>
          <cell r="D470" t="str">
            <v>ASSOCIAÇÃO BRASILEIRA DE EDUCAÇÃO E CULTURA - ABEC</v>
          </cell>
          <cell r="E470" t="str">
            <v>ASSOCIAÇÃO BRASILEIRA DE EDUCAÇÃO E CULTURA - ABEC</v>
          </cell>
          <cell r="F470" t="str">
            <v>Próprio</v>
          </cell>
          <cell r="G470" t="str">
            <v>Lote / Terreno</v>
          </cell>
          <cell r="H470"/>
          <cell r="I470" t="str">
            <v>Imobiliário</v>
          </cell>
          <cell r="J470" t="str">
            <v>Rua Iapó, 1252</v>
          </cell>
          <cell r="K470">
            <v>0</v>
          </cell>
          <cell r="L470"/>
          <cell r="M470" t="str">
            <v>Prado Velho</v>
          </cell>
          <cell r="N470" t="str">
            <v>Curitiba</v>
          </cell>
          <cell r="O470" t="str">
            <v>Paraná</v>
          </cell>
          <cell r="P470" t="str">
            <v>Brasil</v>
          </cell>
          <cell r="Q470"/>
        </row>
        <row r="471">
          <cell r="A471">
            <v>8796</v>
          </cell>
          <cell r="B471" t="str">
            <v>Rua Iapó, 1252Prado Velho</v>
          </cell>
          <cell r="C471" t="str">
            <v>Estacionamento Alternativo B (2) - Campus Curitiba</v>
          </cell>
          <cell r="D471" t="str">
            <v>ASSOCIAÇÃO BRASILEIRA DE EDUCAÇÃO E CULTURA - ABEC</v>
          </cell>
          <cell r="E471" t="str">
            <v>ASSOCIAÇÃO BRASILEIRA DE EDUCAÇÃO E CULTURA - ABEC</v>
          </cell>
          <cell r="F471" t="str">
            <v>Próprio</v>
          </cell>
          <cell r="G471" t="str">
            <v>Lote / Terreno</v>
          </cell>
          <cell r="H471"/>
          <cell r="I471" t="str">
            <v>Imobiliário</v>
          </cell>
          <cell r="J471" t="str">
            <v>Rua Iapó, 1252</v>
          </cell>
          <cell r="K471">
            <v>0</v>
          </cell>
          <cell r="L471"/>
          <cell r="M471" t="str">
            <v>Prado Velho</v>
          </cell>
          <cell r="N471" t="str">
            <v>Curitiba</v>
          </cell>
          <cell r="O471" t="str">
            <v>Paraná</v>
          </cell>
          <cell r="P471" t="str">
            <v>Brasil</v>
          </cell>
          <cell r="Q471"/>
        </row>
        <row r="472">
          <cell r="A472">
            <v>28960</v>
          </cell>
          <cell r="B472" t="str">
            <v>Rua Rockefeller, 1.311, 1.325 e 1.337Rebouças</v>
          </cell>
          <cell r="C472" t="str">
            <v>Rockefeller - Clínica Veterinária</v>
          </cell>
          <cell r="D472" t="str">
            <v>ASSOCIAÇÃO BRASILEIRA DE EDUCAÇÃO E CULTURA - ABEC</v>
          </cell>
          <cell r="E472" t="str">
            <v>ASSOCIAÇÃO BRASILEIRA DE EDUCAÇÃO E CULTURA - ABEC</v>
          </cell>
          <cell r="F472" t="str">
            <v>Próprio</v>
          </cell>
          <cell r="G472" t="str">
            <v>Edificado - Operacional</v>
          </cell>
          <cell r="H472"/>
          <cell r="I472" t="str">
            <v>Imobiliário</v>
          </cell>
          <cell r="J472" t="str">
            <v>Rua Rockefeller, 1.311, 1.325 e 1.337</v>
          </cell>
          <cell r="K472">
            <v>0</v>
          </cell>
          <cell r="L472"/>
          <cell r="M472" t="str">
            <v>Rebouças</v>
          </cell>
          <cell r="N472" t="str">
            <v>Curitiba</v>
          </cell>
          <cell r="O472" t="str">
            <v>Paraná</v>
          </cell>
          <cell r="P472" t="str">
            <v>Brasil</v>
          </cell>
          <cell r="Q472"/>
        </row>
        <row r="473">
          <cell r="A473">
            <v>4638</v>
          </cell>
          <cell r="B473" t="str">
            <v>BR 116, 11.848Prado Velho</v>
          </cell>
          <cell r="C473" t="str">
            <v>Laboratório de Comunicação</v>
          </cell>
          <cell r="D473" t="str">
            <v>ASSOCIAÇÃO BRASILEIRA DE EDUCAÇÃO E CULTURA - ABEC</v>
          </cell>
          <cell r="E473" t="str">
            <v>ASSOCIAÇÃO BRASILEIRA DE EDUCAÇÃO E CULTURA - ABEC</v>
          </cell>
          <cell r="F473" t="str">
            <v>Próprio</v>
          </cell>
          <cell r="G473" t="str">
            <v>Edificado - Operacional</v>
          </cell>
          <cell r="H473"/>
          <cell r="I473" t="str">
            <v>Imobiliário</v>
          </cell>
          <cell r="J473" t="str">
            <v>BR 116, 11.848</v>
          </cell>
          <cell r="K473">
            <v>0</v>
          </cell>
          <cell r="L473"/>
          <cell r="M473" t="str">
            <v>Prado Velho</v>
          </cell>
          <cell r="N473" t="str">
            <v>Curitiba</v>
          </cell>
          <cell r="O473" t="str">
            <v>Paraná</v>
          </cell>
          <cell r="P473" t="str">
            <v>Brasil</v>
          </cell>
          <cell r="Q473"/>
        </row>
        <row r="474">
          <cell r="A474">
            <v>18657</v>
          </cell>
          <cell r="B474" t="str">
            <v>Rua Rockefeller, 1679Rebouças</v>
          </cell>
          <cell r="C474" t="str">
            <v>Sobrado - CEDECA (Centro de Defesa )</v>
          </cell>
          <cell r="D474" t="str">
            <v>ASSOCIAÇÃO BRASILEIRA DE EDUCAÇÃO E CULTURA - ABEC</v>
          </cell>
          <cell r="E474" t="str">
            <v>ASSOCIAÇÃO BRASILEIRA DE EDUCAÇÃO E CULTURA - ABEC</v>
          </cell>
          <cell r="F474" t="str">
            <v>Próprio</v>
          </cell>
          <cell r="G474" t="str">
            <v>Edificado - Operacional</v>
          </cell>
          <cell r="H474"/>
          <cell r="I474" t="str">
            <v>Imobiliário</v>
          </cell>
          <cell r="J474" t="str">
            <v>Rua Rockefeller, 1679</v>
          </cell>
          <cell r="K474">
            <v>0</v>
          </cell>
          <cell r="L474"/>
          <cell r="M474" t="str">
            <v>Rebouças</v>
          </cell>
          <cell r="N474" t="str">
            <v>Curitiba</v>
          </cell>
          <cell r="O474" t="str">
            <v>Paraná</v>
          </cell>
          <cell r="P474" t="str">
            <v>Brasil</v>
          </cell>
          <cell r="Q474"/>
        </row>
        <row r="475">
          <cell r="A475">
            <v>9387</v>
          </cell>
          <cell r="B475" t="str">
            <v>Rua R TreisBalneário Costa AzulJuréia</v>
          </cell>
          <cell r="C475" t="str">
            <v>Iguape - Balneário Costa Azul - 03 Lotes</v>
          </cell>
          <cell r="D475" t="str">
            <v>ASSOCIAÇÃO BRASILEIRA DE EDUCAÇÃO E CULTURA - ABEC</v>
          </cell>
          <cell r="E475" t="str">
            <v>ASSOCIAÇÃO BRASILEIRA DE EDUCAÇÃO E CULTURA - ABEC</v>
          </cell>
          <cell r="F475" t="str">
            <v>Próprio</v>
          </cell>
          <cell r="G475" t="str">
            <v>Lotes / Terrenos</v>
          </cell>
          <cell r="H475"/>
          <cell r="I475" t="str">
            <v>Imobiliário</v>
          </cell>
          <cell r="J475" t="str">
            <v>Rua R Treis</v>
          </cell>
          <cell r="K475">
            <v>0</v>
          </cell>
          <cell r="L475" t="str">
            <v>Balneário Costa Azul</v>
          </cell>
          <cell r="M475" t="str">
            <v>Juréia</v>
          </cell>
          <cell r="N475" t="str">
            <v>Iguape</v>
          </cell>
          <cell r="O475" t="str">
            <v>São Paulo</v>
          </cell>
          <cell r="P475" t="str">
            <v>Brasil</v>
          </cell>
          <cell r="Q475"/>
        </row>
        <row r="476">
          <cell r="A476">
            <v>9388</v>
          </cell>
          <cell r="B476" t="str">
            <v>Rua R TreisBalneário Costa AzulJuréia</v>
          </cell>
          <cell r="C476" t="str">
            <v>Iguape - Balneário Costa Azul - 03 Lotes</v>
          </cell>
          <cell r="D476" t="str">
            <v>ASSOCIAÇÃO BRASILEIRA DE EDUCAÇÃO E CULTURA - ABEC</v>
          </cell>
          <cell r="E476" t="str">
            <v>ASSOCIAÇÃO BRASILEIRA DE EDUCAÇÃO E CULTURA - ABEC</v>
          </cell>
          <cell r="F476" t="str">
            <v>Próprio</v>
          </cell>
          <cell r="G476" t="str">
            <v>Lotes / Terrenos</v>
          </cell>
          <cell r="H476"/>
          <cell r="I476" t="str">
            <v>Imobiliário</v>
          </cell>
          <cell r="J476" t="str">
            <v>Rua R Treis</v>
          </cell>
          <cell r="K476">
            <v>0</v>
          </cell>
          <cell r="L476" t="str">
            <v>Balneário Costa Azul</v>
          </cell>
          <cell r="M476" t="str">
            <v>Juréia</v>
          </cell>
          <cell r="N476" t="str">
            <v>Iguape</v>
          </cell>
          <cell r="O476" t="str">
            <v>São Paulo</v>
          </cell>
          <cell r="P476" t="str">
            <v>Brasil</v>
          </cell>
          <cell r="Q476"/>
        </row>
        <row r="477">
          <cell r="A477">
            <v>9389</v>
          </cell>
          <cell r="B477" t="str">
            <v>Rua R TreisBalneário Costa AzulJuréia</v>
          </cell>
          <cell r="C477" t="str">
            <v>Iguape - Balneário Costa Azul - 03 Lotes</v>
          </cell>
          <cell r="D477" t="str">
            <v>ASSOCIAÇÃO BRASILEIRA DE EDUCAÇÃO E CULTURA - ABEC</v>
          </cell>
          <cell r="E477" t="str">
            <v>ASSOCIAÇÃO BRASILEIRA DE EDUCAÇÃO E CULTURA - ABEC</v>
          </cell>
          <cell r="F477" t="str">
            <v>Próprio</v>
          </cell>
          <cell r="G477" t="str">
            <v>Lotes / Terrenos</v>
          </cell>
          <cell r="H477"/>
          <cell r="I477" t="str">
            <v>Imobiliário</v>
          </cell>
          <cell r="J477" t="str">
            <v>Rua R Treis</v>
          </cell>
          <cell r="K477">
            <v>0</v>
          </cell>
          <cell r="L477" t="str">
            <v>Balneário Costa Azul</v>
          </cell>
          <cell r="M477" t="str">
            <v>Juréia</v>
          </cell>
          <cell r="N477" t="str">
            <v>Iguape</v>
          </cell>
          <cell r="O477" t="str">
            <v>São Paulo</v>
          </cell>
          <cell r="P477" t="str">
            <v>Brasil</v>
          </cell>
          <cell r="Q477"/>
        </row>
        <row r="478">
          <cell r="A478">
            <v>33850</v>
          </cell>
          <cell r="B478" t="str">
            <v>Avenida Antonio Bardella, 300Cumbica</v>
          </cell>
          <cell r="C478" t="str">
            <v>EDITORA FTD - Parque Gráfico Guarulhos (Prédios 01 e 02)</v>
          </cell>
          <cell r="D478" t="str">
            <v>EDITORA FTD S/A</v>
          </cell>
          <cell r="E478" t="str">
            <v>EDITORA FTD S/A</v>
          </cell>
          <cell r="F478" t="str">
            <v>Próprio</v>
          </cell>
          <cell r="G478" t="str">
            <v>Edificado - Operacional</v>
          </cell>
          <cell r="H478"/>
          <cell r="I478" t="str">
            <v>Imobiliário</v>
          </cell>
          <cell r="J478" t="str">
            <v>Avenida Antonio Bardella, 300</v>
          </cell>
          <cell r="K478">
            <v>0</v>
          </cell>
          <cell r="L478"/>
          <cell r="M478" t="str">
            <v>Cumbica</v>
          </cell>
          <cell r="N478" t="str">
            <v>Guarulhos</v>
          </cell>
          <cell r="O478" t="str">
            <v>São Paulo</v>
          </cell>
          <cell r="P478" t="str">
            <v>Brasil</v>
          </cell>
          <cell r="Q478"/>
        </row>
        <row r="479">
          <cell r="A479">
            <v>9386</v>
          </cell>
          <cell r="B479" t="str">
            <v>Lote 02 - Quadra 41Balneário Costa Azul</v>
          </cell>
          <cell r="C479" t="str">
            <v>Iguape - Balneário La Plata - 01 Lote</v>
          </cell>
          <cell r="D479" t="str">
            <v>ASSOCIAÇÃO BRASILEIRA DE EDUCAÇÃO E CULTURA - ABEC</v>
          </cell>
          <cell r="E479" t="str">
            <v>ASSOCIAÇÃO BRASILEIRA DE EDUCAÇÃO E CULTURA - ABEC</v>
          </cell>
          <cell r="F479" t="str">
            <v>Próprio</v>
          </cell>
          <cell r="G479" t="str">
            <v>Lote / Terreno</v>
          </cell>
          <cell r="H479"/>
          <cell r="I479" t="str">
            <v>Imobiliário</v>
          </cell>
          <cell r="J479" t="str">
            <v>Lote 02 - Quadra 41</v>
          </cell>
          <cell r="K479">
            <v>0</v>
          </cell>
          <cell r="L479"/>
          <cell r="M479" t="str">
            <v>Balneário Costa Azul</v>
          </cell>
          <cell r="N479" t="str">
            <v>Iguape</v>
          </cell>
          <cell r="O479" t="str">
            <v>São Paulo</v>
          </cell>
          <cell r="P479" t="str">
            <v>Brasil</v>
          </cell>
          <cell r="Q479"/>
        </row>
        <row r="480">
          <cell r="A480">
            <v>2080</v>
          </cell>
          <cell r="B480" t="str">
            <v>Parque GráficoCumbica</v>
          </cell>
          <cell r="C480" t="str">
            <v>EDITORA FTD - Parque Gráfico Guarulhos</v>
          </cell>
          <cell r="D480" t="str">
            <v>ASSOCIAÇÃO BRASILEIRA DE EDUCAÇÃO E CULTURA - ABEC</v>
          </cell>
          <cell r="E480" t="str">
            <v>ASSOCIAÇÃO BRASILEIRA DE EDUCAÇÃO E CULTURA - ABEC</v>
          </cell>
          <cell r="F480" t="str">
            <v>Próprio</v>
          </cell>
          <cell r="G480" t="str">
            <v>Edificado - Operacional</v>
          </cell>
          <cell r="H480"/>
          <cell r="I480" t="str">
            <v>Imobiliário</v>
          </cell>
          <cell r="J480" t="str">
            <v>Parque Gráfico</v>
          </cell>
          <cell r="K480">
            <v>0</v>
          </cell>
          <cell r="L480"/>
          <cell r="M480" t="str">
            <v>Cumbica</v>
          </cell>
          <cell r="N480" t="str">
            <v>Guarulhos</v>
          </cell>
          <cell r="O480" t="str">
            <v>São Paulo</v>
          </cell>
          <cell r="P480" t="str">
            <v>Brasil</v>
          </cell>
          <cell r="Q480"/>
        </row>
        <row r="481">
          <cell r="A481">
            <v>57547</v>
          </cell>
          <cell r="B481" t="str">
            <v>Parque GráficoCumbica</v>
          </cell>
          <cell r="C481" t="str">
            <v>EDITORA FTD - Parque Gráfico Guarulhos</v>
          </cell>
          <cell r="D481" t="str">
            <v>ASSOCIAÇÃO BRASILEIRA DE EDUCAÇÃO E CULTURA - ABEC</v>
          </cell>
          <cell r="E481" t="str">
            <v>ASSOCIAÇÃO BRASILEIRA DE EDUCAÇÃO E CULTURA - ABEC</v>
          </cell>
          <cell r="F481" t="str">
            <v>Próprio</v>
          </cell>
          <cell r="G481" t="str">
            <v>Edificado - Operacional</v>
          </cell>
          <cell r="H481"/>
          <cell r="I481" t="str">
            <v>Imobiliário</v>
          </cell>
          <cell r="J481" t="str">
            <v>Parque Gráfico</v>
          </cell>
          <cell r="K481">
            <v>0</v>
          </cell>
          <cell r="L481"/>
          <cell r="M481" t="str">
            <v>Cumbica</v>
          </cell>
          <cell r="N481" t="str">
            <v>Guarulhos</v>
          </cell>
          <cell r="O481" t="str">
            <v>São Paulo</v>
          </cell>
          <cell r="P481" t="str">
            <v>Brasil</v>
          </cell>
          <cell r="Q481"/>
        </row>
        <row r="482">
          <cell r="A482">
            <v>57894</v>
          </cell>
          <cell r="B482" t="str">
            <v>Parque GráficoCumbica</v>
          </cell>
          <cell r="C482" t="str">
            <v>EDITORA FTD - Parque Gráfico Guarulhos</v>
          </cell>
          <cell r="D482" t="str">
            <v>ASSOCIAÇÃO BRASILEIRA DE EDUCAÇÃO E CULTURA - ABEC</v>
          </cell>
          <cell r="E482" t="str">
            <v>ASSOCIAÇÃO BRASILEIRA DE EDUCAÇÃO E CULTURA - ABEC</v>
          </cell>
          <cell r="F482" t="str">
            <v>Próprio</v>
          </cell>
          <cell r="G482" t="str">
            <v>Edificado - Operacional</v>
          </cell>
          <cell r="H482"/>
          <cell r="I482" t="str">
            <v>Imobiliário</v>
          </cell>
          <cell r="J482" t="str">
            <v>Parque Gráfico</v>
          </cell>
          <cell r="K482">
            <v>0</v>
          </cell>
          <cell r="L482"/>
          <cell r="M482" t="str">
            <v>Cumbica</v>
          </cell>
          <cell r="N482" t="str">
            <v>Guarulhos</v>
          </cell>
          <cell r="O482" t="str">
            <v>São Paulo</v>
          </cell>
          <cell r="P482" t="str">
            <v>Brasil</v>
          </cell>
          <cell r="Q482"/>
        </row>
        <row r="483">
          <cell r="A483">
            <v>30444</v>
          </cell>
          <cell r="B483" t="str">
            <v>Rod. Dr. Manoel Hyppolito do RegoBalneário MogianoJd. Indaiá</v>
          </cell>
          <cell r="C483" t="str">
            <v>Colônia de Férias - Boracéia</v>
          </cell>
          <cell r="D483" t="str">
            <v>ASSOCIAÇÃO BRASILEIRA DE EDUCAÇÃO E CULTURA - ABEC</v>
          </cell>
          <cell r="E483" t="str">
            <v>ASSOCIAÇÃO BRASILEIRA DE EDUCAÇÃO E CULTURA - ABEC</v>
          </cell>
          <cell r="F483" t="str">
            <v>Próprio</v>
          </cell>
          <cell r="G483" t="str">
            <v>Edificado - Operacional</v>
          </cell>
          <cell r="H483"/>
          <cell r="I483" t="str">
            <v>Imobiliário</v>
          </cell>
          <cell r="J483" t="str">
            <v>Rod. Dr. Manoel Hyppolito do Rego</v>
          </cell>
          <cell r="K483">
            <v>0</v>
          </cell>
          <cell r="L483" t="str">
            <v>Balneário Mogiano</v>
          </cell>
          <cell r="M483" t="str">
            <v>Jd. Indaiá</v>
          </cell>
          <cell r="N483" t="str">
            <v>Bertioga</v>
          </cell>
          <cell r="O483" t="str">
            <v>São Paulo</v>
          </cell>
          <cell r="P483" t="str">
            <v>Brasil</v>
          </cell>
          <cell r="Q483"/>
        </row>
        <row r="484">
          <cell r="A484">
            <v>3877</v>
          </cell>
          <cell r="B484" t="str">
            <v>Rua Cel. Bento de GodoyQuadra 92 Lote 18Mansões do Rio Quente</v>
          </cell>
          <cell r="C484" t="str">
            <v>Rio Quente - Lote</v>
          </cell>
          <cell r="D484" t="str">
            <v>ASSOCIAÇÃO BRASILEIRA DE EDUCAÇÃO E CULTURA - ABEC</v>
          </cell>
          <cell r="E484" t="str">
            <v>ASSOCIAÇÃO BRASILEIRA DE EDUCAÇÃO E CULTURA - ABEC</v>
          </cell>
          <cell r="F484" t="str">
            <v>Próprio</v>
          </cell>
          <cell r="G484" t="str">
            <v>Lote / Terreno</v>
          </cell>
          <cell r="H484"/>
          <cell r="I484" t="str">
            <v>Imobiliário</v>
          </cell>
          <cell r="J484" t="str">
            <v>Rua Cel. Bento de Godoy</v>
          </cell>
          <cell r="K484">
            <v>0</v>
          </cell>
          <cell r="L484" t="str">
            <v>Quadra 92 Lote 18</v>
          </cell>
          <cell r="M484" t="str">
            <v>Mansões do Rio Quente</v>
          </cell>
          <cell r="N484" t="str">
            <v>Rio Quente</v>
          </cell>
          <cell r="O484" t="str">
            <v>Goiás</v>
          </cell>
          <cell r="P484" t="str">
            <v>Brasil</v>
          </cell>
          <cell r="Q484"/>
        </row>
        <row r="485">
          <cell r="A485">
            <v>33737</v>
          </cell>
          <cell r="B485" t="str">
            <v>Rua Amazonas, s/nQuadra 25</v>
          </cell>
          <cell r="C485" t="str">
            <v>Luziânia - 08 Lotes</v>
          </cell>
          <cell r="D485" t="str">
            <v>ASSOCIAÇÃO BRASILEIRA DE EDUCAÇÃO E CULTURA - ABEC</v>
          </cell>
          <cell r="E485" t="str">
            <v>ASSOCIAÇÃO BRASILEIRA DE EDUCAÇÃO E CULTURA - ABEC</v>
          </cell>
          <cell r="F485" t="str">
            <v>Próprio</v>
          </cell>
          <cell r="G485" t="str">
            <v>Lotes / Terrenos</v>
          </cell>
          <cell r="H485"/>
          <cell r="I485" t="str">
            <v>Imobiliário</v>
          </cell>
          <cell r="J485" t="str">
            <v>Rua Amazonas, s/n</v>
          </cell>
          <cell r="K485">
            <v>0</v>
          </cell>
          <cell r="L485" t="str">
            <v>Quadra 25</v>
          </cell>
          <cell r="M485"/>
          <cell r="N485" t="str">
            <v>Luziânia</v>
          </cell>
          <cell r="O485" t="str">
            <v>Goiás</v>
          </cell>
          <cell r="P485" t="str">
            <v>Brasil</v>
          </cell>
          <cell r="Q485"/>
        </row>
        <row r="486">
          <cell r="A486">
            <v>33739</v>
          </cell>
          <cell r="B486" t="str">
            <v>Rua Amazonas, s/nQuadra 25</v>
          </cell>
          <cell r="C486" t="str">
            <v>Luziânia - 08 Lotes</v>
          </cell>
          <cell r="D486" t="str">
            <v>ASSOCIAÇÃO BRASILEIRA DE EDUCAÇÃO E CULTURA - ABEC</v>
          </cell>
          <cell r="E486" t="str">
            <v>ASSOCIAÇÃO BRASILEIRA DE EDUCAÇÃO E CULTURA - ABEC</v>
          </cell>
          <cell r="F486" t="str">
            <v>Próprio</v>
          </cell>
          <cell r="G486" t="str">
            <v>Lotes / Terrenos</v>
          </cell>
          <cell r="H486"/>
          <cell r="I486" t="str">
            <v>Imobiliário</v>
          </cell>
          <cell r="J486" t="str">
            <v>Rua Amazonas, s/n</v>
          </cell>
          <cell r="K486">
            <v>0</v>
          </cell>
          <cell r="L486" t="str">
            <v>Quadra 25</v>
          </cell>
          <cell r="M486"/>
          <cell r="N486" t="str">
            <v>Luziânia</v>
          </cell>
          <cell r="O486" t="str">
            <v>Goiás</v>
          </cell>
          <cell r="P486" t="str">
            <v>Brasil</v>
          </cell>
          <cell r="Q486"/>
        </row>
        <row r="487">
          <cell r="A487">
            <v>33749</v>
          </cell>
          <cell r="B487" t="str">
            <v>Rua Amazonas, s/nQuadra 25</v>
          </cell>
          <cell r="C487" t="str">
            <v>Luziânia - 08 Lotes</v>
          </cell>
          <cell r="D487" t="str">
            <v>ASSOCIAÇÃO BRASILEIRA DE EDUCAÇÃO E CULTURA - ABEC</v>
          </cell>
          <cell r="E487" t="str">
            <v>ASSOCIAÇÃO BRASILEIRA DE EDUCAÇÃO E CULTURA - ABEC</v>
          </cell>
          <cell r="F487" t="str">
            <v>Próprio</v>
          </cell>
          <cell r="G487" t="str">
            <v>Lotes / Terrenos</v>
          </cell>
          <cell r="H487"/>
          <cell r="I487" t="str">
            <v>Imobiliário</v>
          </cell>
          <cell r="J487" t="str">
            <v>Rua Amazonas, s/n</v>
          </cell>
          <cell r="K487">
            <v>0</v>
          </cell>
          <cell r="L487" t="str">
            <v>Quadra 25</v>
          </cell>
          <cell r="M487"/>
          <cell r="N487" t="str">
            <v>Luziânia</v>
          </cell>
          <cell r="O487" t="str">
            <v>Goiás</v>
          </cell>
          <cell r="P487" t="str">
            <v>Brasil</v>
          </cell>
          <cell r="Q487"/>
        </row>
        <row r="488">
          <cell r="A488">
            <v>34033</v>
          </cell>
          <cell r="B488" t="str">
            <v>Rua Amazonas, s/nQuadra 25</v>
          </cell>
          <cell r="C488" t="str">
            <v>Luziânia - 08 Lotes</v>
          </cell>
          <cell r="D488" t="str">
            <v>ASSOCIAÇÃO BRASILEIRA DE EDUCAÇÃO E CULTURA - ABEC</v>
          </cell>
          <cell r="E488" t="str">
            <v>ASSOCIAÇÃO BRASILEIRA DE EDUCAÇÃO E CULTURA - ABEC</v>
          </cell>
          <cell r="F488" t="str">
            <v>Próprio</v>
          </cell>
          <cell r="G488" t="str">
            <v>Lotes / Terrenos</v>
          </cell>
          <cell r="H488"/>
          <cell r="I488" t="str">
            <v>Imobiliário</v>
          </cell>
          <cell r="J488" t="str">
            <v>Rua Amazonas, s/n</v>
          </cell>
          <cell r="K488">
            <v>0</v>
          </cell>
          <cell r="L488" t="str">
            <v>Quadra 25</v>
          </cell>
          <cell r="M488"/>
          <cell r="N488" t="str">
            <v>Luziânia</v>
          </cell>
          <cell r="O488" t="str">
            <v>Goiás</v>
          </cell>
          <cell r="P488" t="str">
            <v>Brasil</v>
          </cell>
          <cell r="Q488"/>
        </row>
        <row r="489">
          <cell r="A489">
            <v>34035</v>
          </cell>
          <cell r="B489" t="str">
            <v>Rua Amazonas, s/nQuadra 25</v>
          </cell>
          <cell r="C489" t="str">
            <v>Luziânia - 08 Lotes</v>
          </cell>
          <cell r="D489" t="str">
            <v>ASSOCIAÇÃO BRASILEIRA DE EDUCAÇÃO E CULTURA - ABEC</v>
          </cell>
          <cell r="E489" t="str">
            <v>ASSOCIAÇÃO BRASILEIRA DE EDUCAÇÃO E CULTURA - ABEC</v>
          </cell>
          <cell r="F489" t="str">
            <v>Próprio</v>
          </cell>
          <cell r="G489" t="str">
            <v>Lotes / Terrenos</v>
          </cell>
          <cell r="H489"/>
          <cell r="I489" t="str">
            <v>Imobiliário</v>
          </cell>
          <cell r="J489" t="str">
            <v>Rua Amazonas, s/n</v>
          </cell>
          <cell r="K489">
            <v>0</v>
          </cell>
          <cell r="L489" t="str">
            <v>Quadra 25</v>
          </cell>
          <cell r="M489"/>
          <cell r="N489" t="str">
            <v>Luziânia</v>
          </cell>
          <cell r="O489" t="str">
            <v>Goiás</v>
          </cell>
          <cell r="P489" t="str">
            <v>Brasil</v>
          </cell>
          <cell r="Q489"/>
        </row>
        <row r="490">
          <cell r="A490">
            <v>34037</v>
          </cell>
          <cell r="B490" t="str">
            <v>Rua Amazonas, s/nQuadra 25</v>
          </cell>
          <cell r="C490" t="str">
            <v>Luziânia - 08 Lotes</v>
          </cell>
          <cell r="D490" t="str">
            <v>ASSOCIAÇÃO BRASILEIRA DE EDUCAÇÃO E CULTURA - ABEC</v>
          </cell>
          <cell r="E490" t="str">
            <v>ASSOCIAÇÃO BRASILEIRA DE EDUCAÇÃO E CULTURA - ABEC</v>
          </cell>
          <cell r="F490" t="str">
            <v>Próprio</v>
          </cell>
          <cell r="G490" t="str">
            <v>Lotes / Terrenos</v>
          </cell>
          <cell r="H490"/>
          <cell r="I490" t="str">
            <v>Imobiliário</v>
          </cell>
          <cell r="J490" t="str">
            <v>Rua Amazonas, s/n</v>
          </cell>
          <cell r="K490">
            <v>0</v>
          </cell>
          <cell r="L490" t="str">
            <v>Quadra 25</v>
          </cell>
          <cell r="M490"/>
          <cell r="N490" t="str">
            <v>Luziânia</v>
          </cell>
          <cell r="O490" t="str">
            <v>Goiás</v>
          </cell>
          <cell r="P490" t="str">
            <v>Brasil</v>
          </cell>
          <cell r="Q490"/>
        </row>
        <row r="491">
          <cell r="A491">
            <v>34039</v>
          </cell>
          <cell r="B491" t="str">
            <v>Rua Amazonas, s/nQuadra 25</v>
          </cell>
          <cell r="C491" t="str">
            <v>Luziânia - 08 Lotes</v>
          </cell>
          <cell r="D491" t="str">
            <v>ASSOCIAÇÃO BRASILEIRA DE EDUCAÇÃO E CULTURA - ABEC</v>
          </cell>
          <cell r="E491" t="str">
            <v>ASSOCIAÇÃO BRASILEIRA DE EDUCAÇÃO E CULTURA - ABEC</v>
          </cell>
          <cell r="F491" t="str">
            <v>Próprio</v>
          </cell>
          <cell r="G491" t="str">
            <v>Lotes / Terrenos</v>
          </cell>
          <cell r="H491"/>
          <cell r="I491" t="str">
            <v>Imobiliário</v>
          </cell>
          <cell r="J491" t="str">
            <v>Rua Amazonas, s/n</v>
          </cell>
          <cell r="K491">
            <v>0</v>
          </cell>
          <cell r="L491" t="str">
            <v>Quadra 25</v>
          </cell>
          <cell r="M491"/>
          <cell r="N491" t="str">
            <v>Luziânia</v>
          </cell>
          <cell r="O491" t="str">
            <v>Goiás</v>
          </cell>
          <cell r="P491" t="str">
            <v>Brasil</v>
          </cell>
          <cell r="Q491"/>
        </row>
        <row r="492">
          <cell r="A492">
            <v>34041</v>
          </cell>
          <cell r="B492" t="str">
            <v>Rua Amazonas, s/nQuadra 25</v>
          </cell>
          <cell r="C492" t="str">
            <v>Luziânia - 08 Lotes</v>
          </cell>
          <cell r="D492" t="str">
            <v>ASSOCIAÇÃO BRASILEIRA DE EDUCAÇÃO E CULTURA - ABEC</v>
          </cell>
          <cell r="E492" t="str">
            <v>ASSOCIAÇÃO BRASILEIRA DE EDUCAÇÃO E CULTURA - ABEC</v>
          </cell>
          <cell r="F492" t="str">
            <v>Próprio</v>
          </cell>
          <cell r="G492" t="str">
            <v>Lotes / Terrenos</v>
          </cell>
          <cell r="H492"/>
          <cell r="I492" t="str">
            <v>Imobiliário</v>
          </cell>
          <cell r="J492" t="str">
            <v>Rua Amazonas, s/n</v>
          </cell>
          <cell r="K492">
            <v>0</v>
          </cell>
          <cell r="L492" t="str">
            <v>Quadra 25</v>
          </cell>
          <cell r="M492"/>
          <cell r="N492" t="str">
            <v>Luziânia</v>
          </cell>
          <cell r="O492" t="str">
            <v>Goiás</v>
          </cell>
          <cell r="P492" t="str">
            <v>Brasil</v>
          </cell>
          <cell r="Q492"/>
        </row>
        <row r="493">
          <cell r="A493">
            <v>78933</v>
          </cell>
          <cell r="B493" t="str">
            <v>Rua Haiti, nº 280 / 330Pq. Das Nações</v>
          </cell>
          <cell r="C493" t="str">
            <v>Centro Social e Residência Marista Dourados</v>
          </cell>
          <cell r="D493" t="str">
            <v>UNIÃO CATARINENSE DE EDUCAÇÃO - UCE</v>
          </cell>
          <cell r="E493" t="str">
            <v>UNIÃO CATARINENSE DE EDUCAÇÃO - UCE</v>
          </cell>
          <cell r="F493" t="str">
            <v>Próprio</v>
          </cell>
          <cell r="G493" t="str">
            <v>Edificado - Operacional</v>
          </cell>
          <cell r="H493"/>
          <cell r="I493" t="str">
            <v>Imobiliário</v>
          </cell>
          <cell r="J493" t="str">
            <v>Rua Haiti, nº 280 / 330</v>
          </cell>
          <cell r="K493">
            <v>0</v>
          </cell>
          <cell r="L493"/>
          <cell r="M493" t="str">
            <v>Pq. Das Nações</v>
          </cell>
          <cell r="N493" t="str">
            <v>Dourados</v>
          </cell>
          <cell r="O493" t="str">
            <v>Mato Grosso do Sul</v>
          </cell>
          <cell r="P493" t="str">
            <v>Brasil</v>
          </cell>
          <cell r="Q493"/>
        </row>
        <row r="494">
          <cell r="A494">
            <v>25725</v>
          </cell>
          <cell r="B494" t="str">
            <v>Avenida Marcelino Pires, s/nárea de 30 m2 encravada - Parte dos Lotes G e J - Quadra 02Centro</v>
          </cell>
          <cell r="C494" t="str">
            <v>Dourados - Lote encravado</v>
          </cell>
          <cell r="D494" t="str">
            <v>ASSOCIAÇÃO BRASILEIRA DE EDUCAÇÃO E CULTURA - ABEC</v>
          </cell>
          <cell r="E494" t="str">
            <v>ASSOCIAÇÃO BRASILEIRA DE EDUCAÇÃO E CULTURA - ABEC</v>
          </cell>
          <cell r="F494" t="str">
            <v>Próprio</v>
          </cell>
          <cell r="G494" t="str">
            <v>Lote / Terreno</v>
          </cell>
          <cell r="H494"/>
          <cell r="I494" t="str">
            <v>Imobiliário</v>
          </cell>
          <cell r="J494" t="str">
            <v>Avenida Marcelino Pires, s/n</v>
          </cell>
          <cell r="K494">
            <v>0</v>
          </cell>
          <cell r="L494" t="str">
            <v>área de 30 m2 encravada - Parte dos Lotes G e J - Quadra 02</v>
          </cell>
          <cell r="M494" t="str">
            <v>Centro</v>
          </cell>
          <cell r="N494" t="str">
            <v>Dourados</v>
          </cell>
          <cell r="O494" t="str">
            <v>Mato Grosso do Sul</v>
          </cell>
          <cell r="P494" t="str">
            <v>Brasil</v>
          </cell>
          <cell r="Q494"/>
        </row>
        <row r="495">
          <cell r="A495">
            <v>37020</v>
          </cell>
          <cell r="B495" t="str">
            <v>Rua Barão de Igarassú, nº 35Santo Amaro</v>
          </cell>
          <cell r="C495" t="str">
            <v>EDITORA FTD - Barracão Editora PE</v>
          </cell>
          <cell r="D495" t="str">
            <v>ASSOCIAÇÃO BRASILEIRA DE EDUCAÇÃO E CULTURA - ABEC</v>
          </cell>
          <cell r="E495" t="str">
            <v>ASSOCIAÇÃO BRASILEIRA DE EDUCAÇÃO E CULTURA - ABEC</v>
          </cell>
          <cell r="F495" t="str">
            <v>Próprio</v>
          </cell>
          <cell r="G495" t="str">
            <v>Edificado - Operacional</v>
          </cell>
          <cell r="H495"/>
          <cell r="I495" t="str">
            <v>Imobiliário</v>
          </cell>
          <cell r="J495" t="str">
            <v>Rua Barão de Igarassú, nº 35</v>
          </cell>
          <cell r="K495">
            <v>0</v>
          </cell>
          <cell r="L495"/>
          <cell r="M495" t="str">
            <v>Santo Amaro</v>
          </cell>
          <cell r="N495" t="str">
            <v>Recife</v>
          </cell>
          <cell r="O495" t="str">
            <v>Pernambuco</v>
          </cell>
          <cell r="P495" t="str">
            <v>Brasil</v>
          </cell>
          <cell r="Q495"/>
        </row>
        <row r="496">
          <cell r="A496">
            <v>37021</v>
          </cell>
          <cell r="B496" t="str">
            <v>Rua Barão de Igarassú, nº 35Santo Amaro</v>
          </cell>
          <cell r="C496" t="str">
            <v>EDITORA FTD - Barracão Editora PE</v>
          </cell>
          <cell r="D496" t="str">
            <v>ASSOCIAÇÃO BRASILEIRA DE EDUCAÇÃO E CULTURA - ABEC</v>
          </cell>
          <cell r="E496" t="str">
            <v>ASSOCIAÇÃO BRASILEIRA DE EDUCAÇÃO E CULTURA - ABEC</v>
          </cell>
          <cell r="F496" t="str">
            <v>Próprio</v>
          </cell>
          <cell r="G496" t="str">
            <v>Edificado - Operacional</v>
          </cell>
          <cell r="H496"/>
          <cell r="I496" t="str">
            <v>Imobiliário</v>
          </cell>
          <cell r="J496" t="str">
            <v>Rua Barão de Igarassú, nº 35</v>
          </cell>
          <cell r="K496">
            <v>0</v>
          </cell>
          <cell r="L496"/>
          <cell r="M496" t="str">
            <v>Santo Amaro</v>
          </cell>
          <cell r="N496" t="str">
            <v>Recife</v>
          </cell>
          <cell r="O496" t="str">
            <v>Pernambuco</v>
          </cell>
          <cell r="P496" t="str">
            <v>Brasil</v>
          </cell>
          <cell r="Q496"/>
        </row>
        <row r="497">
          <cell r="A497">
            <v>37022</v>
          </cell>
          <cell r="B497" t="str">
            <v>Rua Barão de Igarassú, nº 35Santo Amaro</v>
          </cell>
          <cell r="C497" t="str">
            <v>EDITORA FTD - Barracão Editora PE</v>
          </cell>
          <cell r="D497" t="str">
            <v>ASSOCIAÇÃO BRASILEIRA DE EDUCAÇÃO E CULTURA - ABEC</v>
          </cell>
          <cell r="E497" t="str">
            <v>ASSOCIAÇÃO BRASILEIRA DE EDUCAÇÃO E CULTURA - ABEC</v>
          </cell>
          <cell r="F497" t="str">
            <v>Próprio</v>
          </cell>
          <cell r="G497" t="str">
            <v>Edificado - Operacional</v>
          </cell>
          <cell r="H497"/>
          <cell r="I497" t="str">
            <v>Imobiliário</v>
          </cell>
          <cell r="J497" t="str">
            <v>Rua Barão de Igarassú, nº 35</v>
          </cell>
          <cell r="K497">
            <v>0</v>
          </cell>
          <cell r="L497"/>
          <cell r="M497" t="str">
            <v>Santo Amaro</v>
          </cell>
          <cell r="N497" t="str">
            <v>Recife</v>
          </cell>
          <cell r="O497" t="str">
            <v>Pernambuco</v>
          </cell>
          <cell r="P497" t="str">
            <v>Brasil</v>
          </cell>
          <cell r="Q497"/>
        </row>
        <row r="498">
          <cell r="A498">
            <v>37023</v>
          </cell>
          <cell r="B498" t="str">
            <v>Rua Barão de Igarassú, nº 35Santo Amaro</v>
          </cell>
          <cell r="C498" t="str">
            <v>EDITORA FTD - Barracão Editora PE</v>
          </cell>
          <cell r="D498" t="str">
            <v>ASSOCIAÇÃO BRASILEIRA DE EDUCAÇÃO E CULTURA - ABEC</v>
          </cell>
          <cell r="E498" t="str">
            <v>ASSOCIAÇÃO BRASILEIRA DE EDUCAÇÃO E CULTURA - ABEC</v>
          </cell>
          <cell r="F498" t="str">
            <v>Próprio</v>
          </cell>
          <cell r="G498" t="str">
            <v>Edificado - Operacional</v>
          </cell>
          <cell r="H498"/>
          <cell r="I498" t="str">
            <v>Imobiliário</v>
          </cell>
          <cell r="J498" t="str">
            <v>Rua Barão de Igarassú, nº 35</v>
          </cell>
          <cell r="K498">
            <v>0</v>
          </cell>
          <cell r="L498"/>
          <cell r="M498" t="str">
            <v>Santo Amaro</v>
          </cell>
          <cell r="N498" t="str">
            <v>Recife</v>
          </cell>
          <cell r="O498" t="str">
            <v>Pernambuco</v>
          </cell>
          <cell r="P498" t="str">
            <v>Brasil</v>
          </cell>
          <cell r="Q498"/>
        </row>
        <row r="499">
          <cell r="A499">
            <v>37024</v>
          </cell>
          <cell r="B499" t="str">
            <v>Rua Barão de Igarassú, nº 35Santo Amaro</v>
          </cell>
          <cell r="C499" t="str">
            <v>EDITORA FTD - Barracão Editora PE</v>
          </cell>
          <cell r="D499" t="str">
            <v>ASSOCIAÇÃO BRASILEIRA DE EDUCAÇÃO E CULTURA - ABEC</v>
          </cell>
          <cell r="E499" t="str">
            <v>ASSOCIAÇÃO BRASILEIRA DE EDUCAÇÃO E CULTURA - ABEC</v>
          </cell>
          <cell r="F499" t="str">
            <v>Próprio</v>
          </cell>
          <cell r="G499" t="str">
            <v>Edificado - Operacional</v>
          </cell>
          <cell r="H499"/>
          <cell r="I499" t="str">
            <v>Imobiliário</v>
          </cell>
          <cell r="J499" t="str">
            <v>Rua Barão de Igarassú, nº 35</v>
          </cell>
          <cell r="K499">
            <v>0</v>
          </cell>
          <cell r="L499"/>
          <cell r="M499" t="str">
            <v>Santo Amaro</v>
          </cell>
          <cell r="N499" t="str">
            <v>Recife</v>
          </cell>
          <cell r="O499" t="str">
            <v>Pernambuco</v>
          </cell>
          <cell r="P499" t="str">
            <v>Brasil</v>
          </cell>
          <cell r="Q499"/>
        </row>
        <row r="500">
          <cell r="A500">
            <v>37025</v>
          </cell>
          <cell r="B500" t="str">
            <v>Rua Barão de Igarassú, nº 35Santo Amaro</v>
          </cell>
          <cell r="C500" t="str">
            <v>EDITORA FTD - Barracão Editora PE</v>
          </cell>
          <cell r="D500" t="str">
            <v>ASSOCIAÇÃO BRASILEIRA DE EDUCAÇÃO E CULTURA - ABEC</v>
          </cell>
          <cell r="E500" t="str">
            <v>ASSOCIAÇÃO BRASILEIRA DE EDUCAÇÃO E CULTURA - ABEC</v>
          </cell>
          <cell r="F500" t="str">
            <v>Próprio</v>
          </cell>
          <cell r="G500" t="str">
            <v>Edificado - Operacional</v>
          </cell>
          <cell r="H500"/>
          <cell r="I500" t="str">
            <v>Imobiliário</v>
          </cell>
          <cell r="J500" t="str">
            <v>Rua Barão de Igarassú, nº 35</v>
          </cell>
          <cell r="K500">
            <v>0</v>
          </cell>
          <cell r="L500"/>
          <cell r="M500" t="str">
            <v>Santo Amaro</v>
          </cell>
          <cell r="N500" t="str">
            <v>Recife</v>
          </cell>
          <cell r="O500" t="str">
            <v>Pernambuco</v>
          </cell>
          <cell r="P500" t="str">
            <v>Brasil</v>
          </cell>
          <cell r="Q500"/>
        </row>
        <row r="501">
          <cell r="A501">
            <v>17749048</v>
          </cell>
          <cell r="B501" t="str">
            <v>Santo Amaro</v>
          </cell>
          <cell r="C501" t="str">
            <v>EDITORA FTD - Barracão Editora PE</v>
          </cell>
          <cell r="D501"/>
          <cell r="E501"/>
          <cell r="F501"/>
          <cell r="G501"/>
          <cell r="H501"/>
          <cell r="I501"/>
          <cell r="J501"/>
          <cell r="K501">
            <v>0</v>
          </cell>
          <cell r="L501"/>
          <cell r="M501" t="str">
            <v>Santo Amaro</v>
          </cell>
          <cell r="N501" t="str">
            <v>Recife</v>
          </cell>
          <cell r="O501" t="str">
            <v>Pernambuco</v>
          </cell>
          <cell r="P501" t="str">
            <v>Brasil</v>
          </cell>
          <cell r="Q501"/>
        </row>
        <row r="502">
          <cell r="A502"/>
          <cell r="B502"/>
          <cell r="C502" t="str">
            <v>EDITORA FTD - Barracão Editora PE</v>
          </cell>
          <cell r="D502"/>
          <cell r="E502"/>
          <cell r="F502"/>
          <cell r="G502"/>
          <cell r="H502"/>
          <cell r="I502"/>
          <cell r="J502"/>
          <cell r="K502"/>
          <cell r="L502"/>
          <cell r="M502"/>
          <cell r="N502"/>
          <cell r="O502"/>
          <cell r="P502"/>
          <cell r="Q502"/>
        </row>
      </sheetData>
      <sheetData sheetId="4"/>
      <sheetData sheetId="5">
        <row r="1">
          <cell r="A1" t="str">
            <v>Matrícula</v>
          </cell>
          <cell r="B1" t="str">
            <v>Descrição do Imóvel</v>
          </cell>
          <cell r="C1" t="str">
            <v>Ocupação</v>
          </cell>
          <cell r="D1" t="str">
            <v>Aquisição</v>
          </cell>
          <cell r="E1" t="str">
            <v>M2     edificação na matrícula   (P.I.)</v>
          </cell>
          <cell r="F1" t="str">
            <v>M2    Documento Prefeitura / RFB   (P.I.)</v>
          </cell>
          <cell r="G1" t="str">
            <v>M2                Geral p/ avaliação (Jeferson)</v>
          </cell>
          <cell r="H1" t="str">
            <v>M2    edificação regular (Luciano)</v>
          </cell>
          <cell r="I1" t="str">
            <v>M2    edificação irregular (Luciano)</v>
          </cell>
        </row>
        <row r="2">
          <cell r="A2">
            <v>12529</v>
          </cell>
          <cell r="B2" t="str">
            <v>COLÉGIO MARISTA</v>
          </cell>
          <cell r="C2" t="str">
            <v>Operacional - Colégio</v>
          </cell>
          <cell r="D2">
            <v>34718</v>
          </cell>
          <cell r="E2">
            <v>0</v>
          </cell>
          <cell r="F2">
            <v>0</v>
          </cell>
          <cell r="G2">
            <v>0</v>
          </cell>
          <cell r="H2">
            <v>0</v>
          </cell>
          <cell r="I2">
            <v>0</v>
          </cell>
        </row>
        <row r="3">
          <cell r="A3">
            <v>170129</v>
          </cell>
          <cell r="B3" t="str">
            <v>COLÉGIO MARISTA</v>
          </cell>
          <cell r="C3" t="str">
            <v>Operacional - Colégio</v>
          </cell>
          <cell r="D3">
            <v>40617</v>
          </cell>
          <cell r="E3">
            <v>4188.62</v>
          </cell>
          <cell r="F3">
            <v>13977</v>
          </cell>
          <cell r="G3">
            <v>13977.06</v>
          </cell>
          <cell r="H3">
            <v>7303.93</v>
          </cell>
          <cell r="I3">
            <v>0</v>
          </cell>
        </row>
        <row r="4">
          <cell r="A4">
            <v>10541</v>
          </cell>
          <cell r="B4" t="str">
            <v>COLÉGIO MARISTA</v>
          </cell>
          <cell r="C4" t="str">
            <v>Operacional - Colégio</v>
          </cell>
          <cell r="D4">
            <v>27024</v>
          </cell>
          <cell r="E4">
            <v>0</v>
          </cell>
          <cell r="F4">
            <v>20780.009999999998</v>
          </cell>
          <cell r="G4">
            <v>20795.5</v>
          </cell>
          <cell r="H4">
            <v>4622.96</v>
          </cell>
          <cell r="I4">
            <v>0</v>
          </cell>
        </row>
        <row r="5">
          <cell r="A5">
            <v>118649</v>
          </cell>
          <cell r="B5" t="str">
            <v>COLÉGIO MARISTA</v>
          </cell>
          <cell r="C5" t="str">
            <v>Operacional - Colégio</v>
          </cell>
          <cell r="D5" t="str">
            <v>-</v>
          </cell>
          <cell r="E5">
            <v>0</v>
          </cell>
          <cell r="F5">
            <v>19198.3</v>
          </cell>
          <cell r="G5">
            <v>16340.21</v>
          </cell>
          <cell r="H5">
            <v>0</v>
          </cell>
          <cell r="I5">
            <v>0</v>
          </cell>
        </row>
        <row r="6">
          <cell r="A6">
            <v>16022</v>
          </cell>
          <cell r="B6" t="str">
            <v>COLÉGIO MARISTA - ENSINO FUNDAMENTAL</v>
          </cell>
          <cell r="C6" t="str">
            <v>Operacional - Colégio</v>
          </cell>
          <cell r="D6">
            <v>28499</v>
          </cell>
          <cell r="E6">
            <v>0</v>
          </cell>
          <cell r="F6">
            <v>3900</v>
          </cell>
          <cell r="G6">
            <v>18024.39</v>
          </cell>
          <cell r="H6">
            <v>11721.48</v>
          </cell>
          <cell r="I6">
            <v>7893.55</v>
          </cell>
        </row>
        <row r="7">
          <cell r="A7">
            <v>1249</v>
          </cell>
          <cell r="B7" t="str">
            <v>COLÉGIO MARISTA - ENSINO MÉDIO</v>
          </cell>
          <cell r="C7" t="str">
            <v>Operacional - Colégio</v>
          </cell>
          <cell r="D7">
            <v>28579</v>
          </cell>
          <cell r="E7">
            <v>3074.6800000000003</v>
          </cell>
          <cell r="F7">
            <v>6536.94</v>
          </cell>
          <cell r="G7">
            <v>20362.77</v>
          </cell>
          <cell r="H7">
            <v>14368.03</v>
          </cell>
          <cell r="I7">
            <v>3320.7999999999997</v>
          </cell>
        </row>
        <row r="8">
          <cell r="A8">
            <v>89394</v>
          </cell>
          <cell r="B8" t="str">
            <v>Colégio Marista Arquidiocesano</v>
          </cell>
          <cell r="C8" t="str">
            <v>Operacional - Colégio</v>
          </cell>
          <cell r="D8">
            <v>24930</v>
          </cell>
          <cell r="E8">
            <v>0</v>
          </cell>
          <cell r="F8">
            <v>36851</v>
          </cell>
          <cell r="G8">
            <v>37310.089999999997</v>
          </cell>
          <cell r="H8">
            <v>0</v>
          </cell>
          <cell r="I8">
            <v>0</v>
          </cell>
        </row>
        <row r="9">
          <cell r="A9">
            <v>44030</v>
          </cell>
          <cell r="B9" t="str">
            <v>COLÉGIO MARISTA DE CASCAVEL</v>
          </cell>
          <cell r="C9" t="str">
            <v>Operacional - Colégio</v>
          </cell>
          <cell r="D9">
            <v>23092</v>
          </cell>
          <cell r="E9">
            <v>4531.07</v>
          </cell>
          <cell r="F9">
            <v>19145.28</v>
          </cell>
          <cell r="G9">
            <v>14612.82</v>
          </cell>
          <cell r="H9">
            <v>0</v>
          </cell>
          <cell r="I9">
            <v>0</v>
          </cell>
        </row>
        <row r="10">
          <cell r="A10">
            <v>58235</v>
          </cell>
          <cell r="B10" t="str">
            <v>COLÉGIO MARISTA DE CASCAVEL - ACADEMIA</v>
          </cell>
          <cell r="C10" t="str">
            <v>Operacional - Colégio</v>
          </cell>
          <cell r="D10" t="str">
            <v>-</v>
          </cell>
          <cell r="E10">
            <v>648.14249999999993</v>
          </cell>
          <cell r="F10">
            <v>7856.95</v>
          </cell>
          <cell r="G10">
            <v>7856.95</v>
          </cell>
          <cell r="H10">
            <v>0</v>
          </cell>
          <cell r="I10">
            <v>0</v>
          </cell>
        </row>
        <row r="11">
          <cell r="A11">
            <v>11304</v>
          </cell>
          <cell r="B11" t="str">
            <v>Colégio Marista de Londrina</v>
          </cell>
          <cell r="C11" t="str">
            <v>Operacional - Colégio</v>
          </cell>
          <cell r="D11" t="str">
            <v>-</v>
          </cell>
          <cell r="E11">
            <v>0</v>
          </cell>
          <cell r="F11">
            <v>0</v>
          </cell>
          <cell r="G11">
            <v>4476.29</v>
          </cell>
          <cell r="H11">
            <v>4354.42</v>
          </cell>
          <cell r="I11">
            <v>0</v>
          </cell>
        </row>
        <row r="12">
          <cell r="A12">
            <v>4465</v>
          </cell>
          <cell r="B12" t="str">
            <v>Colégio Marista de Londrina</v>
          </cell>
          <cell r="C12" t="str">
            <v>Operacional - Colégio</v>
          </cell>
          <cell r="D12">
            <v>34842</v>
          </cell>
          <cell r="E12">
            <v>163.66999999999999</v>
          </cell>
          <cell r="F12">
            <v>0</v>
          </cell>
          <cell r="G12">
            <v>0</v>
          </cell>
          <cell r="H12">
            <v>0</v>
          </cell>
          <cell r="I12">
            <v>0</v>
          </cell>
        </row>
        <row r="13">
          <cell r="A13">
            <v>6207</v>
          </cell>
          <cell r="B13" t="str">
            <v>Colégio Marista de Londrina</v>
          </cell>
          <cell r="C13" t="str">
            <v>Operacional - Colégio</v>
          </cell>
          <cell r="D13">
            <v>34864</v>
          </cell>
          <cell r="E13">
            <v>0</v>
          </cell>
          <cell r="F13">
            <v>0</v>
          </cell>
          <cell r="G13">
            <v>0</v>
          </cell>
          <cell r="H13">
            <v>0</v>
          </cell>
          <cell r="I13">
            <v>0</v>
          </cell>
        </row>
        <row r="14">
          <cell r="A14">
            <v>10587</v>
          </cell>
          <cell r="B14" t="str">
            <v>Colégio Marista de Londrina</v>
          </cell>
          <cell r="C14" t="str">
            <v>Operacional - Colégio</v>
          </cell>
          <cell r="D14">
            <v>35779</v>
          </cell>
          <cell r="E14">
            <v>221.37</v>
          </cell>
          <cell r="F14">
            <v>0</v>
          </cell>
          <cell r="G14">
            <v>0</v>
          </cell>
          <cell r="H14">
            <v>0</v>
          </cell>
          <cell r="I14">
            <v>0</v>
          </cell>
        </row>
        <row r="15">
          <cell r="A15">
            <v>10821</v>
          </cell>
          <cell r="B15" t="str">
            <v>Colégio Marista de Londrina</v>
          </cell>
          <cell r="C15" t="str">
            <v>Operacional - Colégio</v>
          </cell>
          <cell r="D15">
            <v>34860</v>
          </cell>
          <cell r="E15">
            <v>200.85</v>
          </cell>
          <cell r="F15">
            <v>0</v>
          </cell>
          <cell r="G15">
            <v>0</v>
          </cell>
          <cell r="H15">
            <v>0</v>
          </cell>
          <cell r="I15">
            <v>0</v>
          </cell>
        </row>
        <row r="16">
          <cell r="A16">
            <v>11679</v>
          </cell>
          <cell r="B16" t="str">
            <v>Colégio Marista de Londrina</v>
          </cell>
          <cell r="C16" t="str">
            <v>Operacional - Colégio</v>
          </cell>
          <cell r="D16">
            <v>20527</v>
          </cell>
          <cell r="E16">
            <v>0</v>
          </cell>
          <cell r="F16">
            <v>0</v>
          </cell>
          <cell r="G16">
            <v>9588.6700000000037</v>
          </cell>
          <cell r="H16">
            <v>2898.04</v>
          </cell>
          <cell r="I16">
            <v>3157.83</v>
          </cell>
        </row>
        <row r="17">
          <cell r="A17">
            <v>15190</v>
          </cell>
          <cell r="B17" t="str">
            <v>Colégio Marista de Londrina</v>
          </cell>
          <cell r="C17" t="str">
            <v>Operacional - Colégio</v>
          </cell>
          <cell r="D17">
            <v>23281</v>
          </cell>
          <cell r="E17">
            <v>0</v>
          </cell>
          <cell r="F17">
            <v>0</v>
          </cell>
          <cell r="G17">
            <v>5827.75</v>
          </cell>
          <cell r="H17">
            <v>5827.75</v>
          </cell>
          <cell r="I17">
            <v>0</v>
          </cell>
        </row>
        <row r="18">
          <cell r="A18">
            <v>15336</v>
          </cell>
          <cell r="B18" t="str">
            <v>Colégio Marista de Londrina</v>
          </cell>
          <cell r="C18" t="str">
            <v>Operacional - Colégio</v>
          </cell>
          <cell r="D18">
            <v>35822</v>
          </cell>
          <cell r="E18">
            <v>130.97999999999999</v>
          </cell>
          <cell r="F18">
            <v>0</v>
          </cell>
          <cell r="G18">
            <v>0</v>
          </cell>
          <cell r="H18">
            <v>0</v>
          </cell>
          <cell r="I18">
            <v>0</v>
          </cell>
        </row>
        <row r="19">
          <cell r="A19">
            <v>44957</v>
          </cell>
          <cell r="B19" t="str">
            <v>Colégio Marista de Londrina</v>
          </cell>
          <cell r="C19" t="str">
            <v>Operacional - Colégio</v>
          </cell>
          <cell r="D19">
            <v>34918</v>
          </cell>
          <cell r="E19">
            <v>271.33000000000004</v>
          </cell>
          <cell r="F19">
            <v>0</v>
          </cell>
          <cell r="G19">
            <v>0</v>
          </cell>
          <cell r="H19">
            <v>0</v>
          </cell>
          <cell r="I19">
            <v>0</v>
          </cell>
        </row>
        <row r="20">
          <cell r="A20">
            <v>45146</v>
          </cell>
          <cell r="B20" t="str">
            <v>Colégio Marista de Londrina</v>
          </cell>
          <cell r="C20" t="str">
            <v>Operacional - Colégio</v>
          </cell>
          <cell r="D20">
            <v>34864</v>
          </cell>
          <cell r="E20">
            <v>0</v>
          </cell>
          <cell r="F20">
            <v>0</v>
          </cell>
          <cell r="G20">
            <v>0</v>
          </cell>
          <cell r="H20">
            <v>0</v>
          </cell>
          <cell r="I20">
            <v>0</v>
          </cell>
        </row>
        <row r="21">
          <cell r="A21">
            <v>49751</v>
          </cell>
          <cell r="B21" t="str">
            <v>Colégio Marista de Londrina</v>
          </cell>
          <cell r="C21" t="str">
            <v>Operacional - Colégio</v>
          </cell>
          <cell r="D21">
            <v>35719</v>
          </cell>
          <cell r="E21">
            <v>0</v>
          </cell>
          <cell r="F21">
            <v>0</v>
          </cell>
          <cell r="G21">
            <v>0</v>
          </cell>
          <cell r="H21">
            <v>0</v>
          </cell>
          <cell r="I21">
            <v>0</v>
          </cell>
        </row>
        <row r="22">
          <cell r="A22">
            <v>49752</v>
          </cell>
          <cell r="B22" t="str">
            <v>Colégio Marista de Londrina</v>
          </cell>
          <cell r="C22" t="str">
            <v>Operacional - Colégio</v>
          </cell>
          <cell r="D22">
            <v>35719</v>
          </cell>
          <cell r="E22">
            <v>0</v>
          </cell>
          <cell r="F22">
            <v>0</v>
          </cell>
          <cell r="G22">
            <v>0</v>
          </cell>
          <cell r="H22">
            <v>0</v>
          </cell>
          <cell r="I22">
            <v>0</v>
          </cell>
        </row>
        <row r="23">
          <cell r="A23">
            <v>22927</v>
          </cell>
          <cell r="B23" t="str">
            <v>Colégio Marista Nossa Senhora da Glória</v>
          </cell>
          <cell r="C23" t="str">
            <v>Operacional - Colégio</v>
          </cell>
          <cell r="D23">
            <v>39114</v>
          </cell>
          <cell r="E23">
            <v>0</v>
          </cell>
          <cell r="F23">
            <v>0</v>
          </cell>
          <cell r="G23">
            <v>0</v>
          </cell>
          <cell r="H23">
            <v>0</v>
          </cell>
          <cell r="I23">
            <v>0</v>
          </cell>
        </row>
        <row r="24">
          <cell r="A24">
            <v>23587</v>
          </cell>
          <cell r="B24" t="str">
            <v>Colégio Marista Nossa Senhora da Glória</v>
          </cell>
          <cell r="C24" t="str">
            <v>Operacional - Colégio</v>
          </cell>
          <cell r="D24">
            <v>34837</v>
          </cell>
          <cell r="E24">
            <v>0</v>
          </cell>
          <cell r="F24">
            <v>0</v>
          </cell>
          <cell r="G24">
            <v>0</v>
          </cell>
          <cell r="H24">
            <v>0</v>
          </cell>
          <cell r="I24">
            <v>0</v>
          </cell>
        </row>
        <row r="25">
          <cell r="A25">
            <v>28897</v>
          </cell>
          <cell r="B25" t="str">
            <v>Colégio Marista Nossa Senhora da Glória</v>
          </cell>
          <cell r="C25" t="str">
            <v>Operacional - Colégio</v>
          </cell>
          <cell r="D25">
            <v>36759</v>
          </cell>
          <cell r="E25">
            <v>0</v>
          </cell>
          <cell r="F25">
            <v>0</v>
          </cell>
          <cell r="G25">
            <v>0</v>
          </cell>
          <cell r="H25">
            <v>0</v>
          </cell>
          <cell r="I25">
            <v>0</v>
          </cell>
        </row>
        <row r="26">
          <cell r="A26">
            <v>35234</v>
          </cell>
          <cell r="B26" t="str">
            <v>Colégio Marista Nossa Senhora da Glória</v>
          </cell>
          <cell r="C26" t="str">
            <v>Operacional - Colégio</v>
          </cell>
          <cell r="D26" t="str">
            <v>-</v>
          </cell>
          <cell r="E26">
            <v>0</v>
          </cell>
          <cell r="F26">
            <v>0</v>
          </cell>
          <cell r="G26">
            <v>0</v>
          </cell>
          <cell r="H26">
            <v>0</v>
          </cell>
          <cell r="I26">
            <v>0</v>
          </cell>
        </row>
        <row r="27">
          <cell r="A27">
            <v>50257</v>
          </cell>
          <cell r="B27" t="str">
            <v>Colégio Marista Nossa Senhora da Glória</v>
          </cell>
          <cell r="C27" t="str">
            <v>Operacional - Colégio</v>
          </cell>
          <cell r="D27">
            <v>37095</v>
          </cell>
          <cell r="E27">
            <v>0</v>
          </cell>
          <cell r="F27">
            <v>0</v>
          </cell>
          <cell r="G27">
            <v>0</v>
          </cell>
          <cell r="H27">
            <v>0</v>
          </cell>
          <cell r="I27">
            <v>0</v>
          </cell>
        </row>
        <row r="28">
          <cell r="A28">
            <v>169306</v>
          </cell>
          <cell r="B28" t="str">
            <v>Colégio Marista Nossa Senhora da Glória</v>
          </cell>
          <cell r="C28" t="str">
            <v>Operacional - Colégio</v>
          </cell>
          <cell r="D28">
            <v>34825</v>
          </cell>
          <cell r="E28">
            <v>0</v>
          </cell>
          <cell r="F28">
            <v>0</v>
          </cell>
          <cell r="G28">
            <v>13253.27</v>
          </cell>
          <cell r="H28">
            <v>0</v>
          </cell>
          <cell r="I28">
            <v>0</v>
          </cell>
        </row>
        <row r="29">
          <cell r="A29">
            <v>20778</v>
          </cell>
          <cell r="B29" t="str">
            <v>COLÉGIO MARISTA PIO XII</v>
          </cell>
          <cell r="C29" t="str">
            <v>Operacional - Colégio</v>
          </cell>
          <cell r="D29">
            <v>25406</v>
          </cell>
          <cell r="E29">
            <v>0</v>
          </cell>
          <cell r="F29">
            <v>0</v>
          </cell>
          <cell r="G29">
            <v>0</v>
          </cell>
          <cell r="H29">
            <v>0</v>
          </cell>
          <cell r="I29">
            <v>0</v>
          </cell>
        </row>
        <row r="30">
          <cell r="A30">
            <v>35714</v>
          </cell>
          <cell r="B30" t="str">
            <v>COLÉGIO MARISTA PIO XII</v>
          </cell>
          <cell r="C30" t="str">
            <v>Operacional - Colégio</v>
          </cell>
          <cell r="D30">
            <v>21787</v>
          </cell>
          <cell r="E30">
            <v>0</v>
          </cell>
          <cell r="F30">
            <v>0</v>
          </cell>
          <cell r="G30">
            <v>17231.009999999998</v>
          </cell>
          <cell r="H30">
            <v>12004.19</v>
          </cell>
          <cell r="I30">
            <v>5601.89</v>
          </cell>
        </row>
        <row r="31">
          <cell r="A31">
            <v>3658</v>
          </cell>
          <cell r="B31" t="str">
            <v xml:space="preserve">COLÉGIO MARISTA PIO XII - RESIDÊNCIA </v>
          </cell>
          <cell r="C31" t="str">
            <v>Operacional - Colégio</v>
          </cell>
          <cell r="D31">
            <v>22299</v>
          </cell>
          <cell r="E31">
            <v>0</v>
          </cell>
          <cell r="F31">
            <v>0</v>
          </cell>
          <cell r="G31">
            <v>0</v>
          </cell>
          <cell r="H31">
            <v>0</v>
          </cell>
          <cell r="I31">
            <v>0</v>
          </cell>
        </row>
        <row r="32">
          <cell r="A32">
            <v>3962</v>
          </cell>
          <cell r="B32" t="str">
            <v>COLÉGIO MARISTA SANTA MARIA</v>
          </cell>
          <cell r="C32" t="str">
            <v>Operacional - Colégio</v>
          </cell>
          <cell r="D32">
            <v>35411</v>
          </cell>
          <cell r="E32">
            <v>0</v>
          </cell>
          <cell r="F32">
            <v>0</v>
          </cell>
          <cell r="G32">
            <v>0</v>
          </cell>
          <cell r="H32">
            <v>0</v>
          </cell>
          <cell r="I32">
            <v>0</v>
          </cell>
        </row>
        <row r="33">
          <cell r="A33">
            <v>6303</v>
          </cell>
          <cell r="B33" t="str">
            <v>COLÉGIO MARISTA SANTA MARIA</v>
          </cell>
          <cell r="C33" t="str">
            <v>Operacional - Colégio</v>
          </cell>
          <cell r="D33">
            <v>33632</v>
          </cell>
          <cell r="E33">
            <v>0</v>
          </cell>
          <cell r="F33">
            <v>0</v>
          </cell>
          <cell r="G33">
            <v>0</v>
          </cell>
          <cell r="H33">
            <v>0</v>
          </cell>
          <cell r="I33">
            <v>0</v>
          </cell>
        </row>
        <row r="34">
          <cell r="A34">
            <v>14900</v>
          </cell>
          <cell r="B34" t="str">
            <v>COLÉGIO MARISTA SANTA MARIA</v>
          </cell>
          <cell r="C34" t="str">
            <v>Operacional - Colégio</v>
          </cell>
          <cell r="D34">
            <v>30679</v>
          </cell>
          <cell r="E34">
            <v>0</v>
          </cell>
          <cell r="F34">
            <v>49</v>
          </cell>
          <cell r="G34">
            <v>231.84</v>
          </cell>
          <cell r="H34">
            <v>0</v>
          </cell>
          <cell r="I34">
            <v>0</v>
          </cell>
        </row>
        <row r="35">
          <cell r="A35">
            <v>15026</v>
          </cell>
          <cell r="B35" t="str">
            <v>COLÉGIO MARISTA SANTA MARIA</v>
          </cell>
          <cell r="C35" t="str">
            <v>Operacional - Colégio</v>
          </cell>
          <cell r="D35" t="str">
            <v>-</v>
          </cell>
          <cell r="E35">
            <v>0</v>
          </cell>
          <cell r="F35">
            <v>24111.3</v>
          </cell>
          <cell r="G35">
            <v>20781.2</v>
          </cell>
          <cell r="H35">
            <v>23829.469999999998</v>
          </cell>
          <cell r="I35">
            <v>0</v>
          </cell>
        </row>
        <row r="36">
          <cell r="A36">
            <v>31855</v>
          </cell>
          <cell r="B36" t="str">
            <v>COLÉGIO MARISTA SANTA MARIA</v>
          </cell>
          <cell r="C36" t="str">
            <v>Operacional - Colégio</v>
          </cell>
          <cell r="D36">
            <v>35536</v>
          </cell>
          <cell r="E36">
            <v>0</v>
          </cell>
          <cell r="F36">
            <v>159.1</v>
          </cell>
          <cell r="G36">
            <v>0</v>
          </cell>
          <cell r="H36">
            <v>0</v>
          </cell>
          <cell r="I36">
            <v>0</v>
          </cell>
        </row>
        <row r="37">
          <cell r="A37">
            <v>34398</v>
          </cell>
          <cell r="B37" t="str">
            <v>COLÉGIO MARISTA SANTA MARIA</v>
          </cell>
          <cell r="C37" t="str">
            <v>Operacional - Colégio</v>
          </cell>
          <cell r="D37">
            <v>35919</v>
          </cell>
          <cell r="E37">
            <v>0</v>
          </cell>
          <cell r="F37">
            <v>0</v>
          </cell>
          <cell r="G37">
            <v>0</v>
          </cell>
          <cell r="H37">
            <v>0</v>
          </cell>
          <cell r="I37">
            <v>0</v>
          </cell>
        </row>
        <row r="38">
          <cell r="A38">
            <v>48347</v>
          </cell>
          <cell r="B38" t="str">
            <v>COLÉGIO MARISTA SANTA MARIA</v>
          </cell>
          <cell r="C38" t="str">
            <v>Operacional - Colégio</v>
          </cell>
          <cell r="D38">
            <v>34731</v>
          </cell>
          <cell r="E38">
            <v>0</v>
          </cell>
          <cell r="F38">
            <v>0</v>
          </cell>
          <cell r="G38">
            <v>0</v>
          </cell>
          <cell r="H38">
            <v>0</v>
          </cell>
          <cell r="I38">
            <v>0</v>
          </cell>
        </row>
        <row r="39">
          <cell r="A39">
            <v>17352</v>
          </cell>
          <cell r="B39" t="str">
            <v>Colégio Nossa Senhora Da Glória - Recanto Marista</v>
          </cell>
          <cell r="C39" t="str">
            <v>Operacional - Colégio</v>
          </cell>
          <cell r="D39" t="str">
            <v>-</v>
          </cell>
          <cell r="E39">
            <v>0</v>
          </cell>
          <cell r="F39">
            <v>0</v>
          </cell>
          <cell r="G39">
            <v>1000</v>
          </cell>
          <cell r="H39">
            <v>0</v>
          </cell>
          <cell r="I39">
            <v>0</v>
          </cell>
        </row>
        <row r="40">
          <cell r="A40">
            <v>31225</v>
          </cell>
          <cell r="B40" t="str">
            <v>Colégio Nossa Senhora Da Glória - Recanto Marista</v>
          </cell>
          <cell r="C40" t="str">
            <v>Operacional - Colégio</v>
          </cell>
          <cell r="D40">
            <v>34899</v>
          </cell>
          <cell r="E40">
            <v>0</v>
          </cell>
          <cell r="F40">
            <v>0</v>
          </cell>
          <cell r="G40">
            <v>0</v>
          </cell>
          <cell r="H40">
            <v>0</v>
          </cell>
          <cell r="I40">
            <v>0</v>
          </cell>
        </row>
        <row r="41">
          <cell r="A41">
            <v>1308</v>
          </cell>
          <cell r="B41" t="str">
            <v>Recanto - Colégio Arquidiocesano</v>
          </cell>
          <cell r="C41" t="str">
            <v>Operacional - Colégio</v>
          </cell>
          <cell r="D41">
            <v>27024</v>
          </cell>
          <cell r="E41">
            <v>0</v>
          </cell>
          <cell r="F41">
            <v>5794.25</v>
          </cell>
          <cell r="G41">
            <v>5794.25</v>
          </cell>
          <cell r="H41">
            <v>0</v>
          </cell>
          <cell r="I41">
            <v>0</v>
          </cell>
        </row>
        <row r="42">
          <cell r="A42">
            <v>5566</v>
          </cell>
          <cell r="B42" t="str">
            <v>Recanto - Colégio Marista Santa Maria</v>
          </cell>
          <cell r="C42" t="str">
            <v>Operacional - Colégio</v>
          </cell>
          <cell r="D42">
            <v>22378</v>
          </cell>
          <cell r="E42">
            <v>0</v>
          </cell>
          <cell r="F42">
            <v>0</v>
          </cell>
          <cell r="G42">
            <v>0</v>
          </cell>
          <cell r="H42">
            <v>0</v>
          </cell>
          <cell r="I42">
            <v>0</v>
          </cell>
        </row>
        <row r="43">
          <cell r="A43">
            <v>43994</v>
          </cell>
          <cell r="B43" t="str">
            <v>RECANTO MARISTA</v>
          </cell>
          <cell r="C43" t="str">
            <v>Operacional - Colégio</v>
          </cell>
          <cell r="D43" t="str">
            <v>-</v>
          </cell>
          <cell r="E43">
            <v>0</v>
          </cell>
          <cell r="F43">
            <v>1588.98</v>
          </cell>
          <cell r="G43">
            <v>1588.98</v>
          </cell>
          <cell r="H43">
            <v>0</v>
          </cell>
          <cell r="I43">
            <v>0</v>
          </cell>
        </row>
        <row r="44">
          <cell r="A44">
            <v>378</v>
          </cell>
          <cell r="B44" t="str">
            <v>Recanto Marista - Chácara Do Colégio Pio XII</v>
          </cell>
          <cell r="C44" t="str">
            <v>Operacional - Colégio</v>
          </cell>
          <cell r="D44">
            <v>29867</v>
          </cell>
          <cell r="E44">
            <v>491.5</v>
          </cell>
          <cell r="F44">
            <v>0</v>
          </cell>
          <cell r="G44">
            <v>0</v>
          </cell>
          <cell r="H44">
            <v>0</v>
          </cell>
          <cell r="I44">
            <v>0</v>
          </cell>
        </row>
        <row r="45">
          <cell r="A45">
            <v>379</v>
          </cell>
          <cell r="B45" t="str">
            <v>Recanto Marista - Chácara Do Colégio Pio XII</v>
          </cell>
          <cell r="C45" t="str">
            <v>Operacional - Colégio</v>
          </cell>
          <cell r="D45">
            <v>29867</v>
          </cell>
          <cell r="E45">
            <v>0</v>
          </cell>
          <cell r="F45">
            <v>0</v>
          </cell>
          <cell r="G45">
            <v>0</v>
          </cell>
          <cell r="H45">
            <v>0</v>
          </cell>
          <cell r="I45">
            <v>0</v>
          </cell>
        </row>
        <row r="46">
          <cell r="A46">
            <v>380</v>
          </cell>
          <cell r="B46" t="str">
            <v>Recanto Marista - Chácara Do Colégio Pio XII</v>
          </cell>
          <cell r="C46" t="str">
            <v>Operacional - Colégio</v>
          </cell>
          <cell r="D46">
            <v>29867</v>
          </cell>
          <cell r="E46">
            <v>162</v>
          </cell>
          <cell r="F46">
            <v>0</v>
          </cell>
          <cell r="G46">
            <v>0</v>
          </cell>
          <cell r="H46">
            <v>0</v>
          </cell>
          <cell r="I46">
            <v>0</v>
          </cell>
        </row>
        <row r="47">
          <cell r="A47">
            <v>65913</v>
          </cell>
          <cell r="B47" t="str">
            <v>Recanto Marista - Colégio Marista de Londrina</v>
          </cell>
          <cell r="C47" t="str">
            <v>Operacional - Colégio</v>
          </cell>
          <cell r="D47">
            <v>30544</v>
          </cell>
          <cell r="E47">
            <v>0</v>
          </cell>
          <cell r="F47">
            <v>0</v>
          </cell>
          <cell r="G47">
            <v>0</v>
          </cell>
          <cell r="H47">
            <v>0</v>
          </cell>
          <cell r="I47">
            <v>0</v>
          </cell>
        </row>
        <row r="48">
          <cell r="A48">
            <v>173408</v>
          </cell>
          <cell r="B48" t="str">
            <v>Recanto Marista - Instituto Medianeira</v>
          </cell>
          <cell r="C48" t="str">
            <v>Venda</v>
          </cell>
          <cell r="D48">
            <v>40135</v>
          </cell>
          <cell r="E48">
            <v>0</v>
          </cell>
          <cell r="F48">
            <v>0</v>
          </cell>
          <cell r="G48">
            <v>0</v>
          </cell>
          <cell r="H48">
            <v>0</v>
          </cell>
          <cell r="I48">
            <v>0</v>
          </cell>
        </row>
        <row r="49">
          <cell r="A49">
            <v>176603</v>
          </cell>
          <cell r="B49" t="str">
            <v>Recanto Marista - Instituto Medianeira</v>
          </cell>
          <cell r="C49" t="str">
            <v>Venda</v>
          </cell>
          <cell r="D49">
            <v>27513</v>
          </cell>
          <cell r="E49">
            <v>0</v>
          </cell>
          <cell r="F49">
            <v>4273</v>
          </cell>
          <cell r="G49">
            <v>4273</v>
          </cell>
          <cell r="H49">
            <v>0</v>
          </cell>
          <cell r="I49">
            <v>0</v>
          </cell>
        </row>
        <row r="50">
          <cell r="A50">
            <v>65914</v>
          </cell>
          <cell r="B50" t="str">
            <v>Recanto Marista - Colégio Marista de Londrina</v>
          </cell>
          <cell r="C50"/>
          <cell r="D50"/>
          <cell r="E50">
            <v>0</v>
          </cell>
          <cell r="F50">
            <v>1451.65</v>
          </cell>
          <cell r="G50">
            <v>1451.65</v>
          </cell>
          <cell r="H50">
            <v>0</v>
          </cell>
          <cell r="I50">
            <v>0</v>
          </cell>
        </row>
        <row r="51">
          <cell r="A51">
            <v>13185</v>
          </cell>
          <cell r="B51" t="str">
            <v>ESCOLA ECOLÓGICA MARCELINO CHAMPAGNAT</v>
          </cell>
          <cell r="C51" t="str">
            <v>Almirante Tamandaré</v>
          </cell>
          <cell r="E51" t="str">
            <v>Operacional - RMS</v>
          </cell>
          <cell r="F51">
            <v>4290.0600000000004</v>
          </cell>
          <cell r="G51">
            <v>4290.0600000000004</v>
          </cell>
          <cell r="H51">
            <v>0</v>
          </cell>
          <cell r="I51">
            <v>0</v>
          </cell>
        </row>
        <row r="52">
          <cell r="A52" t="str">
            <v>Matrícula</v>
          </cell>
          <cell r="B52" t="str">
            <v>Município</v>
          </cell>
          <cell r="C52" t="str">
            <v>Descrição do Imóvel</v>
          </cell>
          <cell r="D52" t="str">
            <v>Aquisição</v>
          </cell>
          <cell r="E52" t="str">
            <v>M2     edificação na matrícula   (P.I.)</v>
          </cell>
          <cell r="F52" t="str">
            <v>M2    Documento Prefeitura / RFB   (P.I.)</v>
          </cell>
          <cell r="G52" t="str">
            <v>M2                Geral p/ avaliação (Jeferson)</v>
          </cell>
          <cell r="H52" t="str">
            <v>M2    edificação regular (Luciano)</v>
          </cell>
          <cell r="I52" t="str">
            <v>M2    edificação irregular (Luciano)</v>
          </cell>
        </row>
        <row r="53">
          <cell r="A53">
            <v>28464</v>
          </cell>
          <cell r="B53" t="str">
            <v>Campo Largo</v>
          </cell>
          <cell r="C53" t="str">
            <v>Recanto Colégio Paranaense</v>
          </cell>
          <cell r="D53">
            <v>36669</v>
          </cell>
          <cell r="E53">
            <v>0</v>
          </cell>
          <cell r="F53">
            <v>0</v>
          </cell>
          <cell r="G53">
            <v>0</v>
          </cell>
          <cell r="H53">
            <v>0</v>
          </cell>
          <cell r="I53">
            <v>0</v>
          </cell>
        </row>
        <row r="54">
          <cell r="A54">
            <v>56915</v>
          </cell>
          <cell r="B54" t="str">
            <v>Chapecó</v>
          </cell>
          <cell r="C54" t="str">
            <v>Colégio São Francisco - Chapecó</v>
          </cell>
          <cell r="D54">
            <v>18392</v>
          </cell>
          <cell r="E54">
            <v>2359.9</v>
          </cell>
          <cell r="F54">
            <v>9511.31</v>
          </cell>
          <cell r="G54">
            <v>9511.31</v>
          </cell>
          <cell r="H54">
            <v>9350.42</v>
          </cell>
          <cell r="I54">
            <v>0</v>
          </cell>
        </row>
        <row r="55">
          <cell r="A55">
            <v>21907</v>
          </cell>
          <cell r="B55" t="str">
            <v>Criciúma</v>
          </cell>
          <cell r="C55" t="str">
            <v>Colégio Criciúma</v>
          </cell>
          <cell r="D55">
            <v>22976</v>
          </cell>
          <cell r="E55">
            <v>0</v>
          </cell>
          <cell r="F55">
            <v>0</v>
          </cell>
          <cell r="G55">
            <v>0</v>
          </cell>
          <cell r="H55">
            <v>0</v>
          </cell>
          <cell r="I55">
            <v>0</v>
          </cell>
        </row>
        <row r="56">
          <cell r="A56">
            <v>22230</v>
          </cell>
          <cell r="B56" t="str">
            <v>Criciúma</v>
          </cell>
          <cell r="C56" t="str">
            <v>Colégio Criciúma</v>
          </cell>
          <cell r="D56">
            <v>22414</v>
          </cell>
          <cell r="E56">
            <v>0</v>
          </cell>
          <cell r="F56">
            <v>0</v>
          </cell>
          <cell r="G56">
            <v>0</v>
          </cell>
          <cell r="H56">
            <v>0</v>
          </cell>
          <cell r="I56">
            <v>0</v>
          </cell>
        </row>
        <row r="57">
          <cell r="A57">
            <v>106982</v>
          </cell>
          <cell r="B57" t="str">
            <v>Criciúma</v>
          </cell>
          <cell r="C57" t="str">
            <v>Colégio Criciúma</v>
          </cell>
          <cell r="D57">
            <v>22726</v>
          </cell>
          <cell r="E57">
            <v>0</v>
          </cell>
          <cell r="F57">
            <v>5686.58</v>
          </cell>
          <cell r="G57">
            <v>5686.58</v>
          </cell>
          <cell r="H57">
            <v>4489.6900000000005</v>
          </cell>
          <cell r="I57">
            <v>0</v>
          </cell>
        </row>
        <row r="58">
          <cell r="A58">
            <v>64859</v>
          </cell>
          <cell r="B58" t="str">
            <v>Curitiba</v>
          </cell>
          <cell r="C58" t="str">
            <v>Colégio Paranaense</v>
          </cell>
          <cell r="D58">
            <v>18536</v>
          </cell>
          <cell r="E58">
            <v>3746.5299999999997</v>
          </cell>
          <cell r="F58">
            <v>15338.8</v>
          </cell>
          <cell r="G58">
            <v>15338.8</v>
          </cell>
          <cell r="H58">
            <v>11578</v>
          </cell>
          <cell r="I58">
            <v>0</v>
          </cell>
        </row>
        <row r="59">
          <cell r="A59" t="str">
            <v>Usucapiao</v>
          </cell>
          <cell r="B59" t="str">
            <v>Florianópolis</v>
          </cell>
          <cell r="C59" t="str">
            <v>Recanto Florianópolis</v>
          </cell>
          <cell r="D59" t="str">
            <v>-</v>
          </cell>
          <cell r="E59">
            <v>0</v>
          </cell>
          <cell r="F59">
            <v>0</v>
          </cell>
          <cell r="G59">
            <v>0</v>
          </cell>
          <cell r="H59">
            <v>0</v>
          </cell>
          <cell r="I59">
            <v>0</v>
          </cell>
        </row>
        <row r="60">
          <cell r="A60">
            <v>53234</v>
          </cell>
          <cell r="B60" t="str">
            <v>Florianópolis</v>
          </cell>
          <cell r="C60" t="str">
            <v>Recanto Florianópolis</v>
          </cell>
          <cell r="D60">
            <v>28351</v>
          </cell>
          <cell r="E60">
            <v>0</v>
          </cell>
          <cell r="F60">
            <v>3712.99</v>
          </cell>
          <cell r="G60">
            <v>3712.99</v>
          </cell>
          <cell r="H60">
            <v>3712.99</v>
          </cell>
          <cell r="I60">
            <v>0</v>
          </cell>
        </row>
        <row r="61">
          <cell r="A61">
            <v>78599</v>
          </cell>
          <cell r="B61" t="str">
            <v>Jaraguá do Sul</v>
          </cell>
          <cell r="C61" t="str">
            <v>Colégio São Luiz - Jaraguá do Sul</v>
          </cell>
          <cell r="D61">
            <v>14388</v>
          </cell>
          <cell r="E61">
            <v>2969.24</v>
          </cell>
          <cell r="F61">
            <v>0</v>
          </cell>
          <cell r="G61">
            <v>2969.24</v>
          </cell>
          <cell r="H61">
            <v>11509.300000000001</v>
          </cell>
          <cell r="I61">
            <v>0</v>
          </cell>
        </row>
        <row r="62">
          <cell r="A62">
            <v>17253</v>
          </cell>
          <cell r="B62" t="str">
            <v>Joaçaba</v>
          </cell>
          <cell r="C62" t="str">
            <v>Colégio Frei Rogério - Joaçaba</v>
          </cell>
          <cell r="D62">
            <v>34885</v>
          </cell>
          <cell r="E62">
            <v>8216.380000000001</v>
          </cell>
          <cell r="F62">
            <v>7750.3</v>
          </cell>
          <cell r="G62">
            <v>7750.3</v>
          </cell>
          <cell r="H62">
            <v>4589.88</v>
          </cell>
          <cell r="I62">
            <v>1234.18</v>
          </cell>
        </row>
        <row r="63">
          <cell r="A63">
            <v>18217</v>
          </cell>
          <cell r="B63" t="str">
            <v>Joaçaba</v>
          </cell>
          <cell r="C63" t="str">
            <v>Colégio Frei Rogério - Joaçaba</v>
          </cell>
          <cell r="D63">
            <v>35317</v>
          </cell>
          <cell r="E63">
            <v>0</v>
          </cell>
          <cell r="F63">
            <v>0</v>
          </cell>
          <cell r="G63">
            <v>0</v>
          </cell>
          <cell r="H63">
            <v>0</v>
          </cell>
          <cell r="I63">
            <v>0</v>
          </cell>
        </row>
        <row r="64">
          <cell r="A64" t="str">
            <v>Matrícula</v>
          </cell>
          <cell r="B64" t="str">
            <v>Município</v>
          </cell>
          <cell r="C64" t="str">
            <v>Descrição do Imóvel</v>
          </cell>
          <cell r="E64" t="str">
            <v>M2     edificação na matrícula   (P.I.)</v>
          </cell>
          <cell r="F64" t="str">
            <v>M2    Documento Prefeitura / RFB   (P.I.)</v>
          </cell>
          <cell r="G64" t="str">
            <v>M2                Geral p/ avaliação (Jeferson)</v>
          </cell>
          <cell r="H64" t="str">
            <v>M2    edificação regular (Luciano)</v>
          </cell>
          <cell r="I64" t="str">
            <v>M2    edificação irregular (Luciano)</v>
          </cell>
        </row>
        <row r="65">
          <cell r="A65">
            <v>43084</v>
          </cell>
          <cell r="B65" t="str">
            <v>AFPUC - Associação dos Funcionários - Curitiba</v>
          </cell>
          <cell r="C65" t="str">
            <v>Comodato</v>
          </cell>
          <cell r="E65">
            <v>91.8</v>
          </cell>
          <cell r="F65">
            <v>91.8</v>
          </cell>
          <cell r="G65" t="str">
            <v>não trata</v>
          </cell>
          <cell r="H65" t="str">
            <v>não trata</v>
          </cell>
        </row>
        <row r="66">
          <cell r="A66">
            <v>43084</v>
          </cell>
          <cell r="B66" t="str">
            <v>Agência PUC - PUC WEB</v>
          </cell>
          <cell r="C66" t="str">
            <v>Operacional - PUC</v>
          </cell>
          <cell r="E66">
            <v>773.6</v>
          </cell>
          <cell r="F66">
            <v>773.6</v>
          </cell>
          <cell r="G66" t="str">
            <v>não trata</v>
          </cell>
          <cell r="H66" t="str">
            <v>não trata</v>
          </cell>
        </row>
        <row r="67">
          <cell r="A67">
            <v>38687</v>
          </cell>
          <cell r="B67" t="str">
            <v>Apartamentos Piratuba</v>
          </cell>
          <cell r="C67" t="str">
            <v>Vida Consagrada</v>
          </cell>
          <cell r="E67">
            <v>0</v>
          </cell>
          <cell r="F67">
            <v>73.849999999999994</v>
          </cell>
          <cell r="G67" t="str">
            <v>não trata</v>
          </cell>
          <cell r="H67" t="str">
            <v>não trata</v>
          </cell>
        </row>
        <row r="68">
          <cell r="A68">
            <v>38687</v>
          </cell>
          <cell r="B68" t="str">
            <v>Apartamentos Piratuba</v>
          </cell>
          <cell r="C68" t="str">
            <v>Vida Consagrada</v>
          </cell>
          <cell r="E68">
            <v>0</v>
          </cell>
          <cell r="F68">
            <v>72.25</v>
          </cell>
          <cell r="G68" t="str">
            <v>não trata</v>
          </cell>
          <cell r="H68" t="str">
            <v>não trata</v>
          </cell>
        </row>
        <row r="69">
          <cell r="A69">
            <v>32472</v>
          </cell>
          <cell r="B69" t="str">
            <v>ARQUIVO CENTRAL</v>
          </cell>
          <cell r="C69" t="str">
            <v>Operacional - PUC</v>
          </cell>
          <cell r="E69">
            <v>119</v>
          </cell>
          <cell r="F69">
            <v>119</v>
          </cell>
          <cell r="G69">
            <v>0</v>
          </cell>
          <cell r="H69">
            <v>0</v>
          </cell>
        </row>
        <row r="70">
          <cell r="A70" t="str">
            <v>-</v>
          </cell>
          <cell r="B70" t="str">
            <v>Barracão Francisco Nunes 951</v>
          </cell>
          <cell r="C70" t="str">
            <v>Operacional - Corporativo</v>
          </cell>
          <cell r="E70">
            <v>512</v>
          </cell>
          <cell r="F70">
            <v>512</v>
          </cell>
          <cell r="G70">
            <v>0</v>
          </cell>
          <cell r="H70">
            <v>0</v>
          </cell>
        </row>
        <row r="71">
          <cell r="A71">
            <v>32610</v>
          </cell>
          <cell r="B71" t="str">
            <v>Casa de Veraneio Bombinhas</v>
          </cell>
          <cell r="C71" t="str">
            <v>Vida Consagrada</v>
          </cell>
          <cell r="E71">
            <v>0</v>
          </cell>
          <cell r="F71">
            <v>0</v>
          </cell>
          <cell r="G71">
            <v>0</v>
          </cell>
          <cell r="H71">
            <v>0</v>
          </cell>
        </row>
        <row r="72">
          <cell r="A72">
            <v>22834</v>
          </cell>
          <cell r="B72" t="str">
            <v>Casa de Veraneio Guaratuba</v>
          </cell>
          <cell r="C72" t="str">
            <v>Vida Consagrada</v>
          </cell>
          <cell r="E72">
            <v>291.05</v>
          </cell>
          <cell r="F72">
            <v>291.05</v>
          </cell>
          <cell r="G72">
            <v>0</v>
          </cell>
          <cell r="H72">
            <v>0</v>
          </cell>
        </row>
        <row r="73">
          <cell r="A73">
            <v>43084</v>
          </cell>
          <cell r="B73" t="str">
            <v>Casa Guabirotuba 258</v>
          </cell>
          <cell r="C73" t="str">
            <v>Vazio</v>
          </cell>
          <cell r="E73">
            <v>197.1</v>
          </cell>
          <cell r="F73">
            <v>197.1</v>
          </cell>
          <cell r="G73">
            <v>0</v>
          </cell>
          <cell r="H73">
            <v>0</v>
          </cell>
        </row>
        <row r="74">
          <cell r="A74">
            <v>43084</v>
          </cell>
          <cell r="B74" t="str">
            <v>Casa Guabirotuba 268</v>
          </cell>
          <cell r="C74" t="str">
            <v>Vazio</v>
          </cell>
          <cell r="E74">
            <v>162</v>
          </cell>
          <cell r="F74">
            <v>162</v>
          </cell>
          <cell r="G74">
            <v>0</v>
          </cell>
          <cell r="H74">
            <v>0</v>
          </cell>
        </row>
        <row r="75">
          <cell r="A75">
            <v>27624</v>
          </cell>
          <cell r="B75" t="str">
            <v>Centro Rural Aurora</v>
          </cell>
          <cell r="C75" t="str">
            <v>Renda</v>
          </cell>
          <cell r="E75">
            <v>0</v>
          </cell>
          <cell r="F75">
            <v>720</v>
          </cell>
          <cell r="G75">
            <v>0</v>
          </cell>
          <cell r="H75">
            <v>0</v>
          </cell>
          <cell r="I75" t="str">
            <v>avaliação zappa</v>
          </cell>
        </row>
        <row r="76">
          <cell r="B76" t="str">
            <v>Centro Rural Aurora</v>
          </cell>
          <cell r="E76">
            <v>0</v>
          </cell>
          <cell r="F76">
            <v>0</v>
          </cell>
          <cell r="G76">
            <v>0</v>
          </cell>
          <cell r="H76">
            <v>0</v>
          </cell>
        </row>
        <row r="77">
          <cell r="B77" t="str">
            <v>Centro Rural Aurora</v>
          </cell>
          <cell r="E77">
            <v>0</v>
          </cell>
          <cell r="F77">
            <v>0</v>
          </cell>
          <cell r="G77">
            <v>0</v>
          </cell>
          <cell r="H77">
            <v>0</v>
          </cell>
        </row>
        <row r="78">
          <cell r="B78" t="str">
            <v>Centro Rural Aurora</v>
          </cell>
          <cell r="E78">
            <v>0</v>
          </cell>
          <cell r="F78">
            <v>0</v>
          </cell>
          <cell r="G78">
            <v>0</v>
          </cell>
          <cell r="H78">
            <v>0</v>
          </cell>
        </row>
        <row r="79">
          <cell r="A79">
            <v>28835</v>
          </cell>
          <cell r="B79" t="str">
            <v>CENTRO SOCIAL</v>
          </cell>
          <cell r="C79" t="str">
            <v>Operacional - RMS</v>
          </cell>
          <cell r="E79">
            <v>0</v>
          </cell>
          <cell r="F79">
            <v>0</v>
          </cell>
          <cell r="G79">
            <v>0</v>
          </cell>
          <cell r="H79">
            <v>0</v>
          </cell>
          <cell r="I79" t="str">
            <v>pendente de identificação cadastro.</v>
          </cell>
        </row>
        <row r="80">
          <cell r="A80" t="str">
            <v>-</v>
          </cell>
          <cell r="B80" t="str">
            <v>CENTRO SOCIAL</v>
          </cell>
          <cell r="C80" t="str">
            <v>Operacional - RMS</v>
          </cell>
          <cell r="E80">
            <v>0</v>
          </cell>
          <cell r="F80">
            <v>0</v>
          </cell>
          <cell r="G80">
            <v>0</v>
          </cell>
          <cell r="H80">
            <v>0</v>
          </cell>
        </row>
        <row r="81">
          <cell r="A81">
            <v>26313</v>
          </cell>
          <cell r="B81" t="str">
            <v>CENTRO SOCIAL</v>
          </cell>
          <cell r="C81" t="str">
            <v>Operacional - RMS</v>
          </cell>
          <cell r="E81">
            <v>0</v>
          </cell>
          <cell r="F81">
            <v>0</v>
          </cell>
          <cell r="G81">
            <v>0</v>
          </cell>
          <cell r="H81">
            <v>0</v>
          </cell>
        </row>
        <row r="82">
          <cell r="A82">
            <v>26313</v>
          </cell>
          <cell r="B82" t="str">
            <v>CENTRO SOCIAL</v>
          </cell>
          <cell r="C82" t="str">
            <v>Operacional - RMS</v>
          </cell>
          <cell r="E82">
            <v>0</v>
          </cell>
          <cell r="F82">
            <v>0</v>
          </cell>
          <cell r="G82">
            <v>0</v>
          </cell>
          <cell r="H82">
            <v>0</v>
          </cell>
        </row>
        <row r="83">
          <cell r="A83">
            <v>24487</v>
          </cell>
          <cell r="B83" t="str">
            <v>CENTRO SOCIAL</v>
          </cell>
          <cell r="C83" t="str">
            <v>Operacional - RMS</v>
          </cell>
          <cell r="E83">
            <v>0</v>
          </cell>
          <cell r="F83">
            <v>0</v>
          </cell>
          <cell r="G83">
            <v>0</v>
          </cell>
          <cell r="H83">
            <v>0</v>
          </cell>
        </row>
        <row r="84">
          <cell r="A84">
            <v>26313</v>
          </cell>
          <cell r="B84" t="str">
            <v>CENTRO SOCIAL</v>
          </cell>
          <cell r="C84" t="str">
            <v>Operacional - RMS</v>
          </cell>
          <cell r="E84">
            <v>0</v>
          </cell>
          <cell r="F84">
            <v>0</v>
          </cell>
          <cell r="G84">
            <v>0</v>
          </cell>
          <cell r="H84">
            <v>0</v>
          </cell>
        </row>
        <row r="85">
          <cell r="A85">
            <v>36906</v>
          </cell>
          <cell r="B85" t="str">
            <v>CENTRO SOCIAL IR RUI LEOPOLDO DEPINÉ</v>
          </cell>
          <cell r="C85" t="str">
            <v>Operacional - RMS</v>
          </cell>
          <cell r="E85">
            <v>3421.81</v>
          </cell>
          <cell r="F85">
            <v>3421.81</v>
          </cell>
          <cell r="G85">
            <v>0</v>
          </cell>
          <cell r="H85">
            <v>0</v>
          </cell>
        </row>
        <row r="86">
          <cell r="A86">
            <v>34964</v>
          </cell>
          <cell r="B86" t="str">
            <v>CENTRO SOCIAL MARISTA MARCELINO CHAMPAGNAT</v>
          </cell>
          <cell r="C86" t="str">
            <v>Operacional - RMS</v>
          </cell>
          <cell r="E86">
            <v>3429.85</v>
          </cell>
          <cell r="F86">
            <v>3429.85</v>
          </cell>
          <cell r="G86">
            <v>0</v>
          </cell>
          <cell r="H86">
            <v>0</v>
          </cell>
        </row>
        <row r="87">
          <cell r="A87">
            <v>43084</v>
          </cell>
          <cell r="B87" t="str">
            <v>CETAS - Tijucas do Sul - ABEC</v>
          </cell>
          <cell r="C87" t="str">
            <v>Vazio</v>
          </cell>
          <cell r="E87">
            <v>0</v>
          </cell>
          <cell r="F87">
            <v>467.6</v>
          </cell>
          <cell r="G87">
            <v>0</v>
          </cell>
          <cell r="H87">
            <v>0</v>
          </cell>
          <cell r="I87" t="str">
            <v>Laudo de avaliação</v>
          </cell>
        </row>
        <row r="88">
          <cell r="A88" t="str">
            <v>-</v>
          </cell>
          <cell r="B88" t="str">
            <v>Chácara Verpa - 06 Chácaras</v>
          </cell>
          <cell r="C88" t="str">
            <v>Venda</v>
          </cell>
          <cell r="E88">
            <v>328.42</v>
          </cell>
          <cell r="F88">
            <v>328.42</v>
          </cell>
          <cell r="G88">
            <v>0</v>
          </cell>
          <cell r="H88">
            <v>0</v>
          </cell>
          <cell r="I88" t="str">
            <v>Consulta Valor Venal do Imóvel</v>
          </cell>
        </row>
        <row r="89">
          <cell r="A89">
            <v>38411</v>
          </cell>
          <cell r="B89" t="str">
            <v>Chácara Verpa - 06 Chácaras</v>
          </cell>
          <cell r="C89" t="str">
            <v>Venda</v>
          </cell>
          <cell r="E89">
            <v>243.63</v>
          </cell>
          <cell r="F89">
            <v>243.63</v>
          </cell>
          <cell r="G89">
            <v>0</v>
          </cell>
          <cell r="H89">
            <v>0</v>
          </cell>
          <cell r="I89" t="str">
            <v>Consulta Valor Venal do Imóvel</v>
          </cell>
        </row>
        <row r="90">
          <cell r="A90">
            <v>38411</v>
          </cell>
          <cell r="B90" t="str">
            <v>Chácara Verpa - 06 Chácaras</v>
          </cell>
          <cell r="C90" t="str">
            <v>Venda</v>
          </cell>
          <cell r="E90">
            <v>0</v>
          </cell>
          <cell r="F90">
            <v>0</v>
          </cell>
          <cell r="G90">
            <v>0</v>
          </cell>
          <cell r="H90">
            <v>0</v>
          </cell>
        </row>
        <row r="91">
          <cell r="A91">
            <v>38411</v>
          </cell>
          <cell r="B91" t="str">
            <v>Chácara Verpa - 06 Chácaras</v>
          </cell>
          <cell r="C91" t="str">
            <v>Venda</v>
          </cell>
          <cell r="E91">
            <v>470.85</v>
          </cell>
          <cell r="F91">
            <v>470.85</v>
          </cell>
          <cell r="G91">
            <v>0</v>
          </cell>
          <cell r="H91">
            <v>0</v>
          </cell>
          <cell r="I91" t="str">
            <v>Consulta Valor Venal do Imóvel</v>
          </cell>
        </row>
        <row r="92">
          <cell r="A92">
            <v>38411</v>
          </cell>
          <cell r="B92" t="str">
            <v>Chácara Verpa - 06 Chácaras</v>
          </cell>
          <cell r="C92" t="str">
            <v>Venda</v>
          </cell>
          <cell r="E92">
            <v>0</v>
          </cell>
          <cell r="F92">
            <v>0</v>
          </cell>
          <cell r="G92">
            <v>0</v>
          </cell>
          <cell r="H92">
            <v>0</v>
          </cell>
        </row>
        <row r="93">
          <cell r="A93">
            <v>38411</v>
          </cell>
          <cell r="B93" t="str">
            <v>Chácara Verpa - 06 Chácaras</v>
          </cell>
          <cell r="C93" t="str">
            <v>Venda</v>
          </cell>
          <cell r="E93">
            <v>0</v>
          </cell>
          <cell r="F93">
            <v>0</v>
          </cell>
          <cell r="G93">
            <v>0</v>
          </cell>
          <cell r="H93">
            <v>0</v>
          </cell>
        </row>
        <row r="94">
          <cell r="A94">
            <v>41718</v>
          </cell>
          <cell r="B94" t="str">
            <v>CLÍNICA VETERINÁRIA</v>
          </cell>
          <cell r="C94" t="str">
            <v>Operacional - PUC</v>
          </cell>
          <cell r="E94">
            <v>330.2</v>
          </cell>
          <cell r="F94">
            <v>330.2</v>
          </cell>
          <cell r="G94">
            <v>0</v>
          </cell>
          <cell r="H94">
            <v>0</v>
          </cell>
          <cell r="I94" t="str">
            <v>guia amarela</v>
          </cell>
        </row>
        <row r="95">
          <cell r="A95">
            <v>39478</v>
          </cell>
          <cell r="B95" t="str">
            <v>CLÍNICA VETERINÁRIA</v>
          </cell>
          <cell r="C95" t="str">
            <v>Operacional - PUC</v>
          </cell>
          <cell r="E95">
            <v>123.9</v>
          </cell>
          <cell r="F95">
            <v>123.9</v>
          </cell>
          <cell r="G95">
            <v>0</v>
          </cell>
          <cell r="H95">
            <v>0</v>
          </cell>
          <cell r="I95" t="str">
            <v>guia amarela</v>
          </cell>
        </row>
        <row r="96">
          <cell r="A96">
            <v>33429</v>
          </cell>
          <cell r="B96" t="str">
            <v>CLÍNICA VETERINÁRIA</v>
          </cell>
          <cell r="C96" t="str">
            <v>Operacional - PUC</v>
          </cell>
          <cell r="E96">
            <v>0</v>
          </cell>
          <cell r="F96">
            <v>0</v>
          </cell>
          <cell r="G96">
            <v>0</v>
          </cell>
          <cell r="H96">
            <v>0</v>
          </cell>
        </row>
        <row r="97">
          <cell r="A97" t="str">
            <v>-</v>
          </cell>
          <cell r="B97" t="str">
            <v>CMMC - CENTRO MARISTA MARCELINO CHAMPAGNAT</v>
          </cell>
          <cell r="C97" t="str">
            <v>Vida Consagrada</v>
          </cell>
          <cell r="E97">
            <v>0</v>
          </cell>
          <cell r="F97">
            <v>6552.38</v>
          </cell>
          <cell r="G97">
            <v>0</v>
          </cell>
          <cell r="H97">
            <v>0</v>
          </cell>
        </row>
        <row r="98">
          <cell r="A98">
            <v>34718</v>
          </cell>
          <cell r="B98" t="str">
            <v>COLÉGIO MARISTA</v>
          </cell>
          <cell r="C98" t="str">
            <v>Operacional - Colégio</v>
          </cell>
          <cell r="E98">
            <v>0</v>
          </cell>
          <cell r="F98">
            <v>0</v>
          </cell>
          <cell r="G98">
            <v>0</v>
          </cell>
          <cell r="H98">
            <v>0</v>
          </cell>
        </row>
        <row r="99">
          <cell r="A99">
            <v>40617</v>
          </cell>
          <cell r="B99" t="str">
            <v>COLÉGIO MARISTA</v>
          </cell>
          <cell r="C99" t="str">
            <v>Operacional - Colégio</v>
          </cell>
          <cell r="E99">
            <v>13977</v>
          </cell>
          <cell r="F99">
            <v>13977.06</v>
          </cell>
          <cell r="G99">
            <v>7303.93</v>
          </cell>
          <cell r="H99">
            <v>0</v>
          </cell>
        </row>
        <row r="100">
          <cell r="A100">
            <v>27024</v>
          </cell>
          <cell r="B100" t="str">
            <v>COLÉGIO MARISTA</v>
          </cell>
          <cell r="C100" t="str">
            <v>Operacional - Colégio</v>
          </cell>
          <cell r="E100">
            <v>20780.009999999998</v>
          </cell>
          <cell r="F100">
            <v>20795.5</v>
          </cell>
          <cell r="G100">
            <v>4622.96</v>
          </cell>
          <cell r="H100">
            <v>0</v>
          </cell>
        </row>
        <row r="101">
          <cell r="A101" t="str">
            <v>-</v>
          </cell>
          <cell r="B101" t="str">
            <v>COLÉGIO MARISTA</v>
          </cell>
          <cell r="C101" t="str">
            <v>Operacional - Colégio</v>
          </cell>
          <cell r="E101">
            <v>19198.3</v>
          </cell>
          <cell r="F101">
            <v>16340.21</v>
          </cell>
          <cell r="G101">
            <v>0</v>
          </cell>
          <cell r="H101">
            <v>0</v>
          </cell>
        </row>
        <row r="102">
          <cell r="A102">
            <v>28499</v>
          </cell>
          <cell r="B102" t="str">
            <v>COLÉGIO MARISTA - ENSINO FUNDAMENTAL</v>
          </cell>
          <cell r="C102" t="str">
            <v>Operacional - Colégio</v>
          </cell>
          <cell r="E102">
            <v>3900</v>
          </cell>
          <cell r="F102">
            <v>18024.39</v>
          </cell>
          <cell r="G102">
            <v>11721.48</v>
          </cell>
          <cell r="H102">
            <v>7893.55</v>
          </cell>
        </row>
        <row r="103">
          <cell r="A103">
            <v>28579</v>
          </cell>
          <cell r="B103" t="str">
            <v>COLÉGIO MARISTA - ENSINO MÉDIO</v>
          </cell>
          <cell r="C103" t="str">
            <v>Operacional - Colégio</v>
          </cell>
          <cell r="E103">
            <v>6536.94</v>
          </cell>
          <cell r="F103">
            <v>20362.77</v>
          </cell>
          <cell r="G103">
            <v>14368.03</v>
          </cell>
          <cell r="H103">
            <v>3320.7999999999997</v>
          </cell>
        </row>
        <row r="104">
          <cell r="A104">
            <v>24930</v>
          </cell>
          <cell r="B104" t="str">
            <v>Colégio Marista Arquidiocesano</v>
          </cell>
          <cell r="C104" t="str">
            <v>Operacional - Colégio</v>
          </cell>
          <cell r="E104">
            <v>36851</v>
          </cell>
          <cell r="F104">
            <v>37310.089999999997</v>
          </cell>
          <cell r="G104">
            <v>0</v>
          </cell>
          <cell r="H104">
            <v>0</v>
          </cell>
        </row>
        <row r="105">
          <cell r="A105">
            <v>23092</v>
          </cell>
          <cell r="B105" t="str">
            <v>COLÉGIO MARISTA DE CASCAVEL</v>
          </cell>
          <cell r="C105" t="str">
            <v>Operacional - Colégio</v>
          </cell>
          <cell r="E105">
            <v>19145.28</v>
          </cell>
          <cell r="F105">
            <v>14612.82</v>
          </cell>
          <cell r="G105">
            <v>0</v>
          </cell>
          <cell r="H105">
            <v>0</v>
          </cell>
        </row>
        <row r="106">
          <cell r="A106" t="str">
            <v>-</v>
          </cell>
          <cell r="B106" t="str">
            <v>COLÉGIO MARISTA DE CASCAVEL - ACADEMIA</v>
          </cell>
          <cell r="C106" t="str">
            <v>Operacional - Colégio</v>
          </cell>
          <cell r="E106">
            <v>7856.95</v>
          </cell>
          <cell r="F106">
            <v>7856.95</v>
          </cell>
          <cell r="G106">
            <v>0</v>
          </cell>
          <cell r="H106">
            <v>0</v>
          </cell>
        </row>
        <row r="107">
          <cell r="A107" t="str">
            <v>-</v>
          </cell>
          <cell r="B107" t="str">
            <v>Colégio Marista de Londrina</v>
          </cell>
          <cell r="C107" t="str">
            <v>Operacional - Colégio</v>
          </cell>
          <cell r="E107">
            <v>0</v>
          </cell>
          <cell r="F107">
            <v>4476.29</v>
          </cell>
          <cell r="G107">
            <v>4354.42</v>
          </cell>
          <cell r="H107">
            <v>0</v>
          </cell>
        </row>
        <row r="108">
          <cell r="A108">
            <v>34842</v>
          </cell>
          <cell r="B108" t="str">
            <v>Colégio Marista de Londrina</v>
          </cell>
          <cell r="C108" t="str">
            <v>Operacional - Colégio</v>
          </cell>
          <cell r="E108">
            <v>0</v>
          </cell>
          <cell r="F108">
            <v>0</v>
          </cell>
          <cell r="G108">
            <v>0</v>
          </cell>
          <cell r="H108">
            <v>0</v>
          </cell>
        </row>
        <row r="109">
          <cell r="A109">
            <v>34864</v>
          </cell>
          <cell r="B109" t="str">
            <v>Colégio Marista de Londrina</v>
          </cell>
          <cell r="C109" t="str">
            <v>Operacional - Colégio</v>
          </cell>
          <cell r="E109">
            <v>0</v>
          </cell>
          <cell r="F109">
            <v>0</v>
          </cell>
          <cell r="G109">
            <v>0</v>
          </cell>
          <cell r="H109">
            <v>0</v>
          </cell>
        </row>
        <row r="110">
          <cell r="A110">
            <v>35779</v>
          </cell>
          <cell r="B110" t="str">
            <v>Colégio Marista de Londrina</v>
          </cell>
          <cell r="C110" t="str">
            <v>Operacional - Colégio</v>
          </cell>
          <cell r="E110">
            <v>0</v>
          </cell>
          <cell r="F110">
            <v>0</v>
          </cell>
          <cell r="G110">
            <v>0</v>
          </cell>
          <cell r="H110">
            <v>0</v>
          </cell>
        </row>
        <row r="111">
          <cell r="A111">
            <v>34860</v>
          </cell>
          <cell r="B111" t="str">
            <v>Colégio Marista de Londrina</v>
          </cell>
          <cell r="C111" t="str">
            <v>Operacional - Colégio</v>
          </cell>
          <cell r="E111">
            <v>0</v>
          </cell>
          <cell r="F111">
            <v>0</v>
          </cell>
          <cell r="G111">
            <v>0</v>
          </cell>
          <cell r="H111">
            <v>0</v>
          </cell>
        </row>
        <row r="112">
          <cell r="A112">
            <v>20527</v>
          </cell>
          <cell r="B112" t="str">
            <v>Colégio Marista de Londrina</v>
          </cell>
          <cell r="C112" t="str">
            <v>Operacional - Colégio</v>
          </cell>
          <cell r="E112">
            <v>0</v>
          </cell>
          <cell r="F112">
            <v>9588.6700000000037</v>
          </cell>
          <cell r="G112">
            <v>2898.04</v>
          </cell>
          <cell r="H112">
            <v>3157.83</v>
          </cell>
        </row>
        <row r="113">
          <cell r="A113">
            <v>23281</v>
          </cell>
          <cell r="B113" t="str">
            <v>Colégio Marista de Londrina</v>
          </cell>
          <cell r="C113" t="str">
            <v>Operacional - Colégio</v>
          </cell>
          <cell r="E113">
            <v>0</v>
          </cell>
          <cell r="F113">
            <v>5827.75</v>
          </cell>
          <cell r="G113">
            <v>5827.75</v>
          </cell>
          <cell r="H113">
            <v>0</v>
          </cell>
        </row>
        <row r="114">
          <cell r="A114">
            <v>35822</v>
          </cell>
          <cell r="B114" t="str">
            <v>Colégio Marista de Londrina</v>
          </cell>
          <cell r="C114" t="str">
            <v>Operacional - Colégio</v>
          </cell>
          <cell r="E114">
            <v>0</v>
          </cell>
          <cell r="F114">
            <v>0</v>
          </cell>
          <cell r="G114">
            <v>0</v>
          </cell>
          <cell r="H114">
            <v>0</v>
          </cell>
        </row>
        <row r="115">
          <cell r="A115">
            <v>34918</v>
          </cell>
          <cell r="B115" t="str">
            <v>Colégio Marista de Londrina</v>
          </cell>
          <cell r="C115" t="str">
            <v>Operacional - Colégio</v>
          </cell>
          <cell r="E115">
            <v>0</v>
          </cell>
          <cell r="F115">
            <v>0</v>
          </cell>
          <cell r="G115">
            <v>0</v>
          </cell>
          <cell r="H115">
            <v>0</v>
          </cell>
        </row>
        <row r="116">
          <cell r="A116">
            <v>34864</v>
          </cell>
          <cell r="B116" t="str">
            <v>Colégio Marista de Londrina</v>
          </cell>
          <cell r="C116" t="str">
            <v>Operacional - Colégio</v>
          </cell>
          <cell r="E116">
            <v>0</v>
          </cell>
          <cell r="F116">
            <v>0</v>
          </cell>
          <cell r="G116">
            <v>0</v>
          </cell>
          <cell r="H116">
            <v>0</v>
          </cell>
        </row>
        <row r="117">
          <cell r="A117">
            <v>35719</v>
          </cell>
          <cell r="B117" t="str">
            <v>Colégio Marista de Londrina</v>
          </cell>
          <cell r="C117" t="str">
            <v>Operacional - Colégio</v>
          </cell>
          <cell r="E117">
            <v>0</v>
          </cell>
          <cell r="F117">
            <v>0</v>
          </cell>
          <cell r="G117">
            <v>0</v>
          </cell>
          <cell r="H117">
            <v>0</v>
          </cell>
        </row>
        <row r="118">
          <cell r="A118">
            <v>35719</v>
          </cell>
          <cell r="B118" t="str">
            <v>Colégio Marista de Londrina</v>
          </cell>
          <cell r="C118" t="str">
            <v>Operacional - Colégio</v>
          </cell>
          <cell r="E118">
            <v>0</v>
          </cell>
          <cell r="F118">
            <v>0</v>
          </cell>
          <cell r="G118">
            <v>0</v>
          </cell>
          <cell r="H118">
            <v>0</v>
          </cell>
        </row>
        <row r="119">
          <cell r="A119">
            <v>39114</v>
          </cell>
          <cell r="B119" t="str">
            <v>Colégio Marista Nossa Senhora da Glória</v>
          </cell>
          <cell r="C119" t="str">
            <v>Operacional - Colégio</v>
          </cell>
          <cell r="E119">
            <v>0</v>
          </cell>
          <cell r="F119">
            <v>0</v>
          </cell>
          <cell r="G119">
            <v>0</v>
          </cell>
          <cell r="H119">
            <v>0</v>
          </cell>
        </row>
        <row r="120">
          <cell r="A120">
            <v>34837</v>
          </cell>
          <cell r="B120" t="str">
            <v>Colégio Marista Nossa Senhora da Glória</v>
          </cell>
          <cell r="C120" t="str">
            <v>Operacional - Colégio</v>
          </cell>
          <cell r="E120">
            <v>0</v>
          </cell>
          <cell r="F120">
            <v>0</v>
          </cell>
          <cell r="G120">
            <v>0</v>
          </cell>
          <cell r="H120">
            <v>0</v>
          </cell>
        </row>
        <row r="121">
          <cell r="A121">
            <v>36759</v>
          </cell>
          <cell r="B121" t="str">
            <v>Colégio Marista Nossa Senhora da Glória</v>
          </cell>
          <cell r="C121" t="str">
            <v>Operacional - Colégio</v>
          </cell>
          <cell r="E121">
            <v>0</v>
          </cell>
          <cell r="F121">
            <v>0</v>
          </cell>
          <cell r="G121">
            <v>0</v>
          </cell>
          <cell r="H121">
            <v>0</v>
          </cell>
        </row>
        <row r="122">
          <cell r="A122" t="str">
            <v>-</v>
          </cell>
          <cell r="B122" t="str">
            <v>Colégio Marista Nossa Senhora da Glória</v>
          </cell>
          <cell r="C122" t="str">
            <v>Operacional - Colégio</v>
          </cell>
          <cell r="E122">
            <v>0</v>
          </cell>
          <cell r="F122">
            <v>0</v>
          </cell>
          <cell r="G122">
            <v>0</v>
          </cell>
          <cell r="H122">
            <v>0</v>
          </cell>
        </row>
        <row r="123">
          <cell r="A123">
            <v>37095</v>
          </cell>
          <cell r="B123" t="str">
            <v>Colégio Marista Nossa Senhora da Glória</v>
          </cell>
          <cell r="C123" t="str">
            <v>Operacional - Colégio</v>
          </cell>
          <cell r="E123">
            <v>0</v>
          </cell>
          <cell r="F123">
            <v>0</v>
          </cell>
          <cell r="G123">
            <v>0</v>
          </cell>
          <cell r="H123">
            <v>0</v>
          </cell>
        </row>
        <row r="124">
          <cell r="A124">
            <v>34825</v>
          </cell>
          <cell r="B124" t="str">
            <v>Colégio Marista Nossa Senhora da Glória</v>
          </cell>
          <cell r="C124" t="str">
            <v>Operacional - Colégio</v>
          </cell>
          <cell r="E124">
            <v>0</v>
          </cell>
          <cell r="F124">
            <v>13253.27</v>
          </cell>
          <cell r="G124">
            <v>0</v>
          </cell>
          <cell r="H124">
            <v>0</v>
          </cell>
        </row>
        <row r="125">
          <cell r="A125">
            <v>25406</v>
          </cell>
          <cell r="B125" t="str">
            <v>COLÉGIO MARISTA PIO XII</v>
          </cell>
          <cell r="C125" t="str">
            <v>Operacional - Colégio</v>
          </cell>
          <cell r="E125">
            <v>0</v>
          </cell>
          <cell r="F125">
            <v>0</v>
          </cell>
          <cell r="G125">
            <v>0</v>
          </cell>
          <cell r="H125">
            <v>0</v>
          </cell>
        </row>
        <row r="126">
          <cell r="A126">
            <v>21787</v>
          </cell>
          <cell r="B126" t="str">
            <v>COLÉGIO MARISTA PIO XII</v>
          </cell>
          <cell r="C126" t="str">
            <v>Operacional - Colégio</v>
          </cell>
          <cell r="E126">
            <v>0</v>
          </cell>
          <cell r="F126">
            <v>17231.009999999998</v>
          </cell>
          <cell r="G126">
            <v>12004.19</v>
          </cell>
          <cell r="H126">
            <v>5601.89</v>
          </cell>
        </row>
        <row r="127">
          <cell r="A127">
            <v>22299</v>
          </cell>
          <cell r="B127" t="str">
            <v xml:space="preserve">COLÉGIO MARISTA PIO XII - RESIDÊNCIA </v>
          </cell>
          <cell r="C127" t="str">
            <v>Operacional - Colégio</v>
          </cell>
          <cell r="E127">
            <v>0</v>
          </cell>
          <cell r="F127">
            <v>0</v>
          </cell>
          <cell r="G127">
            <v>0</v>
          </cell>
          <cell r="H127">
            <v>0</v>
          </cell>
        </row>
        <row r="128">
          <cell r="A128">
            <v>35411</v>
          </cell>
          <cell r="B128" t="str">
            <v>COLÉGIO MARISTA SANTA MARIA</v>
          </cell>
          <cell r="C128" t="str">
            <v>Operacional - Colégio</v>
          </cell>
          <cell r="E128">
            <v>0</v>
          </cell>
          <cell r="F128">
            <v>0</v>
          </cell>
          <cell r="G128">
            <v>0</v>
          </cell>
          <cell r="H128">
            <v>0</v>
          </cell>
        </row>
        <row r="129">
          <cell r="A129">
            <v>33632</v>
          </cell>
          <cell r="B129" t="str">
            <v>COLÉGIO MARISTA SANTA MARIA</v>
          </cell>
          <cell r="C129" t="str">
            <v>Operacional - Colégio</v>
          </cell>
          <cell r="E129">
            <v>0</v>
          </cell>
          <cell r="F129">
            <v>0</v>
          </cell>
          <cell r="G129">
            <v>0</v>
          </cell>
          <cell r="H129">
            <v>0</v>
          </cell>
        </row>
        <row r="130">
          <cell r="A130">
            <v>30679</v>
          </cell>
          <cell r="B130" t="str">
            <v>COLÉGIO MARISTA SANTA MARIA</v>
          </cell>
          <cell r="C130" t="str">
            <v>Operacional - Colégio</v>
          </cell>
          <cell r="E130">
            <v>49</v>
          </cell>
          <cell r="F130">
            <v>231.84</v>
          </cell>
          <cell r="G130">
            <v>0</v>
          </cell>
          <cell r="H130">
            <v>0</v>
          </cell>
        </row>
        <row r="131">
          <cell r="A131" t="str">
            <v>-</v>
          </cell>
          <cell r="B131" t="str">
            <v>COLÉGIO MARISTA SANTA MARIA</v>
          </cell>
          <cell r="C131" t="str">
            <v>Operacional - Colégio</v>
          </cell>
          <cell r="E131">
            <v>24111.3</v>
          </cell>
          <cell r="F131">
            <v>20781.2</v>
          </cell>
          <cell r="G131">
            <v>23829.469999999998</v>
          </cell>
          <cell r="H131">
            <v>0</v>
          </cell>
        </row>
        <row r="132">
          <cell r="A132">
            <v>35536</v>
          </cell>
          <cell r="B132" t="str">
            <v>COLÉGIO MARISTA SANTA MARIA</v>
          </cell>
          <cell r="C132" t="str">
            <v>Operacional - Colégio</v>
          </cell>
          <cell r="E132">
            <v>159.1</v>
          </cell>
          <cell r="F132">
            <v>0</v>
          </cell>
          <cell r="G132">
            <v>0</v>
          </cell>
          <cell r="H132">
            <v>0</v>
          </cell>
        </row>
        <row r="133">
          <cell r="A133">
            <v>35919</v>
          </cell>
          <cell r="B133" t="str">
            <v>COLÉGIO MARISTA SANTA MARIA</v>
          </cell>
          <cell r="C133" t="str">
            <v>Operacional - Colégio</v>
          </cell>
          <cell r="E133">
            <v>0</v>
          </cell>
          <cell r="F133">
            <v>0</v>
          </cell>
          <cell r="G133">
            <v>0</v>
          </cell>
          <cell r="H133">
            <v>0</v>
          </cell>
        </row>
        <row r="134">
          <cell r="A134">
            <v>34731</v>
          </cell>
          <cell r="B134" t="str">
            <v>COLÉGIO MARISTA SANTA MARIA</v>
          </cell>
          <cell r="C134" t="str">
            <v>Operacional - Colégio</v>
          </cell>
          <cell r="E134">
            <v>0</v>
          </cell>
          <cell r="F134">
            <v>0</v>
          </cell>
          <cell r="G134">
            <v>0</v>
          </cell>
          <cell r="H134">
            <v>0</v>
          </cell>
        </row>
        <row r="135">
          <cell r="A135" t="str">
            <v>-</v>
          </cell>
          <cell r="B135" t="str">
            <v>Colégio Nossa Senhora Da Glória - Recanto Marista</v>
          </cell>
          <cell r="C135" t="str">
            <v>Operacional - Colégio</v>
          </cell>
          <cell r="E135">
            <v>0</v>
          </cell>
          <cell r="F135">
            <v>1000</v>
          </cell>
          <cell r="G135">
            <v>0</v>
          </cell>
          <cell r="H135">
            <v>0</v>
          </cell>
        </row>
        <row r="136">
          <cell r="A136">
            <v>34899</v>
          </cell>
          <cell r="B136" t="str">
            <v>Colégio Nossa Senhora Da Glória - Recanto Marista</v>
          </cell>
          <cell r="C136" t="str">
            <v>Operacional - Colégio</v>
          </cell>
          <cell r="E136">
            <v>0</v>
          </cell>
          <cell r="F136">
            <v>0</v>
          </cell>
          <cell r="G136">
            <v>0</v>
          </cell>
          <cell r="H136">
            <v>0</v>
          </cell>
        </row>
        <row r="137">
          <cell r="A137">
            <v>23841</v>
          </cell>
          <cell r="B137" t="str">
            <v>COLÔNIA DE FÉRIAS</v>
          </cell>
          <cell r="C137" t="str">
            <v>Vida Consagrada</v>
          </cell>
          <cell r="E137">
            <v>819.29</v>
          </cell>
          <cell r="F137">
            <v>819.29</v>
          </cell>
          <cell r="G137">
            <v>0</v>
          </cell>
          <cell r="H137">
            <v>0</v>
          </cell>
        </row>
        <row r="138">
          <cell r="A138">
            <v>36152</v>
          </cell>
          <cell r="B138" t="str">
            <v>COMUNIDADE MARISTA SANTA MÔNICA</v>
          </cell>
          <cell r="C138" t="str">
            <v>Vida Consagrada</v>
          </cell>
          <cell r="E138">
            <v>0</v>
          </cell>
          <cell r="F138">
            <v>0</v>
          </cell>
          <cell r="G138">
            <v>0</v>
          </cell>
          <cell r="H138">
            <v>0</v>
          </cell>
        </row>
        <row r="139">
          <cell r="A139">
            <v>37776</v>
          </cell>
          <cell r="B139" t="str">
            <v>COMUNIDADE MARISTA SANTA MÔNICA</v>
          </cell>
          <cell r="C139" t="str">
            <v>Vida Consagrada</v>
          </cell>
          <cell r="E139">
            <v>0</v>
          </cell>
          <cell r="F139">
            <v>128.80000000000001</v>
          </cell>
          <cell r="G139">
            <v>0</v>
          </cell>
          <cell r="H139">
            <v>0</v>
          </cell>
        </row>
        <row r="140">
          <cell r="A140">
            <v>37882</v>
          </cell>
          <cell r="B140" t="str">
            <v>COMUNIDADE MARISTA SANTA MÔNICA</v>
          </cell>
          <cell r="C140" t="str">
            <v>Vida Consagrada</v>
          </cell>
          <cell r="E140">
            <v>0</v>
          </cell>
          <cell r="F140">
            <v>0</v>
          </cell>
          <cell r="G140">
            <v>0</v>
          </cell>
          <cell r="H140">
            <v>0</v>
          </cell>
        </row>
        <row r="141">
          <cell r="A141">
            <v>43084</v>
          </cell>
          <cell r="B141" t="str">
            <v>Conjunto Residencial Montreal - Apartamento 25</v>
          </cell>
          <cell r="C141" t="str">
            <v>Comodato</v>
          </cell>
          <cell r="E141">
            <v>130.88999999999999</v>
          </cell>
          <cell r="F141">
            <v>130.88999999999999</v>
          </cell>
          <cell r="G141">
            <v>0</v>
          </cell>
          <cell r="H141">
            <v>0</v>
          </cell>
        </row>
        <row r="142">
          <cell r="A142">
            <v>31274</v>
          </cell>
          <cell r="B142" t="str">
            <v>Creche Lar Feliz</v>
          </cell>
          <cell r="C142" t="str">
            <v>Operacional - RMS</v>
          </cell>
          <cell r="E142">
            <v>0</v>
          </cell>
          <cell r="F142">
            <v>0</v>
          </cell>
          <cell r="G142">
            <v>0</v>
          </cell>
          <cell r="H142">
            <v>0</v>
          </cell>
        </row>
        <row r="143">
          <cell r="A143">
            <v>37207</v>
          </cell>
          <cell r="B143" t="str">
            <v>Creche Lar Feliz</v>
          </cell>
          <cell r="C143" t="str">
            <v>Operacional - RMS</v>
          </cell>
          <cell r="E143">
            <v>212.53</v>
          </cell>
          <cell r="F143">
            <v>212.53</v>
          </cell>
          <cell r="G143">
            <v>0</v>
          </cell>
          <cell r="H143">
            <v>0</v>
          </cell>
        </row>
        <row r="144">
          <cell r="A144">
            <v>32416</v>
          </cell>
          <cell r="B144" t="str">
            <v>Creche Lar Feliz</v>
          </cell>
          <cell r="C144" t="str">
            <v>Operacional - RMS</v>
          </cell>
          <cell r="E144">
            <v>866</v>
          </cell>
          <cell r="F144">
            <v>866</v>
          </cell>
          <cell r="G144">
            <v>0</v>
          </cell>
          <cell r="H144">
            <v>0</v>
          </cell>
          <cell r="I144" t="str">
            <v>carnê iptu</v>
          </cell>
        </row>
        <row r="145">
          <cell r="A145">
            <v>29216</v>
          </cell>
          <cell r="B145" t="str">
            <v>Dourados - Lote encravado</v>
          </cell>
          <cell r="C145" t="str">
            <v>Venda</v>
          </cell>
          <cell r="E145">
            <v>124.8</v>
          </cell>
          <cell r="F145">
            <v>124.8</v>
          </cell>
          <cell r="G145">
            <v>0</v>
          </cell>
          <cell r="H145">
            <v>0</v>
          </cell>
        </row>
        <row r="146">
          <cell r="A146">
            <v>38547</v>
          </cell>
          <cell r="B146" t="str">
            <v>EDIFÍCIO - IAPÓ</v>
          </cell>
          <cell r="C146" t="str">
            <v>Operacional - PUC</v>
          </cell>
          <cell r="E146">
            <v>434</v>
          </cell>
          <cell r="F146">
            <v>434</v>
          </cell>
          <cell r="G146">
            <v>0</v>
          </cell>
          <cell r="H146">
            <v>0</v>
          </cell>
        </row>
        <row r="147">
          <cell r="A147">
            <v>34663</v>
          </cell>
          <cell r="B147" t="str">
            <v>EDITORA FTD</v>
          </cell>
          <cell r="C147" t="str">
            <v>Renda</v>
          </cell>
          <cell r="E147">
            <v>23249.74</v>
          </cell>
          <cell r="F147">
            <v>23249.74</v>
          </cell>
          <cell r="G147">
            <v>0</v>
          </cell>
          <cell r="H147">
            <v>0</v>
          </cell>
        </row>
        <row r="148">
          <cell r="A148">
            <v>33553</v>
          </cell>
          <cell r="B148" t="str">
            <v>EDITORA FTD</v>
          </cell>
          <cell r="C148" t="str">
            <v>Renda</v>
          </cell>
          <cell r="E148">
            <v>3789.81</v>
          </cell>
          <cell r="F148">
            <v>3789.81</v>
          </cell>
          <cell r="G148">
            <v>0</v>
          </cell>
          <cell r="H148">
            <v>0</v>
          </cell>
        </row>
        <row r="149">
          <cell r="A149">
            <v>34198</v>
          </cell>
          <cell r="B149" t="str">
            <v>EDITORA FTD</v>
          </cell>
          <cell r="C149" t="str">
            <v>Renda</v>
          </cell>
          <cell r="E149">
            <v>1503.35</v>
          </cell>
          <cell r="F149">
            <v>1503.35</v>
          </cell>
          <cell r="G149">
            <v>0</v>
          </cell>
          <cell r="H149">
            <v>0</v>
          </cell>
        </row>
        <row r="150">
          <cell r="A150">
            <v>34047</v>
          </cell>
          <cell r="B150" t="str">
            <v>EDITORA FTD - BARRACÃO EDITORA</v>
          </cell>
          <cell r="C150" t="str">
            <v>Renda</v>
          </cell>
          <cell r="E150">
            <v>1798.65</v>
          </cell>
          <cell r="F150">
            <v>1798.65</v>
          </cell>
          <cell r="G150">
            <v>0</v>
          </cell>
          <cell r="H150">
            <v>0</v>
          </cell>
          <cell r="I150" t="str">
            <v>certidão prefeitura</v>
          </cell>
        </row>
        <row r="151">
          <cell r="A151">
            <v>34047</v>
          </cell>
          <cell r="B151" t="str">
            <v>EDITORA FTD - BARRACÃO EDITORA</v>
          </cell>
          <cell r="C151" t="str">
            <v>Renda</v>
          </cell>
          <cell r="E151">
            <v>0</v>
          </cell>
          <cell r="F151">
            <v>0</v>
          </cell>
          <cell r="G151">
            <v>0</v>
          </cell>
          <cell r="H151">
            <v>0</v>
          </cell>
        </row>
        <row r="152">
          <cell r="A152">
            <v>34047</v>
          </cell>
          <cell r="B152" t="str">
            <v>EDITORA FTD - BARRACÃO EDITORA</v>
          </cell>
          <cell r="C152" t="str">
            <v>Renda</v>
          </cell>
          <cell r="E152">
            <v>0</v>
          </cell>
          <cell r="F152">
            <v>0</v>
          </cell>
          <cell r="G152">
            <v>0</v>
          </cell>
          <cell r="H152">
            <v>0</v>
          </cell>
        </row>
        <row r="153">
          <cell r="A153">
            <v>34047</v>
          </cell>
          <cell r="B153" t="str">
            <v>EDITORA FTD - BARRACÃO EDITORA</v>
          </cell>
          <cell r="C153" t="str">
            <v>Renda</v>
          </cell>
          <cell r="E153">
            <v>0</v>
          </cell>
          <cell r="F153">
            <v>0</v>
          </cell>
          <cell r="G153">
            <v>0</v>
          </cell>
          <cell r="H153">
            <v>0</v>
          </cell>
        </row>
        <row r="154">
          <cell r="A154">
            <v>34047</v>
          </cell>
          <cell r="B154" t="str">
            <v>EDITORA FTD - BARRACÃO EDITORA</v>
          </cell>
          <cell r="C154" t="str">
            <v>Renda</v>
          </cell>
          <cell r="E154">
            <v>0</v>
          </cell>
          <cell r="F154">
            <v>0</v>
          </cell>
          <cell r="G154">
            <v>0</v>
          </cell>
          <cell r="H154">
            <v>0</v>
          </cell>
        </row>
        <row r="155">
          <cell r="A155">
            <v>34047</v>
          </cell>
          <cell r="B155" t="str">
            <v>EDITORA FTD - BARRACÃO EDITORA</v>
          </cell>
          <cell r="C155" t="str">
            <v>Renda</v>
          </cell>
          <cell r="E155">
            <v>0</v>
          </cell>
          <cell r="F155">
            <v>0</v>
          </cell>
          <cell r="G155">
            <v>0</v>
          </cell>
          <cell r="H155">
            <v>0</v>
          </cell>
        </row>
        <row r="156">
          <cell r="A156" t="str">
            <v>-</v>
          </cell>
          <cell r="B156" t="str">
            <v>EDITORA FTD - Estacionamento São Paulo</v>
          </cell>
          <cell r="C156" t="str">
            <v>Renda</v>
          </cell>
          <cell r="E156">
            <v>160</v>
          </cell>
          <cell r="F156">
            <v>160</v>
          </cell>
          <cell r="G156">
            <v>0</v>
          </cell>
          <cell r="H156">
            <v>0</v>
          </cell>
          <cell r="I156" t="str">
            <v>certidão prefeitura</v>
          </cell>
        </row>
        <row r="157">
          <cell r="A157" t="str">
            <v>-</v>
          </cell>
          <cell r="B157" t="str">
            <v>EDITORA FTD - GALPÃO</v>
          </cell>
          <cell r="C157" t="str">
            <v>Renda</v>
          </cell>
          <cell r="E157">
            <v>4599.1099999999997</v>
          </cell>
          <cell r="F157">
            <v>4599.1099999999997</v>
          </cell>
          <cell r="G157">
            <v>0</v>
          </cell>
          <cell r="H157">
            <v>0</v>
          </cell>
        </row>
        <row r="158">
          <cell r="A158">
            <v>31833</v>
          </cell>
          <cell r="B158" t="str">
            <v>EDITORA FTD - PRÉDIO COMERCIAL</v>
          </cell>
          <cell r="C158" t="str">
            <v>Renda</v>
          </cell>
          <cell r="E158">
            <v>976.13</v>
          </cell>
          <cell r="F158">
            <v>976.13</v>
          </cell>
          <cell r="G158">
            <v>0</v>
          </cell>
          <cell r="H158">
            <v>0</v>
          </cell>
        </row>
        <row r="159">
          <cell r="A159">
            <v>34183</v>
          </cell>
          <cell r="B159" t="str">
            <v>EDITORA FTD - PRÉDIO COMERCIAL</v>
          </cell>
          <cell r="C159" t="str">
            <v>Renda</v>
          </cell>
          <cell r="E159">
            <v>3510.8</v>
          </cell>
          <cell r="F159">
            <v>3510.8</v>
          </cell>
          <cell r="G159">
            <v>0</v>
          </cell>
          <cell r="H159">
            <v>0</v>
          </cell>
        </row>
        <row r="160">
          <cell r="A160" t="str">
            <v>-</v>
          </cell>
          <cell r="B160" t="str">
            <v>EDITORA FTD - Rio de Janeiro</v>
          </cell>
          <cell r="C160" t="str">
            <v>Renda</v>
          </cell>
          <cell r="E160">
            <v>3189</v>
          </cell>
          <cell r="F160">
            <v>3189</v>
          </cell>
          <cell r="G160">
            <v>0</v>
          </cell>
          <cell r="H160">
            <v>0</v>
          </cell>
          <cell r="I160" t="str">
            <v>Iptu</v>
          </cell>
        </row>
        <row r="161">
          <cell r="A161">
            <v>25848</v>
          </cell>
          <cell r="B161" t="str">
            <v>ESCOLA ECOLÓGICA MARCELINO CHAMPAGNAT</v>
          </cell>
          <cell r="C161" t="str">
            <v>Operacional - RMS</v>
          </cell>
          <cell r="E161">
            <v>4290.0600000000004</v>
          </cell>
          <cell r="F161">
            <v>4290.0600000000004</v>
          </cell>
          <cell r="G161">
            <v>0</v>
          </cell>
          <cell r="H161">
            <v>0</v>
          </cell>
        </row>
        <row r="162">
          <cell r="A162">
            <v>43084</v>
          </cell>
          <cell r="B162" t="str">
            <v>Estacionamento Alternativo A (1) - Campus Curitiba</v>
          </cell>
          <cell r="C162" t="str">
            <v>Operacional - PUC</v>
          </cell>
          <cell r="E162">
            <v>0</v>
          </cell>
          <cell r="F162">
            <v>0</v>
          </cell>
          <cell r="G162">
            <v>0</v>
          </cell>
          <cell r="H162">
            <v>0</v>
          </cell>
        </row>
        <row r="163">
          <cell r="A163">
            <v>43084</v>
          </cell>
          <cell r="B163" t="str">
            <v>Estacionamento Alternativo A (1) - Campus Curitiba</v>
          </cell>
          <cell r="C163" t="str">
            <v>Operacional - PUC</v>
          </cell>
          <cell r="E163">
            <v>0</v>
          </cell>
          <cell r="F163">
            <v>0</v>
          </cell>
          <cell r="G163">
            <v>0</v>
          </cell>
          <cell r="H163">
            <v>0</v>
          </cell>
        </row>
        <row r="164">
          <cell r="A164">
            <v>43084</v>
          </cell>
          <cell r="B164" t="str">
            <v>Estacionamento Alternativo A (1) - Campus Curitiba</v>
          </cell>
          <cell r="C164" t="str">
            <v>Operacional - PUC</v>
          </cell>
          <cell r="E164">
            <v>0</v>
          </cell>
          <cell r="F164">
            <v>0</v>
          </cell>
          <cell r="G164">
            <v>0</v>
          </cell>
          <cell r="H164">
            <v>0</v>
          </cell>
        </row>
        <row r="165">
          <cell r="A165">
            <v>43084</v>
          </cell>
          <cell r="B165" t="str">
            <v>Estacionamento Alternativo A (1) - Campus Curitiba</v>
          </cell>
          <cell r="C165" t="str">
            <v>Operacional - PUC</v>
          </cell>
          <cell r="E165">
            <v>0</v>
          </cell>
          <cell r="F165">
            <v>0</v>
          </cell>
          <cell r="G165">
            <v>0</v>
          </cell>
          <cell r="H165">
            <v>0</v>
          </cell>
        </row>
        <row r="166">
          <cell r="A166">
            <v>43084</v>
          </cell>
          <cell r="B166" t="str">
            <v>Estacionamento Alternativo A (1) - Campus Curitiba</v>
          </cell>
          <cell r="C166" t="str">
            <v>Operacional - PUC</v>
          </cell>
          <cell r="E166">
            <v>0</v>
          </cell>
          <cell r="F166">
            <v>0</v>
          </cell>
          <cell r="G166">
            <v>0</v>
          </cell>
          <cell r="H166">
            <v>0</v>
          </cell>
        </row>
        <row r="167">
          <cell r="A167">
            <v>43084</v>
          </cell>
          <cell r="B167" t="str">
            <v>Estacionamento Alternativo A (1) - Campus Curitiba</v>
          </cell>
          <cell r="C167" t="str">
            <v>Operacional - PUC</v>
          </cell>
          <cell r="E167">
            <v>635.4</v>
          </cell>
          <cell r="F167">
            <v>635.4</v>
          </cell>
          <cell r="G167">
            <v>0</v>
          </cell>
          <cell r="H167">
            <v>0</v>
          </cell>
          <cell r="I167" t="str">
            <v>guia amarela</v>
          </cell>
        </row>
        <row r="168">
          <cell r="A168">
            <v>43084</v>
          </cell>
          <cell r="B168" t="str">
            <v>Estacionamento Alternativo A (1) - Campus Curitiba</v>
          </cell>
          <cell r="C168" t="str">
            <v>Operacional - PUC</v>
          </cell>
          <cell r="E168">
            <v>0</v>
          </cell>
          <cell r="F168">
            <v>0</v>
          </cell>
          <cell r="G168">
            <v>0</v>
          </cell>
          <cell r="H168">
            <v>0</v>
          </cell>
        </row>
        <row r="169">
          <cell r="A169">
            <v>43084</v>
          </cell>
          <cell r="B169" t="str">
            <v>Estacionamento Alternativo A (1) - Campus Curitiba</v>
          </cell>
          <cell r="C169" t="str">
            <v>Operacional - PUC</v>
          </cell>
          <cell r="E169">
            <v>0</v>
          </cell>
          <cell r="F169">
            <v>0</v>
          </cell>
          <cell r="G169">
            <v>0</v>
          </cell>
          <cell r="H169">
            <v>0</v>
          </cell>
        </row>
        <row r="170">
          <cell r="A170">
            <v>43084</v>
          </cell>
          <cell r="B170" t="str">
            <v>Estacionamento Alternativo A (1) - Campus Curitiba</v>
          </cell>
          <cell r="C170" t="str">
            <v>Operacional - PUC</v>
          </cell>
          <cell r="E170">
            <v>0</v>
          </cell>
          <cell r="F170">
            <v>0</v>
          </cell>
          <cell r="G170">
            <v>0</v>
          </cell>
          <cell r="H170">
            <v>0</v>
          </cell>
        </row>
        <row r="171">
          <cell r="A171">
            <v>43084</v>
          </cell>
          <cell r="B171" t="str">
            <v>Estacionamento Alternativo B (2) - Campus Curitiba</v>
          </cell>
          <cell r="C171" t="str">
            <v>Operacional - PUC</v>
          </cell>
          <cell r="E171">
            <v>0</v>
          </cell>
          <cell r="F171">
            <v>0</v>
          </cell>
          <cell r="G171">
            <v>0</v>
          </cell>
          <cell r="H171">
            <v>0</v>
          </cell>
        </row>
        <row r="172">
          <cell r="A172">
            <v>43084</v>
          </cell>
          <cell r="B172" t="str">
            <v>Estacionamento Alternativo B (2) - Campus Curitiba</v>
          </cell>
          <cell r="C172" t="str">
            <v>Operacional - PUC</v>
          </cell>
          <cell r="E172">
            <v>0</v>
          </cell>
          <cell r="F172">
            <v>0</v>
          </cell>
          <cell r="G172">
            <v>0</v>
          </cell>
          <cell r="H172">
            <v>0</v>
          </cell>
        </row>
        <row r="173">
          <cell r="A173">
            <v>43084</v>
          </cell>
          <cell r="B173" t="str">
            <v>Estacionamento Alternativo B (2) - Campus Curitiba</v>
          </cell>
          <cell r="C173" t="str">
            <v>Operacional - PUC</v>
          </cell>
          <cell r="E173">
            <v>0</v>
          </cell>
          <cell r="F173">
            <v>0</v>
          </cell>
          <cell r="G173">
            <v>0</v>
          </cell>
          <cell r="H173">
            <v>0</v>
          </cell>
        </row>
        <row r="174">
          <cell r="A174">
            <v>43084</v>
          </cell>
          <cell r="B174" t="str">
            <v>Estacionamento Alternativo B (2) - Campus Curitiba</v>
          </cell>
          <cell r="C174" t="str">
            <v>Operacional - PUC</v>
          </cell>
          <cell r="E174">
            <v>0</v>
          </cell>
          <cell r="F174">
            <v>0</v>
          </cell>
          <cell r="G174">
            <v>0</v>
          </cell>
          <cell r="H174">
            <v>0</v>
          </cell>
        </row>
        <row r="175">
          <cell r="A175">
            <v>43084</v>
          </cell>
          <cell r="B175" t="str">
            <v>Estacionamento Alternativo B (2) - Campus Curitiba</v>
          </cell>
          <cell r="C175" t="str">
            <v>Operacional - PUC</v>
          </cell>
          <cell r="E175">
            <v>690.1</v>
          </cell>
          <cell r="F175">
            <v>690.1</v>
          </cell>
          <cell r="G175">
            <v>0</v>
          </cell>
          <cell r="H175">
            <v>0</v>
          </cell>
        </row>
        <row r="176">
          <cell r="A176">
            <v>43084</v>
          </cell>
          <cell r="B176" t="str">
            <v>Estacionamento Alternativo B (2) - Campus Curitiba</v>
          </cell>
          <cell r="C176" t="str">
            <v>Operacional - PUC</v>
          </cell>
          <cell r="E176">
            <v>0</v>
          </cell>
          <cell r="F176">
            <v>0</v>
          </cell>
          <cell r="G176">
            <v>0</v>
          </cell>
          <cell r="H176">
            <v>0</v>
          </cell>
        </row>
        <row r="177">
          <cell r="A177">
            <v>43084</v>
          </cell>
          <cell r="B177" t="str">
            <v>Estacionamento Alternativo B (2) - Campus Curitiba</v>
          </cell>
          <cell r="C177" t="str">
            <v>Operacional - PUC</v>
          </cell>
          <cell r="E177">
            <v>0</v>
          </cell>
          <cell r="F177">
            <v>0</v>
          </cell>
          <cell r="G177">
            <v>0</v>
          </cell>
          <cell r="H177">
            <v>0</v>
          </cell>
        </row>
        <row r="178">
          <cell r="A178">
            <v>43084</v>
          </cell>
          <cell r="B178" t="str">
            <v>Estacionamento Alternativo B (2) - Campus Curitiba</v>
          </cell>
          <cell r="C178" t="str">
            <v>Operacional - PUC</v>
          </cell>
          <cell r="E178">
            <v>0</v>
          </cell>
          <cell r="F178">
            <v>0</v>
          </cell>
          <cell r="G178">
            <v>0</v>
          </cell>
          <cell r="H178">
            <v>0</v>
          </cell>
        </row>
        <row r="179">
          <cell r="A179">
            <v>43084</v>
          </cell>
          <cell r="B179" t="str">
            <v>Estacionamento Alternativo B (2) - Campus Curitiba</v>
          </cell>
          <cell r="C179" t="str">
            <v>Operacional - PUC</v>
          </cell>
          <cell r="E179">
            <v>0</v>
          </cell>
          <cell r="F179">
            <v>0</v>
          </cell>
          <cell r="G179">
            <v>0</v>
          </cell>
          <cell r="H179">
            <v>0</v>
          </cell>
        </row>
        <row r="180">
          <cell r="A180">
            <v>43084</v>
          </cell>
          <cell r="B180" t="str">
            <v>Estacionamento Alternativo B (2) - Campus Curitiba</v>
          </cell>
          <cell r="C180" t="str">
            <v>Operacional - PUC</v>
          </cell>
          <cell r="E180">
            <v>63.8</v>
          </cell>
          <cell r="F180">
            <v>63.8</v>
          </cell>
          <cell r="G180">
            <v>0</v>
          </cell>
          <cell r="H180">
            <v>0</v>
          </cell>
        </row>
        <row r="181">
          <cell r="A181">
            <v>43084</v>
          </cell>
          <cell r="B181" t="str">
            <v>Estacionamento Alternativo C (3) - Campus Curitiba</v>
          </cell>
          <cell r="C181" t="str">
            <v>Operacional - PUC</v>
          </cell>
          <cell r="E181">
            <v>0</v>
          </cell>
          <cell r="F181">
            <v>0</v>
          </cell>
          <cell r="G181">
            <v>0</v>
          </cell>
          <cell r="H181">
            <v>0</v>
          </cell>
        </row>
        <row r="182">
          <cell r="A182">
            <v>43084</v>
          </cell>
          <cell r="B182" t="str">
            <v>Estacionamento Alternativo C (3) - Campus Curitiba</v>
          </cell>
          <cell r="C182" t="str">
            <v>Operacional - PUC</v>
          </cell>
          <cell r="E182">
            <v>175.2</v>
          </cell>
          <cell r="F182">
            <v>175.2</v>
          </cell>
          <cell r="G182">
            <v>0</v>
          </cell>
          <cell r="H182">
            <v>0</v>
          </cell>
        </row>
        <row r="183">
          <cell r="A183">
            <v>43084</v>
          </cell>
          <cell r="B183" t="str">
            <v>Estacionamento Alternativo C (3) - Campus Curitiba</v>
          </cell>
          <cell r="C183" t="str">
            <v>Operacional - PUC</v>
          </cell>
          <cell r="E183">
            <v>451.4</v>
          </cell>
          <cell r="F183">
            <v>451.4</v>
          </cell>
          <cell r="G183">
            <v>0</v>
          </cell>
          <cell r="H183">
            <v>0</v>
          </cell>
        </row>
        <row r="184">
          <cell r="A184">
            <v>43084</v>
          </cell>
          <cell r="B184" t="str">
            <v>Estacionamento Alternativo C (3) - Campus Curitiba</v>
          </cell>
          <cell r="C184" t="str">
            <v>Operacional - PUC</v>
          </cell>
          <cell r="E184">
            <v>114.1</v>
          </cell>
          <cell r="F184">
            <v>114.1</v>
          </cell>
          <cell r="G184">
            <v>0</v>
          </cell>
          <cell r="H184">
            <v>0</v>
          </cell>
        </row>
        <row r="185">
          <cell r="A185">
            <v>43084</v>
          </cell>
          <cell r="B185" t="str">
            <v>Estacionamento Alternativo C (3) - Campus Curitiba</v>
          </cell>
          <cell r="C185" t="str">
            <v>Operacional - PUC</v>
          </cell>
          <cell r="E185">
            <v>248.5</v>
          </cell>
          <cell r="F185">
            <v>248.5</v>
          </cell>
          <cell r="G185">
            <v>0</v>
          </cell>
          <cell r="H185">
            <v>0</v>
          </cell>
        </row>
        <row r="186">
          <cell r="A186">
            <v>43084</v>
          </cell>
          <cell r="B186" t="str">
            <v>Estacionamento Alternativo C (3) - Campus Curitiba</v>
          </cell>
          <cell r="C186" t="str">
            <v>Operacional - PUC</v>
          </cell>
          <cell r="E186">
            <v>164.4</v>
          </cell>
          <cell r="F186">
            <v>164.4</v>
          </cell>
          <cell r="G186">
            <v>0</v>
          </cell>
          <cell r="H186">
            <v>0</v>
          </cell>
        </row>
        <row r="187">
          <cell r="A187">
            <v>32738</v>
          </cell>
          <cell r="B187" t="str">
            <v>Fazenda Águas da Prata</v>
          </cell>
          <cell r="C187" t="str">
            <v>Operacional - Fazenda</v>
          </cell>
          <cell r="E187">
            <v>0</v>
          </cell>
          <cell r="F187">
            <v>0</v>
          </cell>
          <cell r="G187">
            <v>0</v>
          </cell>
          <cell r="H187">
            <v>0</v>
          </cell>
          <cell r="I187" t="str">
            <v>O imóvel possui construções, todavia não localizei documento para evidenciar.</v>
          </cell>
        </row>
        <row r="188">
          <cell r="A188">
            <v>32738</v>
          </cell>
          <cell r="B188" t="str">
            <v>Fazenda Águas da Prata</v>
          </cell>
          <cell r="C188" t="str">
            <v>Operacional - Fazenda</v>
          </cell>
          <cell r="E188">
            <v>0</v>
          </cell>
          <cell r="F188">
            <v>0</v>
          </cell>
          <cell r="G188">
            <v>0</v>
          </cell>
          <cell r="H188">
            <v>0</v>
          </cell>
        </row>
        <row r="189">
          <cell r="A189">
            <v>36006</v>
          </cell>
          <cell r="B189" t="str">
            <v>Fazenda Águas da Prata</v>
          </cell>
          <cell r="C189" t="str">
            <v>Operacional - Fazenda</v>
          </cell>
          <cell r="E189">
            <v>0</v>
          </cell>
          <cell r="F189">
            <v>0</v>
          </cell>
          <cell r="G189">
            <v>0</v>
          </cell>
          <cell r="H189">
            <v>0</v>
          </cell>
        </row>
        <row r="190">
          <cell r="A190">
            <v>36006</v>
          </cell>
          <cell r="B190" t="str">
            <v>Fazenda Águas da Prata</v>
          </cell>
          <cell r="C190" t="str">
            <v>Operacional - Fazenda</v>
          </cell>
          <cell r="E190">
            <v>0</v>
          </cell>
          <cell r="F190">
            <v>0</v>
          </cell>
          <cell r="G190">
            <v>0</v>
          </cell>
          <cell r="H190">
            <v>0</v>
          </cell>
        </row>
        <row r="191">
          <cell r="A191">
            <v>34534</v>
          </cell>
          <cell r="B191" t="str">
            <v>Fazenda Águas da Prata</v>
          </cell>
          <cell r="C191" t="str">
            <v>Operacional - Fazenda</v>
          </cell>
          <cell r="E191">
            <v>0</v>
          </cell>
          <cell r="F191">
            <v>0</v>
          </cell>
          <cell r="G191">
            <v>0</v>
          </cell>
          <cell r="H191">
            <v>0</v>
          </cell>
        </row>
        <row r="192">
          <cell r="A192">
            <v>35556</v>
          </cell>
          <cell r="B192" t="str">
            <v>Fazenda Águas da Prata</v>
          </cell>
          <cell r="C192" t="str">
            <v>Operacional - Fazenda</v>
          </cell>
          <cell r="E192">
            <v>0</v>
          </cell>
          <cell r="F192">
            <v>0</v>
          </cell>
          <cell r="G192">
            <v>0</v>
          </cell>
          <cell r="H192">
            <v>0</v>
          </cell>
        </row>
        <row r="193">
          <cell r="A193">
            <v>34534</v>
          </cell>
          <cell r="B193" t="str">
            <v>Fazenda Águas da Prata</v>
          </cell>
          <cell r="C193" t="str">
            <v>Operacional - Fazenda</v>
          </cell>
          <cell r="E193">
            <v>0</v>
          </cell>
          <cell r="F193">
            <v>0</v>
          </cell>
          <cell r="G193">
            <v>0</v>
          </cell>
          <cell r="H193">
            <v>0</v>
          </cell>
        </row>
        <row r="194">
          <cell r="A194">
            <v>34534</v>
          </cell>
          <cell r="B194" t="str">
            <v>Fazenda Águas da Prata</v>
          </cell>
          <cell r="C194" t="str">
            <v>Operacional - Fazenda</v>
          </cell>
          <cell r="E194">
            <v>0</v>
          </cell>
          <cell r="F194">
            <v>0</v>
          </cell>
          <cell r="G194">
            <v>0</v>
          </cell>
          <cell r="H194">
            <v>0</v>
          </cell>
        </row>
        <row r="195">
          <cell r="A195">
            <v>36258</v>
          </cell>
          <cell r="B195" t="str">
            <v>Fazenda Águas da Prata</v>
          </cell>
          <cell r="C195" t="str">
            <v>Operacional - Fazenda</v>
          </cell>
          <cell r="E195">
            <v>0</v>
          </cell>
          <cell r="F195">
            <v>0</v>
          </cell>
          <cell r="G195">
            <v>0</v>
          </cell>
          <cell r="H195">
            <v>0</v>
          </cell>
        </row>
        <row r="196">
          <cell r="A196">
            <v>36006</v>
          </cell>
          <cell r="B196" t="str">
            <v>Fazenda Águas da Prata</v>
          </cell>
          <cell r="C196" t="str">
            <v>Operacional - Fazenda</v>
          </cell>
          <cell r="E196">
            <v>0</v>
          </cell>
          <cell r="F196">
            <v>0</v>
          </cell>
          <cell r="G196">
            <v>0</v>
          </cell>
          <cell r="H196">
            <v>0</v>
          </cell>
        </row>
        <row r="197">
          <cell r="A197">
            <v>33457</v>
          </cell>
          <cell r="B197" t="str">
            <v>Fazenda Águas da Prata</v>
          </cell>
          <cell r="C197" t="str">
            <v>Operacional - Fazenda</v>
          </cell>
          <cell r="E197">
            <v>0</v>
          </cell>
          <cell r="F197">
            <v>0</v>
          </cell>
          <cell r="G197">
            <v>0</v>
          </cell>
          <cell r="H197">
            <v>0</v>
          </cell>
        </row>
        <row r="198">
          <cell r="A198">
            <v>43084</v>
          </cell>
          <cell r="B198" t="str">
            <v>FAZENDA EXPERIMENTAL GRALHA AZUL</v>
          </cell>
          <cell r="C198" t="str">
            <v>Operacional - PUC</v>
          </cell>
          <cell r="E198">
            <v>0</v>
          </cell>
          <cell r="F198">
            <v>0</v>
          </cell>
          <cell r="G198">
            <v>0</v>
          </cell>
          <cell r="H198">
            <v>0</v>
          </cell>
        </row>
        <row r="199">
          <cell r="A199">
            <v>43084</v>
          </cell>
          <cell r="B199" t="str">
            <v>FAZENDA EXPERIMENTAL GRALHA AZUL</v>
          </cell>
          <cell r="C199" t="str">
            <v>Operacional - PUC</v>
          </cell>
          <cell r="E199">
            <v>0</v>
          </cell>
          <cell r="F199">
            <v>0</v>
          </cell>
          <cell r="G199">
            <v>0</v>
          </cell>
          <cell r="H199">
            <v>0</v>
          </cell>
        </row>
        <row r="200">
          <cell r="A200">
            <v>43084</v>
          </cell>
          <cell r="B200" t="str">
            <v>FAZENDA EXPERIMENTAL GRALHA AZUL</v>
          </cell>
          <cell r="C200" t="str">
            <v>Operacional - PUC</v>
          </cell>
          <cell r="E200">
            <v>0</v>
          </cell>
          <cell r="F200">
            <v>0</v>
          </cell>
          <cell r="G200">
            <v>0</v>
          </cell>
          <cell r="H200">
            <v>0</v>
          </cell>
        </row>
        <row r="201">
          <cell r="A201">
            <v>43084</v>
          </cell>
          <cell r="B201" t="str">
            <v>FAZENDA EXPERIMENTAL GRALHA AZUL</v>
          </cell>
          <cell r="C201" t="str">
            <v>Operacional - PUC</v>
          </cell>
          <cell r="E201">
            <v>0</v>
          </cell>
          <cell r="F201">
            <v>0</v>
          </cell>
          <cell r="G201">
            <v>0</v>
          </cell>
          <cell r="H201">
            <v>0</v>
          </cell>
        </row>
        <row r="202">
          <cell r="A202">
            <v>43084</v>
          </cell>
          <cell r="B202" t="str">
            <v>FAZENDA EXPERIMENTAL GRALHA AZUL</v>
          </cell>
          <cell r="C202" t="str">
            <v>Operacional - PUC</v>
          </cell>
          <cell r="E202">
            <v>0</v>
          </cell>
          <cell r="F202">
            <v>1804.23</v>
          </cell>
          <cell r="G202">
            <v>0</v>
          </cell>
          <cell r="H202">
            <v>0</v>
          </cell>
          <cell r="I202" t="str">
            <v>Laudo de avaliação Colliers</v>
          </cell>
        </row>
        <row r="203">
          <cell r="A203">
            <v>43084</v>
          </cell>
          <cell r="B203" t="str">
            <v>FAZENDA EXPERIMENTAL GRALHA AZUL</v>
          </cell>
          <cell r="C203" t="str">
            <v>Operacional - PUC</v>
          </cell>
          <cell r="E203">
            <v>0</v>
          </cell>
          <cell r="F203">
            <v>0</v>
          </cell>
          <cell r="G203">
            <v>0</v>
          </cell>
          <cell r="H203">
            <v>0</v>
          </cell>
        </row>
        <row r="204">
          <cell r="A204">
            <v>43084</v>
          </cell>
          <cell r="B204" t="str">
            <v>FAZENDA EXPERIMENTAL GRALHA AZUL</v>
          </cell>
          <cell r="C204" t="str">
            <v>Operacional - PUC</v>
          </cell>
          <cell r="E204">
            <v>0</v>
          </cell>
          <cell r="F204">
            <v>0</v>
          </cell>
          <cell r="G204">
            <v>0</v>
          </cell>
          <cell r="H204">
            <v>0</v>
          </cell>
        </row>
        <row r="205">
          <cell r="A205">
            <v>43084</v>
          </cell>
          <cell r="B205" t="str">
            <v>FAZENDA EXPERIMENTAL GRALHA AZUL</v>
          </cell>
          <cell r="C205" t="str">
            <v>Operacional - PUC</v>
          </cell>
          <cell r="E205">
            <v>0</v>
          </cell>
          <cell r="F205">
            <v>0</v>
          </cell>
          <cell r="G205">
            <v>0</v>
          </cell>
          <cell r="H205">
            <v>0</v>
          </cell>
        </row>
        <row r="206">
          <cell r="A206">
            <v>43084</v>
          </cell>
          <cell r="B206" t="str">
            <v>FAZENDA EXPERIMENTAL GRALHA AZUL</v>
          </cell>
          <cell r="C206" t="str">
            <v>Operacional - PUC</v>
          </cell>
          <cell r="E206">
            <v>0</v>
          </cell>
          <cell r="F206">
            <v>0</v>
          </cell>
          <cell r="G206">
            <v>0</v>
          </cell>
          <cell r="H206">
            <v>0</v>
          </cell>
        </row>
        <row r="207">
          <cell r="A207">
            <v>43084</v>
          </cell>
          <cell r="B207" t="str">
            <v>FAZENDA EXPERIMENTAL GRALHA AZUL</v>
          </cell>
          <cell r="C207" t="str">
            <v>Operacional - PUC</v>
          </cell>
          <cell r="E207">
            <v>0</v>
          </cell>
          <cell r="F207">
            <v>0</v>
          </cell>
          <cell r="G207">
            <v>0</v>
          </cell>
          <cell r="H207">
            <v>0</v>
          </cell>
        </row>
        <row r="208">
          <cell r="A208">
            <v>43084</v>
          </cell>
          <cell r="B208" t="str">
            <v>FAZENDA EXPERIMENTAL GRALHA AZUL</v>
          </cell>
          <cell r="C208" t="str">
            <v>Operacional - PUC</v>
          </cell>
          <cell r="E208">
            <v>0</v>
          </cell>
          <cell r="F208">
            <v>0</v>
          </cell>
          <cell r="G208">
            <v>0</v>
          </cell>
          <cell r="H208">
            <v>0</v>
          </cell>
        </row>
        <row r="209">
          <cell r="A209">
            <v>43084</v>
          </cell>
          <cell r="B209" t="str">
            <v>FAZENDA EXPERIMENTAL GRALHA AZUL - Áreas Externas</v>
          </cell>
          <cell r="C209" t="str">
            <v>Renda</v>
          </cell>
          <cell r="E209">
            <v>0</v>
          </cell>
          <cell r="F209">
            <v>0</v>
          </cell>
          <cell r="G209">
            <v>0</v>
          </cell>
          <cell r="H209">
            <v>0</v>
          </cell>
        </row>
        <row r="210">
          <cell r="A210">
            <v>43084</v>
          </cell>
          <cell r="B210" t="str">
            <v>FAZENDA EXPERIMENTAL GRALHA AZUL - Áreas Externas</v>
          </cell>
          <cell r="C210" t="str">
            <v>Renda</v>
          </cell>
          <cell r="E210">
            <v>0</v>
          </cell>
          <cell r="F210">
            <v>0</v>
          </cell>
          <cell r="G210">
            <v>0</v>
          </cell>
          <cell r="H210">
            <v>0</v>
          </cell>
        </row>
        <row r="211">
          <cell r="A211">
            <v>34123</v>
          </cell>
          <cell r="B211" t="str">
            <v>Fortaleza - Lote</v>
          </cell>
          <cell r="C211" t="str">
            <v>Renda</v>
          </cell>
          <cell r="E211">
            <v>0</v>
          </cell>
          <cell r="F211">
            <v>0</v>
          </cell>
          <cell r="G211">
            <v>0</v>
          </cell>
          <cell r="H211">
            <v>0</v>
          </cell>
        </row>
        <row r="212">
          <cell r="A212">
            <v>38677</v>
          </cell>
          <cell r="B212" t="str">
            <v>Harry Prochet</v>
          </cell>
          <cell r="C212" t="str">
            <v>Venda</v>
          </cell>
          <cell r="E212">
            <v>889.94</v>
          </cell>
          <cell r="F212">
            <v>889.94</v>
          </cell>
          <cell r="G212">
            <v>0</v>
          </cell>
          <cell r="H212">
            <v>0</v>
          </cell>
          <cell r="I212" t="str">
            <v>certidão prefeitura</v>
          </cell>
        </row>
        <row r="213">
          <cell r="A213">
            <v>43084</v>
          </cell>
          <cell r="B213" t="str">
            <v>Hospital Nossa Senhora da Luz</v>
          </cell>
          <cell r="C213" t="str">
            <v>Renda</v>
          </cell>
          <cell r="E213">
            <v>14000</v>
          </cell>
          <cell r="F213">
            <v>14000</v>
          </cell>
          <cell r="G213">
            <v>0</v>
          </cell>
          <cell r="H213">
            <v>0</v>
          </cell>
          <cell r="I213" t="str">
            <v>guia amarela</v>
          </cell>
        </row>
        <row r="214">
          <cell r="A214">
            <v>43084</v>
          </cell>
          <cell r="B214" t="str">
            <v>HotMilk - Aceleradora da PUC</v>
          </cell>
          <cell r="C214" t="str">
            <v>Operacional - PUC</v>
          </cell>
          <cell r="E214">
            <v>1357.1</v>
          </cell>
          <cell r="F214">
            <v>1357.1</v>
          </cell>
          <cell r="G214">
            <v>0</v>
          </cell>
          <cell r="H214">
            <v>0</v>
          </cell>
          <cell r="I214" t="str">
            <v>guia amarela</v>
          </cell>
        </row>
        <row r="215">
          <cell r="A215">
            <v>40156</v>
          </cell>
          <cell r="B215" t="str">
            <v>Itapejara D'Oeste - Lagoa dos Patos</v>
          </cell>
          <cell r="C215" t="str">
            <v>Operacional - RMS</v>
          </cell>
          <cell r="E215">
            <v>0</v>
          </cell>
          <cell r="F215">
            <v>0</v>
          </cell>
          <cell r="G215">
            <v>0</v>
          </cell>
          <cell r="H215">
            <v>0</v>
          </cell>
        </row>
        <row r="216">
          <cell r="A216" t="str">
            <v>-</v>
          </cell>
          <cell r="B216" t="str">
            <v>Jazigo - Curitiba</v>
          </cell>
          <cell r="C216" t="str">
            <v>Vazio</v>
          </cell>
          <cell r="G216"/>
        </row>
        <row r="217">
          <cell r="A217">
            <v>37202</v>
          </cell>
          <cell r="B217" t="str">
            <v>LABORATÓRIO DE COMUNICAÇÃO</v>
          </cell>
          <cell r="C217" t="str">
            <v>Operacional - PUC</v>
          </cell>
          <cell r="E217">
            <v>1731.2</v>
          </cell>
          <cell r="F217">
            <v>1731.2</v>
          </cell>
          <cell r="G217">
            <v>0</v>
          </cell>
          <cell r="H217">
            <v>0</v>
          </cell>
          <cell r="I217" t="str">
            <v>guia amarela</v>
          </cell>
        </row>
        <row r="218">
          <cell r="A218" t="str">
            <v>-</v>
          </cell>
          <cell r="B218" t="str">
            <v>Lote</v>
          </cell>
          <cell r="C218" t="str">
            <v>Venda</v>
          </cell>
          <cell r="E218">
            <v>0</v>
          </cell>
          <cell r="F218">
            <v>228.07</v>
          </cell>
          <cell r="G218">
            <v>0</v>
          </cell>
          <cell r="H218">
            <v>0</v>
          </cell>
        </row>
        <row r="219">
          <cell r="A219">
            <v>36130</v>
          </cell>
          <cell r="B219" t="str">
            <v>Lote</v>
          </cell>
          <cell r="C219" t="str">
            <v>Vazio</v>
          </cell>
          <cell r="E219">
            <v>0</v>
          </cell>
          <cell r="F219">
            <v>0</v>
          </cell>
          <cell r="G219">
            <v>0</v>
          </cell>
          <cell r="H219">
            <v>0</v>
          </cell>
        </row>
        <row r="220">
          <cell r="A220">
            <v>36130</v>
          </cell>
          <cell r="B220" t="str">
            <v>Lote</v>
          </cell>
          <cell r="C220" t="str">
            <v>Vazio</v>
          </cell>
          <cell r="E220">
            <v>0</v>
          </cell>
          <cell r="F220">
            <v>0</v>
          </cell>
          <cell r="G220">
            <v>0</v>
          </cell>
          <cell r="H220">
            <v>0</v>
          </cell>
        </row>
        <row r="221">
          <cell r="A221">
            <v>34136</v>
          </cell>
          <cell r="B221" t="str">
            <v>Lote 21</v>
          </cell>
          <cell r="C221" t="str">
            <v>Venda</v>
          </cell>
          <cell r="E221">
            <v>0</v>
          </cell>
          <cell r="F221">
            <v>0</v>
          </cell>
          <cell r="G221">
            <v>0</v>
          </cell>
          <cell r="H221">
            <v>0</v>
          </cell>
        </row>
        <row r="222">
          <cell r="A222">
            <v>34136</v>
          </cell>
          <cell r="B222" t="str">
            <v>Lote 22</v>
          </cell>
          <cell r="C222" t="str">
            <v>Venda</v>
          </cell>
          <cell r="E222">
            <v>0</v>
          </cell>
          <cell r="F222">
            <v>0</v>
          </cell>
          <cell r="G222">
            <v>0</v>
          </cell>
          <cell r="H222">
            <v>0</v>
          </cell>
        </row>
        <row r="223">
          <cell r="A223">
            <v>34136</v>
          </cell>
          <cell r="B223" t="str">
            <v>Lote 23</v>
          </cell>
          <cell r="C223" t="str">
            <v>Venda</v>
          </cell>
          <cell r="E223">
            <v>0</v>
          </cell>
          <cell r="F223">
            <v>0</v>
          </cell>
          <cell r="G223">
            <v>0</v>
          </cell>
          <cell r="H223">
            <v>0</v>
          </cell>
        </row>
        <row r="224">
          <cell r="A224">
            <v>34136</v>
          </cell>
          <cell r="B224" t="str">
            <v>Lote 24</v>
          </cell>
          <cell r="C224" t="str">
            <v>Venda</v>
          </cell>
          <cell r="E224">
            <v>0</v>
          </cell>
          <cell r="F224">
            <v>0</v>
          </cell>
          <cell r="G224">
            <v>0</v>
          </cell>
          <cell r="H224">
            <v>0</v>
          </cell>
        </row>
        <row r="225">
          <cell r="A225">
            <v>34136</v>
          </cell>
          <cell r="B225" t="str">
            <v>Lote 25</v>
          </cell>
          <cell r="C225" t="str">
            <v>Venda</v>
          </cell>
          <cell r="E225">
            <v>0</v>
          </cell>
          <cell r="F225">
            <v>0</v>
          </cell>
          <cell r="G225">
            <v>0</v>
          </cell>
          <cell r="H225">
            <v>0</v>
          </cell>
        </row>
        <row r="226">
          <cell r="A226">
            <v>34136</v>
          </cell>
          <cell r="B226" t="str">
            <v>Lote 26</v>
          </cell>
          <cell r="C226" t="str">
            <v>Venda</v>
          </cell>
          <cell r="E226">
            <v>0</v>
          </cell>
          <cell r="F226">
            <v>0</v>
          </cell>
          <cell r="G226">
            <v>0</v>
          </cell>
          <cell r="H226">
            <v>0</v>
          </cell>
        </row>
        <row r="227">
          <cell r="A227">
            <v>34136</v>
          </cell>
          <cell r="B227" t="str">
            <v>Lote 27</v>
          </cell>
          <cell r="C227" t="str">
            <v>Venda</v>
          </cell>
          <cell r="E227">
            <v>0</v>
          </cell>
          <cell r="F227">
            <v>0</v>
          </cell>
          <cell r="G227">
            <v>0</v>
          </cell>
          <cell r="H227">
            <v>0</v>
          </cell>
        </row>
        <row r="228">
          <cell r="A228">
            <v>34136</v>
          </cell>
          <cell r="B228" t="str">
            <v>Lote 28</v>
          </cell>
          <cell r="C228" t="str">
            <v>Venda</v>
          </cell>
          <cell r="E228">
            <v>0</v>
          </cell>
          <cell r="F228">
            <v>0</v>
          </cell>
          <cell r="G228">
            <v>0</v>
          </cell>
          <cell r="H228">
            <v>0</v>
          </cell>
        </row>
        <row r="229">
          <cell r="A229">
            <v>22500</v>
          </cell>
          <cell r="B229" t="str">
            <v>Lote Balneário Costa Azul</v>
          </cell>
          <cell r="C229" t="str">
            <v>Venda</v>
          </cell>
          <cell r="E229">
            <v>0</v>
          </cell>
          <cell r="F229">
            <v>0</v>
          </cell>
          <cell r="G229">
            <v>0</v>
          </cell>
          <cell r="H229">
            <v>0</v>
          </cell>
        </row>
        <row r="230">
          <cell r="A230">
            <v>22500</v>
          </cell>
          <cell r="B230" t="str">
            <v>Lote Balneário Costa Azul</v>
          </cell>
          <cell r="C230" t="str">
            <v>Venda</v>
          </cell>
          <cell r="E230">
            <v>0</v>
          </cell>
          <cell r="F230">
            <v>0</v>
          </cell>
          <cell r="G230">
            <v>0</v>
          </cell>
          <cell r="H230">
            <v>0</v>
          </cell>
        </row>
        <row r="231">
          <cell r="A231">
            <v>22500</v>
          </cell>
          <cell r="B231" t="str">
            <v>Lote Balneário Costa Azul</v>
          </cell>
          <cell r="C231" t="str">
            <v>Venda</v>
          </cell>
          <cell r="E231">
            <v>0</v>
          </cell>
          <cell r="F231">
            <v>0</v>
          </cell>
          <cell r="G231">
            <v>0</v>
          </cell>
          <cell r="H231">
            <v>0</v>
          </cell>
        </row>
        <row r="232">
          <cell r="A232">
            <v>28103</v>
          </cell>
          <cell r="B232" t="str">
            <v>Lote Balneário La Plata</v>
          </cell>
          <cell r="C232" t="str">
            <v>Venda</v>
          </cell>
          <cell r="E232">
            <v>0</v>
          </cell>
          <cell r="F232">
            <v>0</v>
          </cell>
          <cell r="G232">
            <v>0</v>
          </cell>
          <cell r="H232">
            <v>0</v>
          </cell>
        </row>
        <row r="233">
          <cell r="A233">
            <v>30771</v>
          </cell>
          <cell r="B233" t="str">
            <v>Nilo Peçanha 3660 - Esquina - Antiga Residência Irmãos</v>
          </cell>
          <cell r="C233" t="str">
            <v>Venda</v>
          </cell>
          <cell r="E233">
            <v>500</v>
          </cell>
          <cell r="F233">
            <v>500</v>
          </cell>
          <cell r="G233">
            <v>0</v>
          </cell>
          <cell r="H233">
            <v>0</v>
          </cell>
        </row>
        <row r="234">
          <cell r="A234">
            <v>43084</v>
          </cell>
          <cell r="B234" t="str">
            <v>Nucleo de Práticas Jurídicas - NPJ Curitiba</v>
          </cell>
          <cell r="C234" t="str">
            <v>Operacional - PUC</v>
          </cell>
          <cell r="E234">
            <v>395.5</v>
          </cell>
          <cell r="F234">
            <v>395.5</v>
          </cell>
          <cell r="G234">
            <v>0</v>
          </cell>
          <cell r="H234">
            <v>0</v>
          </cell>
        </row>
        <row r="235">
          <cell r="A235">
            <v>32560</v>
          </cell>
          <cell r="B235" t="str">
            <v>Postulado de Londrina</v>
          </cell>
          <cell r="C235" t="str">
            <v>Venda</v>
          </cell>
          <cell r="E235">
            <v>2898.04</v>
          </cell>
          <cell r="F235">
            <v>2898.04</v>
          </cell>
          <cell r="G235">
            <v>0</v>
          </cell>
          <cell r="H235">
            <v>0</v>
          </cell>
          <cell r="I235" t="str">
            <v>iptu</v>
          </cell>
        </row>
        <row r="236">
          <cell r="A236">
            <v>40233</v>
          </cell>
          <cell r="B236" t="str">
            <v>PRÉDIO SALGADO FILHO</v>
          </cell>
          <cell r="C236" t="str">
            <v>Operacional - Saúde</v>
          </cell>
          <cell r="E236">
            <v>4217.3</v>
          </cell>
          <cell r="F236">
            <v>4217.3</v>
          </cell>
          <cell r="G236">
            <v>0</v>
          </cell>
          <cell r="H236">
            <v>0</v>
          </cell>
        </row>
        <row r="237">
          <cell r="A237">
            <v>43084</v>
          </cell>
          <cell r="B237" t="str">
            <v>Proação Fazenda Rio Grande</v>
          </cell>
          <cell r="C237" t="str">
            <v>Operacional - RMS</v>
          </cell>
          <cell r="E237">
            <v>0</v>
          </cell>
          <cell r="F237">
            <v>0</v>
          </cell>
          <cell r="G237">
            <v>0</v>
          </cell>
          <cell r="H237">
            <v>0</v>
          </cell>
        </row>
        <row r="238">
          <cell r="A238">
            <v>43084</v>
          </cell>
          <cell r="B238" t="str">
            <v>Proação Fazenda Rio Grande</v>
          </cell>
          <cell r="C238" t="str">
            <v>Operacional - RMS</v>
          </cell>
          <cell r="E238">
            <v>0</v>
          </cell>
          <cell r="F238">
            <v>0</v>
          </cell>
          <cell r="G238">
            <v>0</v>
          </cell>
          <cell r="H238">
            <v>0</v>
          </cell>
        </row>
        <row r="239">
          <cell r="A239">
            <v>43084</v>
          </cell>
          <cell r="B239" t="str">
            <v>Proação Fazenda Rio Grande</v>
          </cell>
          <cell r="C239" t="str">
            <v>Operacional - RMS</v>
          </cell>
          <cell r="E239">
            <v>0</v>
          </cell>
          <cell r="F239">
            <v>0</v>
          </cell>
          <cell r="G239">
            <v>0</v>
          </cell>
          <cell r="H239">
            <v>0</v>
          </cell>
        </row>
        <row r="240">
          <cell r="A240">
            <v>43084</v>
          </cell>
          <cell r="B240" t="str">
            <v>Proação Fazenda Rio Grande</v>
          </cell>
          <cell r="C240" t="str">
            <v>Operacional - RMS</v>
          </cell>
          <cell r="E240">
            <v>0</v>
          </cell>
          <cell r="F240">
            <v>0</v>
          </cell>
          <cell r="G240">
            <v>0</v>
          </cell>
          <cell r="H240">
            <v>0</v>
          </cell>
        </row>
        <row r="241">
          <cell r="A241">
            <v>43084</v>
          </cell>
          <cell r="B241" t="str">
            <v>Proação Fazenda Rio Grande</v>
          </cell>
          <cell r="C241" t="str">
            <v>Operacional - RMS</v>
          </cell>
          <cell r="E241">
            <v>0</v>
          </cell>
          <cell r="F241">
            <v>0</v>
          </cell>
          <cell r="G241">
            <v>0</v>
          </cell>
          <cell r="H241">
            <v>0</v>
          </cell>
        </row>
        <row r="242">
          <cell r="A242">
            <v>43084</v>
          </cell>
          <cell r="B242" t="str">
            <v>Proação Fazenda Rio Grande</v>
          </cell>
          <cell r="C242" t="str">
            <v>Operacional - RMS</v>
          </cell>
          <cell r="E242">
            <v>0</v>
          </cell>
          <cell r="F242">
            <v>0</v>
          </cell>
          <cell r="G242">
            <v>0</v>
          </cell>
          <cell r="H242">
            <v>0</v>
          </cell>
        </row>
        <row r="243">
          <cell r="A243">
            <v>43084</v>
          </cell>
          <cell r="B243" t="str">
            <v>Proação Fazenda Rio Grande</v>
          </cell>
          <cell r="C243" t="str">
            <v>Operacional - RMS</v>
          </cell>
          <cell r="E243">
            <v>0</v>
          </cell>
          <cell r="F243">
            <v>0</v>
          </cell>
          <cell r="G243">
            <v>0</v>
          </cell>
          <cell r="H243">
            <v>0</v>
          </cell>
        </row>
        <row r="244">
          <cell r="A244">
            <v>43084</v>
          </cell>
          <cell r="B244" t="str">
            <v>Proação Fazenda Rio Grande</v>
          </cell>
          <cell r="C244" t="str">
            <v>Operacional - RMS</v>
          </cell>
          <cell r="E244">
            <v>0</v>
          </cell>
          <cell r="F244">
            <v>0</v>
          </cell>
          <cell r="G244">
            <v>0</v>
          </cell>
          <cell r="H244">
            <v>0</v>
          </cell>
        </row>
        <row r="245">
          <cell r="A245">
            <v>43084</v>
          </cell>
          <cell r="B245" t="str">
            <v>Proação Fazenda Rio Grande</v>
          </cell>
          <cell r="C245" t="str">
            <v>Operacional - RMS</v>
          </cell>
          <cell r="E245">
            <v>0</v>
          </cell>
          <cell r="F245">
            <v>0</v>
          </cell>
          <cell r="G245">
            <v>0</v>
          </cell>
          <cell r="H245">
            <v>0</v>
          </cell>
        </row>
        <row r="246">
          <cell r="A246">
            <v>43084</v>
          </cell>
          <cell r="B246" t="str">
            <v>Proação Fazenda Rio Grande</v>
          </cell>
          <cell r="C246" t="str">
            <v>Operacional - RMS</v>
          </cell>
          <cell r="E246">
            <v>0</v>
          </cell>
          <cell r="F246">
            <v>0</v>
          </cell>
          <cell r="G246">
            <v>0</v>
          </cell>
          <cell r="H246">
            <v>0</v>
          </cell>
        </row>
        <row r="247">
          <cell r="A247">
            <v>36587</v>
          </cell>
          <cell r="B247" t="str">
            <v>PUC Campus São José dos Pinhais</v>
          </cell>
          <cell r="C247" t="str">
            <v>Renda</v>
          </cell>
          <cell r="E247">
            <v>0</v>
          </cell>
          <cell r="F247">
            <v>0</v>
          </cell>
          <cell r="G247">
            <v>0</v>
          </cell>
          <cell r="H247">
            <v>0</v>
          </cell>
        </row>
        <row r="248">
          <cell r="A248">
            <v>34766</v>
          </cell>
          <cell r="B248" t="str">
            <v>PUC Campus São José dos Pinhais</v>
          </cell>
          <cell r="C248" t="str">
            <v>Vazio</v>
          </cell>
          <cell r="E248">
            <v>0</v>
          </cell>
          <cell r="F248">
            <v>0</v>
          </cell>
          <cell r="G248">
            <v>0</v>
          </cell>
          <cell r="H248">
            <v>0</v>
          </cell>
        </row>
        <row r="249">
          <cell r="A249">
            <v>34766</v>
          </cell>
          <cell r="B249" t="str">
            <v>PUC Campus São José dos Pinhais</v>
          </cell>
          <cell r="C249" t="str">
            <v>Vazio</v>
          </cell>
          <cell r="E249">
            <v>0</v>
          </cell>
          <cell r="F249">
            <v>0</v>
          </cell>
          <cell r="G249">
            <v>0</v>
          </cell>
          <cell r="H249">
            <v>0</v>
          </cell>
        </row>
        <row r="250">
          <cell r="A250">
            <v>35060</v>
          </cell>
          <cell r="B250" t="str">
            <v>PUC Campus São José dos Pinhais</v>
          </cell>
          <cell r="C250" t="str">
            <v>Vazio</v>
          </cell>
          <cell r="E250">
            <v>7334.33</v>
          </cell>
          <cell r="F250">
            <v>7334.33</v>
          </cell>
          <cell r="G250">
            <v>0</v>
          </cell>
          <cell r="H250">
            <v>0</v>
          </cell>
        </row>
        <row r="251">
          <cell r="A251">
            <v>27024</v>
          </cell>
          <cell r="B251" t="str">
            <v>Recanto - Colégio Arquidiocesano</v>
          </cell>
          <cell r="C251" t="str">
            <v>Operacional - Colégio</v>
          </cell>
          <cell r="E251">
            <v>5794.25</v>
          </cell>
          <cell r="F251">
            <v>5794.25</v>
          </cell>
          <cell r="G251">
            <v>0</v>
          </cell>
          <cell r="H251">
            <v>0</v>
          </cell>
        </row>
        <row r="252">
          <cell r="A252">
            <v>22378</v>
          </cell>
          <cell r="B252" t="str">
            <v>Recanto - Colégio Marista Santa Maria</v>
          </cell>
          <cell r="C252" t="str">
            <v>Operacional - Colégio</v>
          </cell>
          <cell r="E252">
            <v>0</v>
          </cell>
          <cell r="F252">
            <v>0</v>
          </cell>
          <cell r="G252">
            <v>0</v>
          </cell>
          <cell r="H252">
            <v>0</v>
          </cell>
        </row>
        <row r="253">
          <cell r="A253" t="str">
            <v>-</v>
          </cell>
          <cell r="B253" t="str">
            <v>RECANTO MARISTA</v>
          </cell>
          <cell r="C253" t="str">
            <v>Operacional - Colégio</v>
          </cell>
          <cell r="E253">
            <v>1588.98</v>
          </cell>
          <cell r="F253">
            <v>1588.98</v>
          </cell>
          <cell r="G253">
            <v>0</v>
          </cell>
          <cell r="H253">
            <v>0</v>
          </cell>
        </row>
        <row r="254">
          <cell r="A254">
            <v>29867</v>
          </cell>
          <cell r="B254" t="str">
            <v>Recanto Marista - Chácara Do Colégio Pio XII</v>
          </cell>
          <cell r="C254" t="str">
            <v>Operacional - Colégio</v>
          </cell>
          <cell r="E254">
            <v>0</v>
          </cell>
          <cell r="F254">
            <v>0</v>
          </cell>
          <cell r="G254">
            <v>0</v>
          </cell>
          <cell r="H254">
            <v>0</v>
          </cell>
        </row>
        <row r="255">
          <cell r="A255">
            <v>29867</v>
          </cell>
          <cell r="B255" t="str">
            <v>Recanto Marista - Chácara Do Colégio Pio XII</v>
          </cell>
          <cell r="C255" t="str">
            <v>Operacional - Colégio</v>
          </cell>
          <cell r="E255">
            <v>0</v>
          </cell>
          <cell r="F255">
            <v>0</v>
          </cell>
          <cell r="G255">
            <v>0</v>
          </cell>
          <cell r="H255">
            <v>0</v>
          </cell>
        </row>
        <row r="256">
          <cell r="A256">
            <v>29867</v>
          </cell>
          <cell r="B256" t="str">
            <v>Recanto Marista - Chácara Do Colégio Pio XII</v>
          </cell>
          <cell r="C256" t="str">
            <v>Operacional - Colégio</v>
          </cell>
          <cell r="E256">
            <v>0</v>
          </cell>
          <cell r="F256">
            <v>0</v>
          </cell>
          <cell r="G256">
            <v>0</v>
          </cell>
          <cell r="H256">
            <v>0</v>
          </cell>
        </row>
        <row r="257">
          <cell r="A257">
            <v>30544</v>
          </cell>
          <cell r="B257" t="str">
            <v>Recanto Marista - Colégio Marista de Londrina</v>
          </cell>
          <cell r="C257" t="str">
            <v>Operacional - Colégio</v>
          </cell>
          <cell r="E257">
            <v>0</v>
          </cell>
          <cell r="F257">
            <v>0</v>
          </cell>
          <cell r="G257">
            <v>0</v>
          </cell>
          <cell r="H257">
            <v>0</v>
          </cell>
        </row>
        <row r="258">
          <cell r="A258">
            <v>40135</v>
          </cell>
          <cell r="B258" t="str">
            <v>Recanto Marista - Instituto Medianeira</v>
          </cell>
          <cell r="C258" t="str">
            <v>Venda</v>
          </cell>
          <cell r="E258">
            <v>0</v>
          </cell>
          <cell r="F258">
            <v>0</v>
          </cell>
          <cell r="G258">
            <v>0</v>
          </cell>
          <cell r="H258">
            <v>0</v>
          </cell>
        </row>
        <row r="259">
          <cell r="A259">
            <v>27513</v>
          </cell>
          <cell r="B259" t="str">
            <v>Recanto Marista - Instituto Medianeira</v>
          </cell>
          <cell r="C259" t="str">
            <v>Venda</v>
          </cell>
          <cell r="E259">
            <v>4273</v>
          </cell>
          <cell r="F259">
            <v>4273</v>
          </cell>
          <cell r="G259">
            <v>0</v>
          </cell>
          <cell r="H259">
            <v>0</v>
          </cell>
        </row>
        <row r="260">
          <cell r="A260">
            <v>33960</v>
          </cell>
          <cell r="B260" t="str">
            <v>RESIDÊNCIA</v>
          </cell>
          <cell r="C260" t="str">
            <v>Venda</v>
          </cell>
          <cell r="E260">
            <v>265.93</v>
          </cell>
          <cell r="F260">
            <v>265.93</v>
          </cell>
          <cell r="G260">
            <v>0</v>
          </cell>
          <cell r="H260">
            <v>0</v>
          </cell>
        </row>
        <row r="261">
          <cell r="B261" t="str">
            <v>Recanto Marista - Colégio Marista de Londrina</v>
          </cell>
          <cell r="E261">
            <v>1451.65</v>
          </cell>
          <cell r="F261">
            <v>1451.65</v>
          </cell>
          <cell r="G261">
            <v>0</v>
          </cell>
          <cell r="H261">
            <v>0</v>
          </cell>
        </row>
        <row r="262">
          <cell r="A262">
            <v>32177</v>
          </cell>
          <cell r="B262" t="str">
            <v>RESIDÊNCIA MARISTA - AP. 04° ANDAR</v>
          </cell>
          <cell r="C262" t="str">
            <v>Vida Consagrada</v>
          </cell>
          <cell r="E262">
            <v>72.87</v>
          </cell>
          <cell r="F262">
            <v>373.01</v>
          </cell>
          <cell r="G262">
            <v>0</v>
          </cell>
          <cell r="H262">
            <v>0</v>
          </cell>
        </row>
        <row r="263">
          <cell r="A263">
            <v>36227</v>
          </cell>
          <cell r="B263" t="str">
            <v>Residência Marista de Brasilia</v>
          </cell>
          <cell r="C263" t="str">
            <v>Vida Consagrada</v>
          </cell>
          <cell r="E263">
            <v>473.82</v>
          </cell>
          <cell r="F263">
            <v>473.82</v>
          </cell>
          <cell r="G263">
            <v>0</v>
          </cell>
          <cell r="H263">
            <v>0</v>
          </cell>
        </row>
        <row r="264">
          <cell r="A264">
            <v>35748</v>
          </cell>
          <cell r="B264" t="str">
            <v>Residência Marista de Cascavel</v>
          </cell>
          <cell r="C264" t="str">
            <v>Vida Consagrada</v>
          </cell>
          <cell r="E264">
            <v>226.18</v>
          </cell>
          <cell r="F264">
            <v>226.18</v>
          </cell>
          <cell r="G264">
            <v>0</v>
          </cell>
          <cell r="H264">
            <v>0</v>
          </cell>
        </row>
        <row r="265">
          <cell r="A265">
            <v>35748</v>
          </cell>
          <cell r="B265" t="str">
            <v>Residência Marista de Cascavel</v>
          </cell>
          <cell r="C265" t="str">
            <v>Vida Consagrada</v>
          </cell>
          <cell r="E265">
            <v>226.18</v>
          </cell>
          <cell r="F265">
            <v>226.18</v>
          </cell>
          <cell r="G265">
            <v>0</v>
          </cell>
          <cell r="H265">
            <v>0</v>
          </cell>
        </row>
        <row r="266">
          <cell r="A266">
            <v>34887</v>
          </cell>
          <cell r="B266" t="str">
            <v>Residência Marista de Itapejara D'oeste</v>
          </cell>
          <cell r="C266" t="str">
            <v>Vida Consagrada</v>
          </cell>
          <cell r="E266">
            <v>0</v>
          </cell>
          <cell r="F266">
            <v>0</v>
          </cell>
          <cell r="G266">
            <v>0</v>
          </cell>
          <cell r="H266">
            <v>0</v>
          </cell>
        </row>
        <row r="267">
          <cell r="A267">
            <v>31336</v>
          </cell>
          <cell r="B267" t="str">
            <v>Residência Marista de Maringá</v>
          </cell>
          <cell r="C267" t="str">
            <v>Vida Consagrada</v>
          </cell>
          <cell r="E267">
            <v>0</v>
          </cell>
          <cell r="F267">
            <v>510.63</v>
          </cell>
          <cell r="G267">
            <v>0</v>
          </cell>
          <cell r="H267">
            <v>0</v>
          </cell>
        </row>
        <row r="268">
          <cell r="A268">
            <v>35767</v>
          </cell>
          <cell r="B268" t="str">
            <v>Residência Marista de São José dos Pinhais</v>
          </cell>
          <cell r="C268" t="str">
            <v>Vida Consagrada</v>
          </cell>
          <cell r="E268">
            <v>2015.47</v>
          </cell>
          <cell r="F268">
            <v>2015.47</v>
          </cell>
          <cell r="G268">
            <v>0</v>
          </cell>
          <cell r="H268">
            <v>0</v>
          </cell>
          <cell r="I268" t="str">
            <v>iptu</v>
          </cell>
        </row>
        <row r="269">
          <cell r="A269">
            <v>36077</v>
          </cell>
          <cell r="B269" t="str">
            <v>Residência Marista de São José dos Pinhais</v>
          </cell>
          <cell r="C269" t="str">
            <v>Vida Consagrada</v>
          </cell>
          <cell r="E269">
            <v>0</v>
          </cell>
          <cell r="F269">
            <v>0</v>
          </cell>
          <cell r="G269">
            <v>0</v>
          </cell>
          <cell r="H269">
            <v>0</v>
          </cell>
        </row>
        <row r="270">
          <cell r="A270">
            <v>37824</v>
          </cell>
          <cell r="B270" t="str">
            <v>Residência Provincial Curitiba</v>
          </cell>
          <cell r="C270" t="str">
            <v>Vida Consagrada</v>
          </cell>
          <cell r="E270">
            <v>2065.8000000000002</v>
          </cell>
          <cell r="F270">
            <v>2065.8000000000002</v>
          </cell>
          <cell r="G270">
            <v>0</v>
          </cell>
          <cell r="H270">
            <v>0</v>
          </cell>
        </row>
        <row r="271">
          <cell r="A271" t="str">
            <v>-</v>
          </cell>
          <cell r="B271" t="str">
            <v>Residência Provincial Curitiba</v>
          </cell>
          <cell r="C271" t="str">
            <v>Vida Consagrada</v>
          </cell>
          <cell r="E271">
            <v>835</v>
          </cell>
          <cell r="F271">
            <v>835</v>
          </cell>
          <cell r="G271">
            <v>0</v>
          </cell>
          <cell r="H271">
            <v>0</v>
          </cell>
        </row>
        <row r="272">
          <cell r="A272">
            <v>30225</v>
          </cell>
          <cell r="B272" t="str">
            <v>Residência Universitária Marista - RUM - Curitiba</v>
          </cell>
          <cell r="C272" t="str">
            <v>Vida Consagrada</v>
          </cell>
          <cell r="E272">
            <v>923.7</v>
          </cell>
          <cell r="F272">
            <v>923.7</v>
          </cell>
          <cell r="G272">
            <v>0</v>
          </cell>
          <cell r="H272">
            <v>0</v>
          </cell>
        </row>
        <row r="273">
          <cell r="A273" t="str">
            <v>-</v>
          </cell>
          <cell r="B273" t="str">
            <v>Residencial Ecológico Orleans - fundos da Rua Helmut Strelow</v>
          </cell>
          <cell r="C273" t="str">
            <v>Vazio</v>
          </cell>
          <cell r="E273">
            <v>0</v>
          </cell>
          <cell r="F273">
            <v>0</v>
          </cell>
          <cell r="G273">
            <v>0</v>
          </cell>
          <cell r="H273">
            <v>0</v>
          </cell>
          <cell r="I273" t="str">
            <v>não existe construção</v>
          </cell>
        </row>
        <row r="274">
          <cell r="A274">
            <v>29064</v>
          </cell>
          <cell r="B274" t="str">
            <v>Rio Quente - Lote</v>
          </cell>
          <cell r="C274" t="str">
            <v>Vazio</v>
          </cell>
          <cell r="E274">
            <v>0</v>
          </cell>
          <cell r="F274">
            <v>0</v>
          </cell>
          <cell r="G274">
            <v>0</v>
          </cell>
          <cell r="H274">
            <v>0</v>
          </cell>
          <cell r="I274" t="str">
            <v>não existe construção</v>
          </cell>
        </row>
        <row r="275">
          <cell r="A275">
            <v>37587</v>
          </cell>
          <cell r="B275" t="str">
            <v>Rua Aquidabam</v>
          </cell>
          <cell r="C275" t="str">
            <v>Venda</v>
          </cell>
          <cell r="E275">
            <v>104.24000000000001</v>
          </cell>
          <cell r="F275">
            <v>0</v>
          </cell>
          <cell r="G275">
            <v>0</v>
          </cell>
          <cell r="H275">
            <v>0</v>
          </cell>
        </row>
        <row r="276">
          <cell r="A276" t="str">
            <v>-</v>
          </cell>
          <cell r="B276" t="str">
            <v>Rua Benjamin Constant</v>
          </cell>
          <cell r="C276" t="str">
            <v>Vazio</v>
          </cell>
          <cell r="E276">
            <v>0</v>
          </cell>
          <cell r="F276">
            <v>0</v>
          </cell>
          <cell r="G276">
            <v>0</v>
          </cell>
          <cell r="H276">
            <v>0</v>
          </cell>
          <cell r="I276" t="str">
            <v>nada consta</v>
          </cell>
        </row>
        <row r="277">
          <cell r="A277">
            <v>43084</v>
          </cell>
          <cell r="B277" t="str">
            <v>Sobrado - CEDIN (Centro de Defesa )</v>
          </cell>
          <cell r="C277" t="str">
            <v>Operacional - RMS</v>
          </cell>
          <cell r="E277">
            <v>300.3</v>
          </cell>
          <cell r="F277">
            <v>300.3</v>
          </cell>
          <cell r="G277">
            <v>0</v>
          </cell>
          <cell r="H277">
            <v>0</v>
          </cell>
        </row>
        <row r="278">
          <cell r="A278">
            <v>36976</v>
          </cell>
          <cell r="B278" t="str">
            <v>Terreno Dom Aquino</v>
          </cell>
          <cell r="C278" t="str">
            <v>Venda</v>
          </cell>
          <cell r="E278">
            <v>0</v>
          </cell>
          <cell r="F278">
            <v>0</v>
          </cell>
          <cell r="G278">
            <v>0</v>
          </cell>
          <cell r="H278">
            <v>0</v>
          </cell>
        </row>
        <row r="279">
          <cell r="A279">
            <v>43084</v>
          </cell>
          <cell r="B279" t="str">
            <v>Terreno Padres Maristas</v>
          </cell>
          <cell r="C279" t="str">
            <v>Operacional - RMS</v>
          </cell>
          <cell r="E279">
            <v>0</v>
          </cell>
          <cell r="F279">
            <v>0</v>
          </cell>
          <cell r="G279">
            <v>0</v>
          </cell>
          <cell r="H279">
            <v>0</v>
          </cell>
        </row>
      </sheetData>
      <sheetData sheetId="6"/>
      <sheetData sheetId="7"/>
      <sheetData sheetId="8"/>
      <sheetData sheetId="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dro de Sousa Vieira" refreshedDate="44225.816606828703" createdVersion="6" refreshedVersion="6" minRefreshableVersion="3" recordCount="1017" xr:uid="{F43F18DA-E50A-425A-BA99-C19440EC7A26}">
  <cacheSource type="worksheet">
    <worksheetSource name="BD_Regularização"/>
  </cacheSource>
  <cacheFields count="20">
    <cacheField name="Matricula" numFmtId="0">
      <sharedItems containsMixedTypes="1" containsNumber="1" containsInteger="1" minValue="378" maxValue="346579" count="555">
        <n v="378"/>
        <n v="379"/>
        <n v="380"/>
        <n v="470"/>
        <n v="645"/>
        <n v="646"/>
        <n v="697"/>
        <n v="1249"/>
        <n v="1308"/>
        <n v="1639"/>
        <n v="1699"/>
        <n v="2080"/>
        <n v="2197"/>
        <n v="2717"/>
        <n v="3346"/>
        <n v="3467"/>
        <n v="3487"/>
        <n v="3658"/>
        <n v="3682"/>
        <n v="3877"/>
        <n v="3962"/>
        <n v="4373"/>
        <n v="4603"/>
        <n v="4638"/>
        <n v="4942"/>
        <n v="5240"/>
        <n v="5255"/>
        <n v="5256"/>
        <n v="5463"/>
        <n v="5566"/>
        <n v="5612"/>
        <n v="5709"/>
        <n v="5721"/>
        <n v="6010"/>
        <n v="6011"/>
        <n v="6012"/>
        <n v="6013"/>
        <n v="6014"/>
        <n v="6015"/>
        <n v="6016"/>
        <n v="6017"/>
        <n v="6018"/>
        <n v="6019"/>
        <n v="6222"/>
        <n v="6234"/>
        <n v="6303"/>
        <n v="6360"/>
        <n v="6687"/>
        <n v="6688"/>
        <n v="6689"/>
        <n v="6966"/>
        <n v="7067"/>
        <n v="7323"/>
        <n v="7397"/>
        <n v="7589"/>
        <n v="7837"/>
        <n v="8125"/>
        <n v="8348"/>
        <n v="8644"/>
        <n v="8675"/>
        <n v="8794"/>
        <n v="8795"/>
        <n v="8796"/>
        <n v="8851"/>
        <n v="8852"/>
        <n v="8853"/>
        <n v="9057"/>
        <n v="9228"/>
        <n v="9386"/>
        <n v="9387"/>
        <n v="9388"/>
        <n v="9389"/>
        <n v="9443"/>
        <n v="9469"/>
        <n v="9645"/>
        <n v="9646"/>
        <n v="9654"/>
        <n v="9655"/>
        <n v="9656"/>
        <n v="9657"/>
        <n v="9658"/>
        <n v="9659"/>
        <n v="10487"/>
        <n v="10858"/>
        <n v="10985"/>
        <n v="11884"/>
        <n v="12452"/>
        <n v="12469"/>
        <n v="13392"/>
        <n v="13431"/>
        <n v="13441"/>
        <n v="13442"/>
        <n v="13582"/>
        <n v="13896"/>
        <n v="14216"/>
        <n v="14454"/>
        <n v="14483"/>
        <n v="14484"/>
        <n v="14485"/>
        <n v="14486"/>
        <n v="14487"/>
        <n v="14488"/>
        <n v="14900"/>
        <n v="14959"/>
        <n v="14960"/>
        <n v="14961"/>
        <n v="14962"/>
        <n v="14977"/>
        <n v="15026"/>
        <n v="15171"/>
        <n v="15224"/>
        <n v="16022"/>
        <n v="16267"/>
        <n v="16272"/>
        <n v="16310"/>
        <n v="16311"/>
        <n v="16316"/>
        <n v="16319"/>
        <n v="16324"/>
        <n v="16327"/>
        <n v="16328"/>
        <n v="16329"/>
        <n v="16330"/>
        <n v="16331"/>
        <n v="16818"/>
        <n v="17138"/>
        <n v="17236"/>
        <n v="17253"/>
        <n v="17352"/>
        <n v="17388"/>
        <n v="17389"/>
        <n v="17390"/>
        <n v="17391"/>
        <n v="17392"/>
        <n v="17393"/>
        <n v="17617"/>
        <n v="17792"/>
        <n v="17931"/>
        <n v="17934"/>
        <n v="18217"/>
        <n v="18524"/>
        <n v="18657"/>
        <n v="19631"/>
        <n v="20131"/>
        <n v="20132"/>
        <n v="20135"/>
        <n v="20136"/>
        <n v="20182"/>
        <n v="20778"/>
        <n v="20836"/>
        <n v="21691"/>
        <n v="21757"/>
        <n v="21907"/>
        <n v="22210"/>
        <n v="22230"/>
        <n v="22927"/>
        <n v="23299"/>
        <n v="23587"/>
        <n v="24025"/>
        <n v="25725"/>
        <n v="25750"/>
        <n v="26006"/>
        <n v="26007"/>
        <n v="26008"/>
        <n v="26984"/>
        <n v="27532"/>
        <n v="27990"/>
        <n v="28464"/>
        <n v="28579"/>
        <n v="28897"/>
        <n v="28960"/>
        <n v="30431"/>
        <n v="30444"/>
        <n v="30934"/>
        <n v="31225"/>
        <n v="31855"/>
        <n v="32053"/>
        <n v="32953"/>
        <n v="32954"/>
        <n v="33748"/>
        <n v="34398"/>
        <n v="35206"/>
        <n v="35234"/>
        <n v="35291"/>
        <n v="35714"/>
        <n v="36143"/>
        <n v="37020"/>
        <n v="37021"/>
        <n v="37022"/>
        <n v="37023"/>
        <n v="37024"/>
        <n v="37025"/>
        <n v="37550"/>
        <n v="37551"/>
        <n v="37552"/>
        <n v="37553"/>
        <n v="37554"/>
        <n v="37756"/>
        <n v="38114"/>
        <n v="40052"/>
        <n v="40053"/>
        <n v="40125"/>
        <n v="40452"/>
        <n v="40754"/>
        <n v="40755"/>
        <n v="40756"/>
        <n v="40757"/>
        <n v="40776"/>
        <n v="40855"/>
        <n v="41002"/>
        <n v="41998"/>
        <n v="42520"/>
        <n v="42613"/>
        <n v="42914"/>
        <n v="43247"/>
        <n v="43780"/>
        <n v="43994"/>
        <n v="44030"/>
        <n v="44587"/>
        <n v="44588"/>
        <n v="44589"/>
        <n v="44590"/>
        <n v="44591"/>
        <n v="44592"/>
        <n v="44593"/>
        <n v="44594"/>
        <n v="44595"/>
        <n v="44596"/>
        <n v="44597"/>
        <n v="44598"/>
        <n v="44599"/>
        <n v="44600"/>
        <n v="44601"/>
        <n v="44602"/>
        <n v="44603"/>
        <n v="44604"/>
        <n v="44605"/>
        <n v="44606"/>
        <n v="44607"/>
        <n v="44608"/>
        <n v="44609"/>
        <n v="44610"/>
        <n v="44611"/>
        <n v="44612"/>
        <n v="44613"/>
        <n v="44614"/>
        <n v="44615"/>
        <n v="44616"/>
        <n v="44617"/>
        <n v="44618"/>
        <n v="44619"/>
        <n v="44620"/>
        <n v="44621"/>
        <n v="44622"/>
        <n v="44636"/>
        <n v="44665"/>
        <n v="47637"/>
        <n v="47638"/>
        <n v="47639"/>
        <n v="47640"/>
        <n v="47941"/>
        <n v="47942"/>
        <n v="48347"/>
        <n v="48437"/>
        <n v="48499"/>
        <n v="48634"/>
        <n v="48635"/>
        <n v="49260"/>
        <n v="50102"/>
        <n v="50257"/>
        <n v="51921"/>
        <n v="51956"/>
        <n v="51957"/>
        <n v="53234"/>
        <n v="53434"/>
        <n v="53435"/>
        <n v="53442"/>
        <n v="53443"/>
        <n v="53444"/>
        <n v="53448"/>
        <n v="53455"/>
        <n v="53456"/>
        <n v="53457"/>
        <n v="53458"/>
        <n v="53460"/>
        <n v="53495"/>
        <n v="53496"/>
        <n v="53497"/>
        <n v="53498"/>
        <n v="53499"/>
        <n v="53500"/>
        <n v="53501"/>
        <n v="53502"/>
        <n v="53503"/>
        <n v="53504"/>
        <n v="53505"/>
        <n v="53506"/>
        <n v="53507"/>
        <n v="53508"/>
        <n v="53509"/>
        <n v="53510"/>
        <n v="53511"/>
        <n v="53512"/>
        <n v="53513"/>
        <n v="53514"/>
        <n v="53515"/>
        <n v="53516"/>
        <n v="53517"/>
        <n v="53518"/>
        <n v="54581"/>
        <n v="55045"/>
        <n v="56135"/>
        <n v="56292"/>
        <n v="56645"/>
        <n v="56646"/>
        <n v="56647"/>
        <n v="56648"/>
        <n v="56649"/>
        <n v="56650"/>
        <n v="56667"/>
        <n v="56915"/>
        <n v="56956"/>
        <n v="57056"/>
        <n v="57065"/>
        <n v="57547"/>
        <n v="57894"/>
        <n v="58018"/>
        <n v="58020"/>
        <n v="58235"/>
        <n v="58314"/>
        <n v="58315"/>
        <n v="58325"/>
        <n v="58326"/>
        <n v="58333"/>
        <n v="58334"/>
        <n v="58335"/>
        <n v="58342"/>
        <n v="58343"/>
        <n v="58344"/>
        <n v="58345"/>
        <n v="58351"/>
        <n v="58352"/>
        <n v="58367"/>
        <n v="58375"/>
        <n v="58424"/>
        <n v="58515"/>
        <n v="58516"/>
        <n v="58517"/>
        <n v="58518"/>
        <n v="58519"/>
        <n v="58520"/>
        <n v="58521"/>
        <n v="58522"/>
        <n v="60210"/>
        <n v="60422"/>
        <n v="60423"/>
        <n v="60424"/>
        <n v="60425"/>
        <n v="60426"/>
        <n v="60427"/>
        <n v="60428"/>
        <n v="60429"/>
        <n v="60430"/>
        <n v="60431"/>
        <n v="60432"/>
        <n v="60433"/>
        <n v="60434"/>
        <n v="60435"/>
        <n v="60436"/>
        <n v="60437"/>
        <n v="60438"/>
        <n v="60439"/>
        <n v="60440"/>
        <n v="60441"/>
        <n v="60442"/>
        <n v="60443"/>
        <n v="60444"/>
        <n v="60445"/>
        <n v="60446"/>
        <n v="60447"/>
        <n v="60448"/>
        <n v="60449"/>
        <n v="60450"/>
        <n v="60451"/>
        <n v="60452"/>
        <n v="60453"/>
        <n v="60830"/>
        <n v="61893"/>
        <n v="63654"/>
        <n v="63984"/>
        <n v="64532"/>
        <n v="64859"/>
        <n v="65034"/>
        <n v="65913"/>
        <n v="66220"/>
        <n v="67927"/>
        <n v="68804"/>
        <n v="68805"/>
        <n v="70940"/>
        <n v="71808"/>
        <n v="72536"/>
        <n v="76459"/>
        <n v="78230"/>
        <n v="78599"/>
        <n v="78933"/>
        <n v="89394"/>
        <n v="91617"/>
        <n v="91682"/>
        <n v="91683"/>
        <n v="91684"/>
        <n v="91685"/>
        <n v="91686"/>
        <n v="91687"/>
        <n v="91688"/>
        <n v="91689"/>
        <n v="96536"/>
        <n v="103702"/>
        <n v="106982"/>
        <n v="111187"/>
        <n v="118649"/>
        <n v="118963"/>
        <n v="129886"/>
        <n v="129887"/>
        <n v="129888"/>
        <n v="129889"/>
        <n v="167236"/>
        <n v="169306"/>
        <n v="178667"/>
        <n v="195794"/>
        <n v="346579"/>
        <s v="REC-001"/>
        <n v="2635"/>
        <n v="72934"/>
        <n v="9604"/>
        <n v="9606"/>
        <n v="9607"/>
        <n v="9608"/>
        <n v="21418" u="1"/>
        <n v="34020" u="1"/>
        <n v="13764" u="1"/>
        <n v="65914" u="1"/>
        <n v="65032" u="1"/>
        <n v="4738" u="1"/>
        <n v="17416" u="1"/>
        <n v="61881" u="1"/>
        <n v="9620" u="1"/>
        <n v="51544" u="1"/>
        <n v="65033" u="1"/>
        <n v="39696" u="1"/>
        <n v="71846" u="1"/>
        <n v="12741" u="1"/>
        <n v="9621" u="1"/>
        <n v="25014" u="1"/>
        <n v="116225" u="1"/>
        <n v="18207" u="1"/>
        <n v="111058" u="1"/>
        <n v="69332" u="1"/>
        <n v="90007" u="1"/>
        <n v="20855" u="1"/>
        <n v="69335" u="1"/>
        <n v="26150" u="1"/>
        <n v="71985" u="1"/>
        <n v="20919" u="1"/>
        <n v="69338" u="1"/>
        <n v="22684" u="1"/>
        <n v="8009" u="1"/>
        <n v="4004" u="1"/>
        <n v="21865" u="1"/>
        <n v="35293" u="1"/>
        <n v="35294" u="1"/>
        <n v="15170" u="1"/>
        <n v="21647" u="1"/>
        <n v="12224" u="1"/>
        <n v="44061" u="1"/>
        <n v="12335" u="1"/>
        <n v="28583" u="1"/>
        <n v="17143" u="1"/>
        <n v="47216" u="1"/>
        <n v="66463" u="1"/>
        <n v="33917" u="1"/>
        <n v="1425" u="1"/>
        <n v="20863" u="1"/>
        <n v="3347" u="1"/>
        <n v="69242" u="1"/>
        <n v="23763" u="1"/>
        <n v="20297" u="1"/>
        <n v="13629" u="1"/>
        <n v="13393" u="1"/>
        <n v="176603" u="1"/>
        <n v="69376" u="1"/>
        <n v="49178" u="1"/>
        <n v="14985" u="1"/>
        <n v="32086" u="1"/>
        <n v="19858" u="1"/>
        <n v="69380" u="1"/>
        <n v="21592" u="1"/>
        <n v="13394" u="1"/>
        <n v="36196" u="1"/>
        <n v="25595" u="1"/>
        <n v="43824" u="1"/>
        <n v="22318" u="1"/>
        <n v="28968" u="1"/>
        <n v="9613" u="1"/>
        <n v="13395" u="1"/>
        <n v="40802" u="1"/>
        <n v="29442" u="1"/>
        <n v="12529" u="1"/>
        <n v="13396" u="1"/>
        <n v="33118" u="1"/>
        <n v="15461" u="1"/>
        <n v="44149" u="1"/>
        <n v="13397" u="1"/>
        <n v="34570" u="1"/>
        <n v="12247" u="1"/>
        <n v="24152" u="1"/>
        <n v="71807" u="1"/>
        <n v="19866" u="1"/>
        <n v="22104" u="1"/>
        <n v="9616" u="1"/>
        <n v="58021" u="1"/>
        <n v="170129" u="1"/>
        <n v="173408" u="1"/>
        <n v="76099" u="1"/>
        <n v="12721" u="1"/>
        <n v="30867" u="1"/>
        <n v="2155" u="1"/>
        <n v="75094" u="1"/>
        <n v="9617" u="1"/>
        <n v="16125" u="1"/>
        <n v="75095" u="1"/>
        <n v="72322" u="1"/>
        <n v="42393" u="1"/>
        <n v="72323" u="1"/>
        <n v="72324" u="1"/>
        <n v="31656" u="1"/>
        <n v="30900" u="1"/>
        <n v="191580" u="1"/>
        <n v="32878" u="1"/>
        <n v="23463" u="1"/>
        <n v="24377" u="1"/>
        <n v="9618" u="1"/>
        <n v="6762" u="1"/>
        <n v="91618" u="1"/>
        <n v="641" u="1"/>
        <n v="28979" u="1"/>
        <n v="91619" u="1"/>
        <n v="89605" u="1"/>
        <n v="40572" u="1"/>
        <n v="9619" u="1"/>
        <n v="16127" u="1"/>
        <n v="40573" u="1"/>
        <n v="34901" u="1"/>
        <n v="40574" u="1"/>
        <n v="65031" u="1"/>
        <n v="14410" u="1"/>
      </sharedItems>
    </cacheField>
    <cacheField name="Cartório" numFmtId="0">
      <sharedItems containsBlank="1" count="75">
        <s v="Registro de Imóveis de Ipiranga"/>
        <s v="07° Registro de Imóveis de Curitiba"/>
        <s v="Registro de Imóveis de Fazenda Rio Grande"/>
        <s v="Registro de Imóveis de Jaragua do Sul"/>
        <s v="01° Registro de Imóveis do Distrito Federal"/>
        <s v="02° Registro de Imóveis de São Bernardo do Campo"/>
        <s v="01° Registro de Imóveis de Curitiba"/>
        <s v="02° Registro de Imóveis de São José dos Pinhais"/>
        <s v="01° Registro de Imóveis de Guarulhos"/>
        <s v="03° Registro de Imóveis de Florianópolis"/>
        <s v="02° Registro de Imóveis de Maringá "/>
        <s v="02° Registro de Imóveis de Ponta Grossa"/>
        <s v="02° Registro de Imóveis de Joinville"/>
        <s v="Registro de Imóveis de Caldas Novas"/>
        <s v="Registro de Imóveis de Morretes"/>
        <s v="06° Registro de Imóveis do Rio de Janeiro"/>
        <s v="Registro de Imóveis de Porto União"/>
        <s v="Registro de Imóveis de Colombo"/>
        <s v="03° Registro de Imóveis de Curitiba"/>
        <s v="01° Registro de Imóveis de Santos"/>
        <s v="02° Registro de Imóveis de Pato Branco"/>
        <m/>
        <s v="Registro de Imóveis de Antonina"/>
        <s v="01° Registro de Imóveis de Londrina"/>
        <s v="Registro de Imóveis de Altinópolis"/>
        <s v="Registro de Imóveis de São João"/>
        <s v="Registro de Imóveis de Iguape"/>
        <s v="Registro de Imóveis de Caçador"/>
        <s v="Registro de Imóveis de Cajuru"/>
        <s v="02° Registro de Imóveis de Londrina"/>
        <s v="Registro de Imóveis de Paranaguá"/>
        <s v="01° Registro de Imóveis de Ji-Paraná"/>
        <s v="Registro de Imóveis de Monte Santo de Minas"/>
        <s v="01° Registro de Imóveis de Joaçaba"/>
        <s v="Registro de Imóveis de Santa Isabel"/>
        <s v="Registro de Imóveis de Capinzal"/>
        <s v="Registro de Imóveis de Almirante Tamandaré"/>
        <s v="01° Registro de Imóveis de Criciúma"/>
        <s v="06° Registro de Imóveis de São Paulo"/>
        <s v="03° Registro de Imóveis de Cascavel"/>
        <s v="Registro de Imóveis de Dourados"/>
        <s v="04° Registro de Imóveis de Curitiba"/>
        <s v="Registro de Imóveis de Campo Largo"/>
        <s v="01° Registro de Imóveis de São José dos Pinhais"/>
        <s v="Registro de Imóveis de Ubatuba"/>
        <s v="01° Registro de Imóveis de Ponta Grossa"/>
        <s v="Registro de Imóveis de Guaratuba"/>
        <s v="02° Registro de Imóveis de Recife"/>
        <s v="Registro de Imóveis de São José"/>
        <s v="Registro de Imóveis de Chapecó"/>
        <s v="01° Registro de Imóveis de Toledo"/>
        <s v="Registro de Imóveis de Matinhos"/>
        <s v="04° Registro de Imóveis de Belo Horizonte"/>
        <s v="01° Registro de Imóveis de Cascavel"/>
        <s v="01° Registro de Imóveis de Florianópolis"/>
        <s v="02° Registro de Imóveis de Florianópolis"/>
        <s v="03° Registro de Imóveis de Fortaleza"/>
        <s v="06° Registro de Imóveis de Curitiba"/>
        <s v="02° Registro de Imóveis de Fortaleza"/>
        <s v="14° Registro de Imóveis de São Paulo"/>
        <s v="Registro de Imóveis de Valparaíso de Goiás"/>
        <s v="01° Registro de Imóveis de Joinville"/>
        <s v="01° Registro de Imóveis de Ribeirão Preto"/>
        <s v="04° Registro de Imóveis de São Paulo"/>
        <s v="01° Registro de Imóveis de Goiania"/>
        <s v="1 RI - Chapecó"/>
        <s v="3 RI Ponta Grosa"/>
        <s v="RI -DE PORTO UNIÃO-SC"/>
        <s v="2ºRI - PATO BRANCO/PR"/>
        <s v="4ºRI-BELO HORIZONTE/MG"/>
        <s v="2º RI- SÃO JOSÉ DOS PINHAIS/PR"/>
        <s v="1° RI de Joinville "/>
        <s v="1° RI de Florianópolis "/>
        <s v="3° RI de Florianópolis "/>
        <s v="RI - Caçador "/>
      </sharedItems>
    </cacheField>
    <cacheField name="Modalidade" numFmtId="0">
      <sharedItems count="2">
        <s v="Ativo"/>
        <s v="Inativo" u="1"/>
      </sharedItems>
    </cacheField>
    <cacheField name="Empresa de origem" numFmtId="0">
      <sharedItems/>
    </cacheField>
    <cacheField name="PARA" numFmtId="0">
      <sharedItems/>
    </cacheField>
    <cacheField name="Município" numFmtId="0">
      <sharedItems count="53">
        <s v="Ipiranga"/>
        <s v="Curitiba"/>
        <s v="Fazenda Rio Grande"/>
        <s v="Jaraguá do Sul"/>
        <s v="Brasília"/>
        <s v="São Bernardo do Campo"/>
        <s v="Tijucas do Sul"/>
        <s v="Guarulhos"/>
        <s v="Florianópolis"/>
        <s v="Maringá"/>
        <s v="Ponta Grossa"/>
        <s v="Joinville"/>
        <s v="Rio Quente"/>
        <s v="Morretes"/>
        <s v="Rio de Janeiro"/>
        <s v="Porto União"/>
        <s v="Almirante Tamandaré"/>
        <s v="Santos"/>
        <s v="Itapejara D'Oeste"/>
        <s v="Curitiba "/>
        <s v="Guaraqueçaba"/>
        <s v="Londrina"/>
        <s v="Santo Antônio da Alegria"/>
        <s v="São João"/>
        <s v="Iguape"/>
        <s v="Caçador"/>
        <s v="Tamarana"/>
        <s v="Paranaguá"/>
        <s v="Ji Paraná"/>
        <s v="Joaçaba"/>
        <s v="Santa Isabel"/>
        <s v="Piratuba"/>
        <s v="Criciúma"/>
        <s v="São Paulo"/>
        <s v="Cascavel"/>
        <s v="Dourados"/>
        <s v="Colombo"/>
        <s v="Campo Largo"/>
        <s v="São José dos Pinhais"/>
        <s v="Bertioga"/>
        <s v="Ubatuba"/>
        <s v="Guaratuba"/>
        <s v="Recife"/>
        <s v="São José"/>
        <s v="Chapecó"/>
        <s v="Toledo"/>
        <s v="Matinhos"/>
        <s v="Belo Horizonte"/>
        <s v="Fortaleza"/>
        <s v="Valparaíso de Goiás"/>
        <s v="Ribeirão Preto"/>
        <s v="Goiânia"/>
        <s v="Caçador "/>
      </sharedItems>
    </cacheField>
    <cacheField name="UF" numFmtId="0">
      <sharedItems count="11">
        <s v="PR"/>
        <s v="SC"/>
        <s v="DF"/>
        <s v="SP"/>
        <s v="GO"/>
        <s v="RJ"/>
        <s v="RO"/>
        <s v="MS"/>
        <s v="PE"/>
        <s v="MG"/>
        <s v="CE"/>
      </sharedItems>
    </cacheField>
    <cacheField name="Descrição " numFmtId="0">
      <sharedItems containsBlank="1" count="301">
        <s v="Recanto Marista - Colégio Marista Pio XII"/>
        <s v="PUCPR_PUC Idiomas"/>
        <s v="FEGA - Fazenda Experimental Gralha Azul"/>
        <s v="Centro de Formação Marista Jaraguá"/>
        <s v="Colégio Marista Brasília Ensino Médio"/>
        <s v="Recanto Marista - Colégio Marista Arquidiocesano"/>
        <s v="Terreno - Rádio Lúmen"/>
        <s v="Chácara - Cetas"/>
        <s v="Editora FTD - Parque Gráfico Guarulhos"/>
        <s v="Loteamento Vila Marista"/>
        <s v="Barracão Francisco Nunes"/>
        <s v="Residência Marista de Maringá"/>
        <s v="PUCPR _Agência e PUC Web"/>
        <s v="Residência Marista - Colégio Marista Pio XII"/>
        <s v="Terreno Aquidabam"/>
        <s v="Terreno - Rio Quente"/>
        <s v="Colégio Marista Santa Maria"/>
        <s v="Chácara Santa Rosa"/>
        <s v="Editora FTD -  Filial Rio de Janeiro"/>
        <s v="PUCPR_Laboratório de Comunicação- LabCom"/>
        <s v="Residência"/>
        <s v="Escritório Administrativo - Igrejinha"/>
        <s v="Recanto Marista - Colégio Marista Santa Marista"/>
        <s v="Conjunto Residencial Montreal - Apartamento 25"/>
        <s v="Hospital HUC/HMC"/>
        <s v="PUCPR_Núcleo de Práticas Jurídicas - NPJ"/>
        <s v="Proação Fazenda Rio Grande"/>
        <s v="Centro Social Marista Lar Feliz"/>
        <s v="Lote"/>
        <s v="PUCPR_Estacionamento Alternativo C"/>
        <s v="Centro Social Marista Itapejara D'Oeste"/>
        <s v="PUCPR_Maquetaria e Refeitório"/>
        <s v="PUCPR_Estacionamento Alternativo A"/>
        <s v="Proação Guaraqueçaba"/>
        <s v="Centro Social Marista Propulsão"/>
        <s v="PUCPR _Estacionamento Alternativo B"/>
        <s v="Terreno Dom Aquino"/>
        <s v="Centro Rural Águas da Prata"/>
        <s v="Terreno  São João"/>
        <s v="PUCPR_HotMilk - Aceleradora"/>
        <s v="Terreno  Balneário La Plata"/>
        <s v="Terreno Balneário Costa Azul"/>
        <s v="Residência Universitária Marista - RUM"/>
        <s v="Centro Social Marista - Antigo Juvenato"/>
        <s v="Sítio de Tamarana"/>
        <s v="Antigo Proação Paranaguá"/>
        <s v="Terreno Lagoa dos Patos"/>
        <s v="Editora FTD - Filial Prédio Comercial"/>
        <s v="Edifício Dom Manuel D'Elboux - Conjunto 700"/>
        <s v="PUCPR_AFPUC - Associação dos Funcionários - Curitiba"/>
        <s v="Residência Nilo Peçanha"/>
        <s v="Colégio Marista Brasília Ensino Fundamental"/>
        <s v="Terreno - Loteamento Dom Bosco -  27"/>
        <s v="Terreno -  35 - Quadra 20"/>
        <s v="Terreno - 05"/>
        <s v="Terreno - 06"/>
        <s v="Terreno - 14"/>
        <s v="Terreno - 18"/>
        <s v="Terreno - Loteamento Dom Bosco - 26"/>
        <s v="Terreno -  29"/>
        <s v="Terreno - 33"/>
        <s v="Terreno -  34"/>
        <s v="Terreno - 35 - Quadra 19"/>
        <s v="Terreno - 36"/>
        <s v="PUCPR_Terreno B"/>
        <s v="Colégio Marista Frei Rogério"/>
        <s v="Recanto Marista - Colégio Marista Nossa Senhora da Glória"/>
        <s v="Chácara  Londrina - Terreno Menor"/>
        <s v="Chácara  Londrina"/>
        <s v="Arquivo Central"/>
        <s v="Apartamento Residencial 201"/>
        <s v="Apartamento Residencial 204"/>
        <s v="Recanto Marista - Colégio Marista Frei Rogério"/>
        <s v="Centro Educacional Marista Ecológica"/>
        <s v="CEDIN - Centro de Defesa"/>
        <s v="Terreno - 24,75,79"/>
        <s v="Chácara Taramelli"/>
        <s v="Colégio Marista Pio XII"/>
        <s v="PUCPR_Curitiba"/>
        <s v="PUCPR_Tecnoparque - Antiga CIA Providência"/>
        <s v="PUCPR_Garagem/Fisioterapia/Gráfica"/>
        <s v="Terreno - Próximo Colégio Marista"/>
        <s v="Colégio Marista Nossa Senhora da Glória"/>
        <s v="Centro Social Marista Champagnat"/>
        <s v="Terreno Padres Maristas"/>
        <s v="Terreno - Dourados"/>
        <s v="Terreno - 3"/>
        <s v="Terreno - 2"/>
        <s v="Terreno - 1"/>
        <s v="Chácara Scheffer"/>
        <s v="Comercial - Prédio Tupy"/>
        <s v="Recanto Marista - Colégio Marista Paranaense"/>
        <s v="Hospital Nossa Senhora da Luz"/>
        <s v="PUCPR_Hospital Veterinário - Curitiba"/>
        <s v="Terreno_ Antigo Campus  PUC_São José"/>
        <s v="Colônia de Férias - Bertioga"/>
        <s v="Proação"/>
        <s v="Terreno  Ubatuba - 2"/>
        <s v="Terreno Ubatuba - 1"/>
        <s v="Residência Marista - Santa Mônica"/>
        <s v="Casa do Escoteiro"/>
        <s v="Proação Guaratuba"/>
        <s v="Editora FTD - Filal  Recife"/>
        <s v="Residência Marista de Itapejara D'oeste"/>
        <s v="Centro Comercial Campinas - Loja 07"/>
        <s v="Centro Comercial Campinas - Garagem 09"/>
        <s v="Chácara Rodeio Chato"/>
        <s v="PUCPR_Toledo"/>
        <s v="PUCPR_AFPUC - Associação dos Funcionários - Matinhos"/>
        <s v="Resiência de Veraneio Guaratuba"/>
        <s v="PUCPR_Hospital Veterinário - Toledo"/>
        <s v="Editora FTD -  Filial Belo Horizonte"/>
        <s v="Lote 33"/>
        <s v="Residência Marista Chapecó"/>
        <s v="VEND_Proação"/>
        <s v="Colégio Marista Cascavel - Recanto Marista"/>
        <s v="Colégio Marista de Cascavel"/>
        <s v="Edifício Comercial Saint James - Garagem 13"/>
        <s v="Edifício Comercial Saint James - Garagem 23"/>
        <s v="Edifício Comercial Saint James - Sala 401"/>
        <s v="Edifício Comercial Saint James - Sala 402"/>
        <s v="Edifício Comercial Saint James - Sala 403"/>
        <s v="Edifício Comercial Saint James - Sala 404"/>
        <s v="Edifício Comercial Saint James - Sala 405"/>
        <s v="Edifício Comercial Saint James - Sala 406"/>
        <s v="Edifício Comercial Saint James - Sala 407"/>
        <s v="Edifício Comercial Saint James - Sala 408"/>
        <s v="Edifício Comercial Maxim's - Centro Executivo - Garagem 11"/>
        <s v="Edifício Comercial Maxim's - Centro Executivo - Garagem 12"/>
        <s v="Edifício Comercial Maxim's - Centro Executivo - Garagem 20"/>
        <s v="Edifício Comercial Maxim's - Centro Executivo- Garagem 21"/>
        <s v="Edifício Comercial Maxim's - Centro Executivo - Garagem 22"/>
        <s v="Edifício Comercial Maxim's - Centro Executivo - Garagem 23"/>
        <s v="Edifício Comercial Maxim's - Centro Executivo - Garagem 24"/>
        <s v="Edifício Comercial Maxim's - Centro Executivo - Garagem 25"/>
        <s v="Edifício Comercial Maxim's - Centro Executivo - Garagem 26"/>
        <s v="Edifício Comercial Maxim's - Centro Executivo- Garagem 27"/>
        <s v="Edifício Comercial Maxim's - Centro Executivo - Garagem 28"/>
        <s v="Edifício Comercial Maxim's - Centro Executivo- Sala 101"/>
        <s v="Edifício Comercial Maxim's - Centro Executivo - Sala 102"/>
        <s v="Edifício Comercial Maxim's - Centro Executivo - Sala 103"/>
        <s v="Edifício Comercial Maxim's - Centro Executivo - Sala 104"/>
        <s v="Edifício Comercial Maxim's - Centro Executivo - Sala 105"/>
        <s v="Edifício Comercial Maxim's - Centro Executivo - Sala 1006"/>
        <s v="Edifício Comercial Maxim's - Centro Executivo - Sala 1007"/>
        <s v="Edifício Comercial Maxim's - Centro Executivo - Sala 1008"/>
        <s v="Edifício Comercial Maxim's - Centro Executivo- Sala 1009"/>
        <s v="Edifício Comercial Maxim's - Centro Executivo - Sala 1010"/>
        <s v="Edifício Comercial Maxim's - Centro Executivo - Sala 1106"/>
        <s v="Edifício Comercial Maxim's - Centro Executivo - Sala 1107"/>
        <s v="Edifício Comercial Maxim's - Centro Executivo - Sala 1108"/>
        <s v="Edifício Comercial Maxim's - Centro Executivo - Sala 1109"/>
        <s v="Edifício Comercial Maxim's - Centro Executivo - Sala 1110"/>
        <s v="Edifício Comercial Saint James - Garagem 14"/>
        <s v="Terreno Guaratuba - Antigo Projeto Guará"/>
        <s v="FEGA - Fazenda Experimental Gralha Azul - Área Externa"/>
        <s v="Chácara Harry Prochet"/>
        <s v="Lote 34"/>
        <s v="Residência Marista - Apartamento"/>
        <s v="Residência Marista de Cascavel"/>
        <s v="Recanto Marista Champagnat"/>
        <s v="Edifício Comercial Mirage Tower - Garagem 01 - A"/>
        <s v="Edifício Comercial Mirage Tower - Garagem 02 - A"/>
        <s v="Edifício Comercial  Mirage Tower - Garagem 09 - A"/>
        <s v="Edifício Comercial  Mirage Tower - Garagem 10 - A"/>
        <s v="Edifício Comercial  Mirage Tower - Garagem 11 - A"/>
        <s v="Edifício Comercial  Mirage Tower - Garagem 15 - B"/>
        <s v="Edifício Comercial  Mirage Tower - Garagem 22 - A"/>
        <s v="Edifício Comercial  Mirage Tower - Garagem 23 - A"/>
        <s v="Edifício Comercial  Mirage Tower - Garagem 24 - A"/>
        <s v="Edifício Comercial  Mirage Tower - Garagem 25 - A"/>
        <s v="Edifício Comercial  Mirage Tower - Garagem 27 - A"/>
        <s v="Edifício Comercial  Mirage Tower - Sala 501"/>
        <s v="Edifício Comercial  Mirage Tower - Sala 502"/>
        <s v="Edifício Comercial  Mirage Tower - Sala 503"/>
        <s v="Edifício Comercial  Mirage Tower - Sala 504"/>
        <s v="Edifício Comercial  Mirage Tower - Sala 505"/>
        <s v="Edifício Comercial  Mirage Tower - Sala 506"/>
        <s v="Edifício Comercial  Mirage Tower - Sala 507"/>
        <s v="Edifício Comercial  Mirage Tower - Sala 508"/>
        <s v="Edifício Comercial  Mirage Tower - Sala 601"/>
        <s v="Edifício Comercial  Mirage Tower - Sala 602"/>
        <s v="Edifício Comercial  Mirage Tower - Sala 603"/>
        <s v="Edifício Comercial  Mirage Tower - Sala 604"/>
        <s v="Edifício Comercial  Mirage Tower - Sala 605"/>
        <s v="Edifício Comercial  Mirage Tower - Sala 606"/>
        <s v="Edifício Comercial  Mirage Tower - Sala 607"/>
        <s v="Edifício Comercial  Mirage Tower - Sala 608"/>
        <s v="Edifício Comercial  Mirage Tower - Sala 701"/>
        <s v="Edifício Comercial  Mirage Tower - Sala 702"/>
        <s v="Edifício Comercial  Mirage Tower - Sala 703"/>
        <s v="Edifício Comercial  Mirage Tower - Sala 704"/>
        <s v="Edifício Comercial  Mirage Tower - Sala 705"/>
        <s v="Edifício Comercial  Mirage Tower - Sala 706"/>
        <s v="Edifício Comercial  Mirage Tower - Sala 707"/>
        <s v="Edifício Comercial  Mirage Tower - Sala 708"/>
        <s v="Flat - Londrina"/>
        <s v="Chácara Zaniollo"/>
        <s v="Residência Marista de São José dos Pinhais"/>
        <s v="PUCPR _Londrina"/>
        <s v="Centro de Formação Champagnat"/>
        <s v="Terreno - Loteamento Vila Marista"/>
        <s v="Colégio Marista São Francisco"/>
        <s v="Terreno - Fortaleza"/>
        <s v="Terreno - 137"/>
        <s v="Chácara Zaniollo - Terreno invadido"/>
        <s v="Colégio Marista de Cascavel (Academia)"/>
        <s v="Edifício Comercial Trindade Center - Loja 01 - Térreo"/>
        <s v="Edifício Comercial Trindade Center - Loja 02 - Térreo"/>
        <s v="Edifício Comercial Trindade Center - Loja 16 - Térreo"/>
        <s v="Edifício Comercial Trindade Center - Loja 17 - Térreo"/>
        <s v="Edifício Comercial Trindade Center - Loja 24 - Térreo"/>
        <s v="Edifício Comercial Trindade Center - Loja 25 - Térreo"/>
        <s v="Edifício Comercial Trindade Center - Loja 26 - Térreo"/>
        <s v="Edifício Comercial Trindade Center - Loja 35 - Térreo"/>
        <s v="Edifício Comercial Trindade Center - Loja 36 - 4º Andar"/>
        <s v="Edifício Comercial Trindade Center - Loja 37 - 4º Andar"/>
        <s v="Edifício Comercial Trindade Center - Loja 38 - 4º Andar"/>
        <s v="Edifício Comercial Trindade Center - Loja 44 - 4º Andar"/>
        <s v="Edifício Comercial Trindade Center - Loja 45 - 4º Andar"/>
        <s v="Edifício Comercial Trindade Center - Quiosque 02"/>
        <s v="Edifício Comercial Trindade Center - Quiosque 10 - 4º Andar"/>
        <s v="Edifício Comercial Trindade Center - Sala 406 - 09º Andar"/>
        <s v="Edifício Comercial Trindade Center - Sala 601 - 11º Andar"/>
        <s v="Edifício Comercial Trindade Center - Sala 602 - 11º Andar"/>
        <s v="Edifício Comercial Trindade Center - Sala 603 - 11º Andar"/>
        <s v="Edifício Comercial Trindade Center - Sala 604 - 11º Andar"/>
        <s v="Edifício Comercial Trindade Center - Sala 605 - 11º Andar"/>
        <s v="Edifício Comercial Trindade Center - Sala 606 - 11º Andar"/>
        <s v="Edifício Comercial Trindade Center - Sala 607 - 11º Andar"/>
        <s v="Edifício Comercial Trindade Center - Sala 608 - 11º Andar"/>
        <s v="Edifício Residêncial Champagnat - Apartamento 101"/>
        <s v="Edifício Residêncial Champagnat - Apartamento 401"/>
        <s v="Edifício Residêncial Champagnat - Apartamento 402"/>
        <s v="Edifício Residêncial Champagnat - Apartamento 403"/>
        <s v="Edifício Residêncial Champagnat - Apartamento 404"/>
        <s v="Edifício Residêncial Champagnat - Apartamento 405"/>
        <s v="Edifício Residêncial Champagnat - Apartamento 501"/>
        <s v="Edifício Residêncial Champagnat - Apartamento 502"/>
        <s v="Edifício Residêncial Champagnat - Apartamento 503"/>
        <s v="Edifício Residêncial Champagnat - Apartamento 504"/>
        <s v="Edifício Residêncial Champagnat - Apartamento 505"/>
        <s v="Edifício Residêncial Champagnat - Apartamento 1202"/>
        <s v="Edifício Residêncial Champagnat - Garagem 08"/>
        <s v="Edifício Residêncial Champagnat - Garagem 09"/>
        <s v="Edifício Residêncial Champagnat - Garagem 18"/>
        <s v="Edifício Residêncial Champagnat - Garagem 19"/>
        <s v="Edifício Residêncial Champagnat - Garagem 20"/>
        <s v="Edifício Residêncial Champagnat - Garagem 21"/>
        <s v="Edifício Residêncial Champagnat - Garagem 22"/>
        <s v="Edifício Residêncial Champagnat - Garagem 23"/>
        <s v="Edifício Residêncial Champagnat - Garagem 24"/>
        <s v="Edifício Residêncial Champagnat - Garagem 53"/>
        <s v="Edifício Residêncial Champagnat - Garagem 61"/>
        <s v="Edifício Residêncial Champagnat - Garagem 62"/>
        <s v="Edifício Residêncial Champagnat - Garagem 63"/>
        <s v="Edifício Residêncial Champagnat - Garagem 64"/>
        <s v="Edifício Residêncial Champagnat - Garagem 65"/>
        <s v="Edifício Residêncial Champagnat - Garagem 66"/>
        <s v="Edifício Residêncial Champagnat - Garagem 67"/>
        <s v="Edifício Residêncial Champagnat - Garagem 68"/>
        <s v="Edifício Residêncial Champagnat - Garagem 69"/>
        <s v="Edifício Residêncial Champagnat - Garagem 70"/>
        <s v="Colégio Marista Paranaense"/>
        <s v="Terreno - 79"/>
        <s v="Recanto Marista - Colégio Marista de Londrina"/>
        <s v="Residência Provincial Marista"/>
        <s v="Editora FTD - Filial Fortaleza"/>
        <s v="Residência Marista de Brasilia"/>
        <s v="Colégio Marista Maringá"/>
        <s v="Colégio Marista São Luis"/>
        <s v="Centro Social Marista"/>
        <s v="Colégio Marista Arquiodicesano"/>
        <s v="CMC - Centro Marista  Champagnat"/>
        <s v="Terreno - 21"/>
        <s v="Terreno - 22"/>
        <s v="Terreno - 23"/>
        <s v="Terreno - 24"/>
        <s v="Terreno - 26"/>
        <s v="Terreno - 25"/>
        <s v="Terreno - 27"/>
        <s v="Terreno - 28"/>
        <s v="Terreno Benjamin Constant"/>
        <s v="Colégio Marista"/>
        <s v="Centro Social Marista Ir. Rui"/>
        <s v="Colégio Marista Ribeirão Preto"/>
        <s v="Colégio Marista Londrina"/>
        <s v="Centro Rural Aurora"/>
        <s v="Terreno BR 101"/>
        <s v="Editora FTD - Estacionamento"/>
        <s v="Residência Marista Ribeirão Preto"/>
        <s v="Colégio Marista Goiania"/>
        <s v="Santa Casa "/>
        <s v="Colégio Santa Maria "/>
        <s v="Casa Provençal "/>
        <s v="Rodeio Chato"/>
        <s v="Escola de IngIes"/>
        <s v="Centro Social  "/>
        <s v="Lagoa dos Patos"/>
        <s v="Editora FTD - Prédio Comercial"/>
        <m/>
      </sharedItems>
    </cacheField>
    <cacheField name="Endereço (Cadastro Municipal)" numFmtId="0">
      <sharedItems containsBlank="1"/>
    </cacheField>
    <cacheField name="Registro de Imóveis" numFmtId="0">
      <sharedItems containsBlank="1" count="4">
        <s v="Parcialmente Regular"/>
        <s v="Irregular"/>
        <s v="Regular"/>
        <m u="1"/>
      </sharedItems>
    </cacheField>
    <cacheField name="Tipo de regularização" numFmtId="0">
      <sharedItems containsBlank="1" count="7">
        <s v="-"/>
        <s v="Transferência - cisão I"/>
        <s v="Imbróglios Imobiliários"/>
        <s v="Retificação"/>
        <m/>
        <s v="Transferência - cisão II"/>
        <s v="Protesto "/>
      </sharedItems>
    </cacheField>
    <cacheField name="Tipo de regularização2" numFmtId="0">
      <sharedItems containsBlank="1" count="53">
        <s v="-"/>
        <s v="Transferências: INCRA, RFB, RI."/>
        <s v="Baixa do termo de conservação de floresta."/>
        <s v="Transferência: PM."/>
        <s v="Baixa do Decreto"/>
        <s v="Cadastro Ambiental Rural."/>
        <s v="Transferências: RFB e INCRA. "/>
        <s v="Retificação: adm. "/>
        <s v="Transferências: RI, PM."/>
        <s v="Retificação: adm."/>
        <s v="Baixa do termo de manutenção de reflorestamento."/>
        <m/>
        <s v="Usucapião"/>
        <s v="Litígio comprador."/>
        <s v="Transferência: RI"/>
        <s v="Transferências: RFB e INCRA."/>
        <s v="Retificação: adm. desapropriação."/>
        <s v="Reclamatória trabalhista. Execução fiscal."/>
        <s v="Protesto contra alienação."/>
        <s v="Bloqueada judicialmente."/>
        <s v="Transferências: RI, PM.                                                                                             "/>
        <s v="Unificação"/>
        <s v="Desafetação"/>
        <s v="Transferências: RI, SPU."/>
        <s v="Celebrar o comodato."/>
        <s v="Baixa de cláusula inalienabilidade."/>
        <s v="Penhora e execução fiscal."/>
        <s v="Invasão. "/>
        <s v="Georreferenciamento"/>
        <s v="Reclamatória trabalhista e penhora."/>
        <s v="Baixa de hipoteca."/>
        <s v="Autorização de Corte."/>
        <s v="Subdivisão"/>
        <s v="Escritura de permuta"/>
        <s v="Usufruto, por tempo indeterminado."/>
        <s v="Retificação: adm. unificação, individualização da matrícula."/>
        <s v="Baixa do cadastro ambiental rural."/>
        <s v="Doação"/>
        <s v="Plano de Recuperação e Áreas Degradadas (PRAD)"/>
        <s v="Transferências: RI, PM, retificação.                                                                                             "/>
        <s v="Retificação: adm. unificação, permuta."/>
        <s v="Quebra contratual"/>
        <s v="Ação revisional de aluguel"/>
        <s v="Processo judicial reconhecimento de limites."/>
        <s v="Retificação: adm. unificação, baixa de hipoteca."/>
        <s v="Subdivisão com divisão amigável "/>
        <s v="Desapropriação/Permuta"/>
        <s v="Retificação de área"/>
        <s v="Retificação Administrativa/Individualização"/>
        <s v="Transferência - cisão I"/>
        <s v="Transferência - cisão II"/>
        <s v="Transferências: RI." u="1"/>
        <s v="Arresto judicial." u="1"/>
      </sharedItems>
    </cacheField>
    <cacheField name="Filtro de relatório" numFmtId="0">
      <sharedItems containsSemiMixedTypes="0" containsString="0" containsNumber="1" containsInteger="1" minValue="0" maxValue="1"/>
    </cacheField>
    <cacheField name="Data da Movimentação" numFmtId="0">
      <sharedItems containsNonDate="0" containsDate="1" containsString="0" containsBlank="1" minDate="2019-05-01T00:00:00" maxDate="2021-01-16T00:00:00"/>
    </cacheField>
    <cacheField name="Síntese da última atualização" numFmtId="0">
      <sharedItems containsBlank="1" longText="1"/>
    </cacheField>
    <cacheField name="Protocolo Cisão" numFmtId="0">
      <sharedItems containsBlank="1" containsMixedTypes="1" containsNumber="1" containsInteger="1" minValue="4310" maxValue="537798"/>
    </cacheField>
    <cacheField name="Responsável" numFmtId="0">
      <sharedItems/>
    </cacheField>
    <cacheField name="Data da regularização" numFmtId="14">
      <sharedItems containsNonDate="0" containsDate="1" containsString="0" containsBlank="1" minDate="2019-01-01T00:00:00" maxDate="2020-12-22T00:00:00" count="34">
        <d v="2019-07-01T00:00:00"/>
        <m/>
        <d v="2019-06-01T00:00:00"/>
        <d v="2020-09-23T00:00:00"/>
        <d v="2020-09-05T00:00:00"/>
        <d v="2020-02-19T00:00:00"/>
        <d v="2020-06-17T00:00:00"/>
        <d v="2020-03-16T00:00:00"/>
        <d v="2019-08-01T00:00:00"/>
        <d v="2020-08-15T00:00:00"/>
        <d v="2019-04-01T00:00:00"/>
        <d v="2020-03-05T00:00:00"/>
        <d v="2020-07-31T00:00:00"/>
        <d v="2020-06-18T00:00:00"/>
        <d v="2020-03-13T00:00:00"/>
        <d v="2020-03-17T00:00:00"/>
        <d v="2020-03-01T00:00:00"/>
        <d v="2019-05-23T00:00:00"/>
        <d v="2019-11-18T00:00:00"/>
        <d v="2019-01-01T00:00:00"/>
        <d v="2019-11-05T00:00:00"/>
        <d v="2019-05-01T00:00:00"/>
        <d v="2019-03-01T00:00:00"/>
        <d v="2019-09-27T00:00:00"/>
        <d v="2020-09-30T00:00:00"/>
        <d v="2019-09-01T00:00:00"/>
        <d v="2019-02-01T00:00:00"/>
        <d v="2020-09-21T00:00:00"/>
        <d v="2019-10-17T00:00:00"/>
        <d v="2020-06-30T00:00:00"/>
        <d v="2020-09-25T00:00:00"/>
        <d v="2020-08-25T00:00:00"/>
        <d v="2020-10-26T00:00:00"/>
        <d v="2020-12-21T00:00:00"/>
      </sharedItems>
      <fieldGroup par="19" base="17">
        <rangePr groupBy="months" startDate="2019-01-01T00:00:00" endDate="2020-12-22T00:00:00"/>
        <groupItems count="14">
          <s v="(vazio)"/>
          <s v="jan"/>
          <s v="fev"/>
          <s v="mar"/>
          <s v="abr"/>
          <s v="mai"/>
          <s v="jun"/>
          <s v="jul"/>
          <s v="ago"/>
          <s v="set"/>
          <s v="out"/>
          <s v="nov"/>
          <s v="dez"/>
          <s v="&gt;22/12/2020"/>
        </groupItems>
      </fieldGroup>
    </cacheField>
    <cacheField name="Trimestres" numFmtId="0" databaseField="0">
      <fieldGroup base="17">
        <rangePr groupBy="quarters" startDate="2019-01-01T00:00:00" endDate="2020-12-22T00:00:00"/>
        <groupItems count="6">
          <s v="&lt;01/01/2019"/>
          <s v="Trim1"/>
          <s v="Trim2"/>
          <s v="Trim3"/>
          <s v="Trim4"/>
          <s v="&gt;22/12/2020"/>
        </groupItems>
      </fieldGroup>
    </cacheField>
    <cacheField name="Anos" numFmtId="0" databaseField="0">
      <fieldGroup base="17">
        <rangePr groupBy="years" startDate="2019-01-01T00:00:00" endDate="2020-12-22T00:00:00"/>
        <groupItems count="4">
          <s v="&lt;01/01/2019"/>
          <s v="2019"/>
          <s v="2020"/>
          <s v="&gt;22/12/2020"/>
        </groupItems>
      </fieldGroup>
    </cacheField>
  </cacheFields>
  <extLst>
    <ext xmlns:x14="http://schemas.microsoft.com/office/spreadsheetml/2009/9/main" uri="{725AE2AE-9491-48be-B2B4-4EB974FC3084}">
      <x14:pivotCacheDefinition pivotCacheId="5114498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7">
  <r>
    <x v="0"/>
    <x v="0"/>
    <x v="0"/>
    <s v="ABEC"/>
    <s v="PMBCS"/>
    <x v="0"/>
    <x v="0"/>
    <x v="0"/>
    <s v="Fazenda Santa Clara - Chácaras 72 à 85 - Jd. São Lourenço."/>
    <x v="0"/>
    <x v="0"/>
    <x v="0"/>
    <n v="0"/>
    <m/>
    <s v="Canclamento do pacto comissório."/>
    <s v="-"/>
    <s v="Jurídico Externo"/>
    <x v="0"/>
  </r>
  <r>
    <x v="0"/>
    <x v="0"/>
    <x v="0"/>
    <s v="ABEC"/>
    <s v="PMBCS"/>
    <x v="0"/>
    <x v="0"/>
    <x v="0"/>
    <s v="Fazenda Santa Clara - Chácaras 72 à 85 - Jd. São Lourenço."/>
    <x v="1"/>
    <x v="1"/>
    <x v="1"/>
    <n v="1"/>
    <d v="2020-07-16T00:00:00"/>
    <s v="Processo de alteração de titularidade ainda não realizado."/>
    <s v="-"/>
    <s v="Jurídico Externo"/>
    <x v="1"/>
  </r>
  <r>
    <x v="1"/>
    <x v="0"/>
    <x v="0"/>
    <s v="ABEC"/>
    <s v="PMBCS"/>
    <x v="0"/>
    <x v="0"/>
    <x v="0"/>
    <s v="Fazenda Santa Clara - Chácaras 72 à 85 - Jd. São Lourenço."/>
    <x v="0"/>
    <x v="0"/>
    <x v="0"/>
    <n v="0"/>
    <m/>
    <s v="Canclamento do pacto comissório."/>
    <s v="-"/>
    <s v="Jurídico Externo"/>
    <x v="0"/>
  </r>
  <r>
    <x v="1"/>
    <x v="0"/>
    <x v="0"/>
    <s v="ABEC"/>
    <s v="PMBCS"/>
    <x v="0"/>
    <x v="0"/>
    <x v="0"/>
    <s v="Fazenda Santa Clara - Chácaras 72 à 85 - Jd. São Lourenço."/>
    <x v="1"/>
    <x v="1"/>
    <x v="1"/>
    <n v="1"/>
    <d v="2020-07-16T00:00:00"/>
    <s v="Processo de alteração de titularidade ainda não realizado."/>
    <s v="-"/>
    <s v="Jurídico Externo"/>
    <x v="1"/>
  </r>
  <r>
    <x v="2"/>
    <x v="0"/>
    <x v="0"/>
    <s v="ABEC"/>
    <s v="PMBCS"/>
    <x v="0"/>
    <x v="0"/>
    <x v="0"/>
    <s v="Fazenda Santa Clara - Chácaras 72 à 85 - Jd. São Lourenço."/>
    <x v="0"/>
    <x v="0"/>
    <x v="0"/>
    <n v="0"/>
    <m/>
    <s v="Canclamento do pacto comissório."/>
    <s v="-"/>
    <s v="Jurídico Externo"/>
    <x v="0"/>
  </r>
  <r>
    <x v="2"/>
    <x v="0"/>
    <x v="0"/>
    <s v="ABEC"/>
    <s v="PMBCS"/>
    <x v="0"/>
    <x v="0"/>
    <x v="0"/>
    <s v="Fazenda Santa Clara - Chácaras 72 à 85 - Jd. São Lourenço."/>
    <x v="1"/>
    <x v="1"/>
    <x v="1"/>
    <n v="1"/>
    <d v="2020-07-16T00:00:00"/>
    <s v="Processo de alteração de titularidade ainda não realizado."/>
    <s v="-"/>
    <s v="Jurídico Externo"/>
    <x v="1"/>
  </r>
  <r>
    <x v="3"/>
    <x v="1"/>
    <x v="0"/>
    <s v="ABEC"/>
    <s v="GM"/>
    <x v="1"/>
    <x v="0"/>
    <x v="1"/>
    <s v="Rua Iapó, 1211 - Prado Velho."/>
    <x v="2"/>
    <x v="0"/>
    <x v="0"/>
    <n v="0"/>
    <m/>
    <s v="-"/>
    <s v="-"/>
    <s v="Jurídico Externo"/>
    <x v="2"/>
  </r>
  <r>
    <x v="4"/>
    <x v="2"/>
    <x v="0"/>
    <s v="ABEC"/>
    <s v="PMBCS"/>
    <x v="2"/>
    <x v="0"/>
    <x v="2"/>
    <s v="Rua Fazenda Iguaçú, s/n - Capocu."/>
    <x v="1"/>
    <x v="2"/>
    <x v="2"/>
    <n v="1"/>
    <d v="2019-09-30T00:00:00"/>
    <s v="Ofício do IAP, encaminhado para assinatura do Ir. Délcio. Assinatura obtida e documento encaminhado para a Eccoambiental. Aguardando empresa informar o numero do protocolo para acompanhamento."/>
    <s v="-"/>
    <s v="GPI"/>
    <x v="1"/>
  </r>
  <r>
    <x v="4"/>
    <x v="2"/>
    <x v="0"/>
    <s v="ABEC"/>
    <s v="PMBCS"/>
    <x v="2"/>
    <x v="0"/>
    <x v="2"/>
    <s v="Rua Fazenda Iguaçú, s/n - Capocu."/>
    <x v="1"/>
    <x v="2"/>
    <x v="2"/>
    <n v="1"/>
    <d v="2020-01-13T00:00:00"/>
    <s v="Protocolado o requerimento, todavia sem previsão de avaliação pelo órgão ambiental, uma_x000a_vez que a informação inicial era de que seria avaliado apenas após o encerramento_x000a_dos cadastros. Porém o CAR teve o prazo para encerramento dos cadastros anulado, por meio da Lei 13887 de 2019._x000a_Assim, devemos apenas aguardar tal análise."/>
    <s v="-"/>
    <s v="GPI"/>
    <x v="1"/>
  </r>
  <r>
    <x v="4"/>
    <x v="2"/>
    <x v="0"/>
    <s v="ABEC"/>
    <s v="PMBCS"/>
    <x v="2"/>
    <x v="0"/>
    <x v="2"/>
    <s v="Rua Fazenda Iguaçú, s/n - Capocu."/>
    <x v="0"/>
    <x v="1"/>
    <x v="3"/>
    <n v="0"/>
    <m/>
    <m/>
    <s v="-"/>
    <s v="Jurídico Externo"/>
    <x v="3"/>
  </r>
  <r>
    <x v="4"/>
    <x v="2"/>
    <x v="0"/>
    <s v="ABEC"/>
    <s v="PMBCS"/>
    <x v="2"/>
    <x v="0"/>
    <x v="2"/>
    <s v="Rua Fazenda Iguaçú, s/n - Capocu."/>
    <x v="1"/>
    <x v="2"/>
    <x v="4"/>
    <n v="1"/>
    <m/>
    <s v="-"/>
    <s v="-"/>
    <s v="Jurídico Interno"/>
    <x v="1"/>
  </r>
  <r>
    <x v="4"/>
    <x v="2"/>
    <x v="0"/>
    <s v="ABEC"/>
    <s v="PMBCS"/>
    <x v="2"/>
    <x v="0"/>
    <x v="2"/>
    <s v="Rua Fazenda Iguaçú, s/n - Capocu."/>
    <x v="1"/>
    <x v="2"/>
    <x v="2"/>
    <n v="1"/>
    <d v="2020-02-18T00:00:00"/>
    <s v="Processo sem evolução, por parte do órgão ambiental."/>
    <s v="-"/>
    <s v="GPI"/>
    <x v="1"/>
  </r>
  <r>
    <x v="4"/>
    <x v="2"/>
    <x v="0"/>
    <s v="ABEC"/>
    <s v="PMBCS"/>
    <x v="2"/>
    <x v="0"/>
    <x v="2"/>
    <s v="Rua Fazenda Iguaçú, s/n - Capocu."/>
    <x v="1"/>
    <x v="2"/>
    <x v="2"/>
    <n v="1"/>
    <d v="2020-03-16T00:00:00"/>
    <s v="Processo sem evolução, por parte do órgão ambiental."/>
    <s v="-"/>
    <s v="GPI"/>
    <x v="1"/>
  </r>
  <r>
    <x v="4"/>
    <x v="2"/>
    <x v="0"/>
    <s v="ABEC"/>
    <s v="PMBCS"/>
    <x v="2"/>
    <x v="0"/>
    <x v="2"/>
    <s v="Rua Fazenda Iguaçú, s/n - Capocu."/>
    <x v="1"/>
    <x v="2"/>
    <x v="2"/>
    <n v="1"/>
    <d v="2020-05-11T00:00:00"/>
    <s v="Processo sem evolução, por parte do órgão ambiental."/>
    <s v="-"/>
    <s v="GPI"/>
    <x v="1"/>
  </r>
  <r>
    <x v="4"/>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4"/>
    <x v="2"/>
    <x v="0"/>
    <s v="ABEC"/>
    <s v="PMBCS"/>
    <x v="2"/>
    <x v="0"/>
    <x v="2"/>
    <s v="Rua Fazenda Iguaçú, s/n - Capocu."/>
    <x v="1"/>
    <x v="2"/>
    <x v="2"/>
    <n v="1"/>
    <d v="2020-06-15T00:00:00"/>
    <s v="O apontamento em relatório da empresa Ecco Ambiental é de que durante o último mês, não ocorreu nenhuma movimentação por parte do órgão no sentido de análise do cadastro."/>
    <s v="-"/>
    <s v="GPI"/>
    <x v="1"/>
  </r>
  <r>
    <x v="4"/>
    <x v="2"/>
    <x v="0"/>
    <s v="ABEC"/>
    <s v="PMBCS"/>
    <x v="2"/>
    <x v="0"/>
    <x v="2"/>
    <s v="Rua Fazenda Iguaçú, s/n - Capocu."/>
    <x v="1"/>
    <x v="2"/>
    <x v="2"/>
    <n v="1"/>
    <d v="2020-07-15T00:00:00"/>
    <s v="O apontamento em relatório da empresa Ecco Ambiental é de que durante o último mês, não ocorreu nenhuma movimentação por parte do órgão no sentido de análise do cadastro."/>
    <s v="-"/>
    <s v="GPI"/>
    <x v="1"/>
  </r>
  <r>
    <x v="4"/>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4"/>
    <x v="2"/>
    <x v="0"/>
    <s v="ABEC"/>
    <s v="PMBCS"/>
    <x v="2"/>
    <x v="0"/>
    <x v="2"/>
    <s v="Rua Fazenda Iguaçú, s/n - Capocu."/>
    <x v="1"/>
    <x v="1"/>
    <x v="6"/>
    <n v="1"/>
    <d v="2020-07-16T00:00:00"/>
    <s v="Processo de alteração de titularidade ainda não realizado."/>
    <s v="-"/>
    <s v="Jurídico Externo"/>
    <x v="1"/>
  </r>
  <r>
    <x v="5"/>
    <x v="2"/>
    <x v="0"/>
    <s v="ABEC"/>
    <s v="PMBCS"/>
    <x v="2"/>
    <x v="0"/>
    <x v="2"/>
    <s v="Rua Fazenda Iguaçú, s/n - Capocu."/>
    <x v="1"/>
    <x v="2"/>
    <x v="2"/>
    <n v="1"/>
    <d v="2019-09-30T00:00:00"/>
    <s v="Ofício do IAP, encaminhado para assinatura do Ir. Délcio. Assinatura obtida e documento encaminhado para a Eccoambiental. Aguardando empresa informar o numero do protocolo para acompanhamento."/>
    <s v="-"/>
    <s v="GPI"/>
    <x v="1"/>
  </r>
  <r>
    <x v="5"/>
    <x v="2"/>
    <x v="0"/>
    <s v="ABEC"/>
    <s v="PMBCS"/>
    <x v="2"/>
    <x v="0"/>
    <x v="2"/>
    <s v="Rua Fazenda Iguaçú, s/n - Capocu."/>
    <x v="1"/>
    <x v="2"/>
    <x v="2"/>
    <n v="1"/>
    <d v="2020-01-13T00:00:00"/>
    <s v="Protocolado o requerimento, todavia sem previsão de avaliação pelo órgão ambiental, uma_x000a_vez que a informação inicial era de que seria avaliado apenas após o encerramento_x000a_dos cadastros. Porém o CAR teve o prazo para encerramento dos cadastros anulado, por meio da Lei 13887 de 2019._x000a_Assim, devemos apenas aguardar tal análise."/>
    <s v="-"/>
    <s v="GPI"/>
    <x v="1"/>
  </r>
  <r>
    <x v="5"/>
    <x v="2"/>
    <x v="0"/>
    <s v="ABEC"/>
    <s v="PMBCS"/>
    <x v="2"/>
    <x v="0"/>
    <x v="2"/>
    <s v="Rua Fazenda Iguaçú, s/n - Capocu."/>
    <x v="0"/>
    <x v="0"/>
    <x v="0"/>
    <n v="0"/>
    <m/>
    <m/>
    <s v="-"/>
    <s v="Jurídico Externo"/>
    <x v="3"/>
  </r>
  <r>
    <x v="5"/>
    <x v="2"/>
    <x v="0"/>
    <s v="ABEC"/>
    <s v="PMBCS"/>
    <x v="2"/>
    <x v="0"/>
    <x v="2"/>
    <s v="Rua Fazenda Iguaçú, s/n - Capocu."/>
    <x v="1"/>
    <x v="2"/>
    <x v="4"/>
    <n v="1"/>
    <m/>
    <s v="-"/>
    <s v="-"/>
    <s v="Jurídico Interno"/>
    <x v="1"/>
  </r>
  <r>
    <x v="5"/>
    <x v="2"/>
    <x v="0"/>
    <s v="ABEC"/>
    <s v="PMBCS"/>
    <x v="2"/>
    <x v="0"/>
    <x v="2"/>
    <s v="Rua Fazenda Iguaçú, s/n - Capocu."/>
    <x v="1"/>
    <x v="2"/>
    <x v="2"/>
    <n v="1"/>
    <d v="2020-02-18T00:00:00"/>
    <s v="Processo sem evolução, por parte do órgão ambiental."/>
    <s v="-"/>
    <s v="GPI"/>
    <x v="1"/>
  </r>
  <r>
    <x v="5"/>
    <x v="2"/>
    <x v="0"/>
    <s v="ABEC"/>
    <s v="PMBCS"/>
    <x v="2"/>
    <x v="0"/>
    <x v="2"/>
    <s v="Rua Fazenda Iguaçú, s/n - Capocu."/>
    <x v="1"/>
    <x v="2"/>
    <x v="2"/>
    <n v="1"/>
    <d v="2020-03-16T00:00:00"/>
    <s v="Processo sem evolução, por parte do órgão ambiental."/>
    <s v="-"/>
    <s v="GPI"/>
    <x v="1"/>
  </r>
  <r>
    <x v="5"/>
    <x v="2"/>
    <x v="0"/>
    <s v="ABEC"/>
    <s v="PMBCS"/>
    <x v="2"/>
    <x v="0"/>
    <x v="2"/>
    <s v="Rua Fazenda Iguaçú, s/n - Capocu."/>
    <x v="1"/>
    <x v="2"/>
    <x v="2"/>
    <n v="1"/>
    <d v="2020-05-11T00:00:00"/>
    <s v="Processo sem evolução, por parte do órgão ambiental."/>
    <s v="-"/>
    <s v="GPI"/>
    <x v="1"/>
  </r>
  <r>
    <x v="5"/>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5"/>
    <x v="2"/>
    <x v="0"/>
    <s v="ABEC"/>
    <s v="PMBCS"/>
    <x v="2"/>
    <x v="0"/>
    <x v="2"/>
    <s v="Rua Fazenda Iguaçú, s/n - Capocu."/>
    <x v="1"/>
    <x v="2"/>
    <x v="2"/>
    <n v="1"/>
    <d v="2020-06-15T00:00:00"/>
    <s v="O apontamento em relatório da empresa Ecco Ambiental é de que durante o último mês, não ocorreu nenhuma movimentação por parte do órgão no sentido de análise do cadastro."/>
    <s v="-"/>
    <s v="GPI"/>
    <x v="1"/>
  </r>
  <r>
    <x v="5"/>
    <x v="2"/>
    <x v="0"/>
    <s v="ABEC"/>
    <s v="PMBCS"/>
    <x v="2"/>
    <x v="0"/>
    <x v="2"/>
    <s v="Rua Fazenda Iguaçú, s/n - Capocu."/>
    <x v="1"/>
    <x v="2"/>
    <x v="2"/>
    <n v="1"/>
    <d v="2020-07-15T00:00:00"/>
    <s v="O apontamento em relatório da empresa Ecco Ambiental é de que durante o último mês, não ocorreu nenhuma movimentação por parte do órgão no sentido de análise do cadastro."/>
    <s v="-"/>
    <s v="GPI"/>
    <x v="1"/>
  </r>
  <r>
    <x v="5"/>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5"/>
    <x v="2"/>
    <x v="0"/>
    <s v="ABEC"/>
    <s v="PMBCS"/>
    <x v="2"/>
    <x v="0"/>
    <x v="2"/>
    <s v="Rua Fazenda Iguaçú, s/n - Capocu."/>
    <x v="1"/>
    <x v="1"/>
    <x v="6"/>
    <n v="1"/>
    <d v="2020-07-16T00:00:00"/>
    <s v="Processo de alteração de titularidade ainda não realizado."/>
    <s v="-"/>
    <s v="Jurídico Externo"/>
    <x v="1"/>
  </r>
  <r>
    <x v="6"/>
    <x v="3"/>
    <x v="0"/>
    <s v="UCE"/>
    <s v="GM"/>
    <x v="3"/>
    <x v="1"/>
    <x v="3"/>
    <s v="-"/>
    <x v="1"/>
    <x v="3"/>
    <x v="7"/>
    <n v="1"/>
    <m/>
    <s v="Esta matrícula está sobrepondo a de n.º 5.240 também de propriedade da União Catarinense de Educação. Realizando estudo se no passado foi unificada ou não."/>
    <s v="-"/>
    <s v="Jurídico Externo"/>
    <x v="1"/>
  </r>
  <r>
    <x v="7"/>
    <x v="4"/>
    <x v="0"/>
    <s v="ABEC"/>
    <s v="PMBCS"/>
    <x v="4"/>
    <x v="2"/>
    <x v="4"/>
    <s v="Avenida SGAS 615 - Conjunto C - Asa Sul."/>
    <x v="1"/>
    <x v="1"/>
    <x v="8"/>
    <n v="1"/>
    <d v="2020-07-16T00:00:00"/>
    <s v="Processo de alteração de titularidade ainda não realizado."/>
    <s v="-"/>
    <s v="Jurídico Externo"/>
    <x v="1"/>
  </r>
  <r>
    <x v="8"/>
    <x v="5"/>
    <x v="0"/>
    <s v="ABEC"/>
    <s v="PMBCS"/>
    <x v="5"/>
    <x v="3"/>
    <x v="5"/>
    <s v="Estrada Galvão Bueno, 10000 - Alvarenga - Sítio Alvarenga."/>
    <x v="1"/>
    <x v="3"/>
    <x v="9"/>
    <n v="1"/>
    <m/>
    <s v="Tendo em vista a notificação da empresa EMAE, para demolição das edificações, busca neste processo a tratativa para a anuência da retificação por parte da EMAE."/>
    <n v="4310"/>
    <s v="GPI"/>
    <x v="1"/>
  </r>
  <r>
    <x v="8"/>
    <x v="5"/>
    <x v="0"/>
    <s v="ABEC"/>
    <s v="PMBCS"/>
    <x v="5"/>
    <x v="3"/>
    <x v="5"/>
    <s v="Estrada Galvão Bueno, 10000 - Alvarenga - Sítio Alvarenga."/>
    <x v="1"/>
    <x v="1"/>
    <x v="8"/>
    <n v="1"/>
    <d v="2020-07-16T00:00:00"/>
    <s v="Processo de alteração de titularidade ainda não realizado."/>
    <s v="-"/>
    <s v="Jurídico Externo"/>
    <x v="1"/>
  </r>
  <r>
    <x v="8"/>
    <x v="5"/>
    <x v="0"/>
    <s v="ABEC"/>
    <s v="PMBCS"/>
    <x v="5"/>
    <x v="3"/>
    <x v="5"/>
    <s v="Estrada Galvão Bueno, 10000 - Alvarenga - Sítio Alvarenga."/>
    <x v="1"/>
    <x v="3"/>
    <x v="9"/>
    <n v="1"/>
    <d v="2020-06-12T00:00:00"/>
    <s v="O setor de documentação legal da Diretoria de Infra-Estrutura que em conjunto com o setor de patrimônio imobiliário e a procuradoria jurídica do Grupo Marista, mas que está fazendo a maior frente para o atendimento da notificação da empresa EMAE. Atualmente está em fase de contratação do prestador (Sonia Jesus dos Santos Galves), o qual possui dois escopos: a) Para elaboração de parecer técnico de avaliação dos imóveis na faixa de terreno que a EMAE afirma ser de seu domínio; b) Assistência técnica de avaliação dos imóveis e equipamentos. Se logrado êxito na demanda, será possível a continuidade na retificação."/>
    <s v="-"/>
    <s v="GPI"/>
    <x v="1"/>
  </r>
  <r>
    <x v="9"/>
    <x v="6"/>
    <x v="0"/>
    <s v="FNSR"/>
    <s v="GM"/>
    <x v="1"/>
    <x v="0"/>
    <x v="6"/>
    <s v="Rua Leonor Castellano, 525"/>
    <x v="2"/>
    <x v="0"/>
    <x v="0"/>
    <n v="0"/>
    <m/>
    <s v="-"/>
    <s v="-"/>
    <s v="Verificar"/>
    <x v="1"/>
  </r>
  <r>
    <x v="10"/>
    <x v="7"/>
    <x v="0"/>
    <s v="ABEC"/>
    <s v="PMBCS"/>
    <x v="6"/>
    <x v="0"/>
    <x v="7"/>
    <s v="Rod. Prefeito Francisco Teixeira, s/n - Costa da Serra."/>
    <x v="1"/>
    <x v="1"/>
    <x v="1"/>
    <n v="1"/>
    <m/>
    <s v="-"/>
    <s v="-"/>
    <s v="Jurídico Externo"/>
    <x v="1"/>
  </r>
  <r>
    <x v="10"/>
    <x v="7"/>
    <x v="0"/>
    <s v="ABEC"/>
    <s v="PMBCS"/>
    <x v="6"/>
    <x v="0"/>
    <x v="7"/>
    <s v="Rod. Prefeito Francisco Teixeira, s/n - Costa da Serra."/>
    <x v="1"/>
    <x v="2"/>
    <x v="10"/>
    <n v="1"/>
    <m/>
    <s v="A empresa Eccoambiental está conduzindo a regularização para a baixa do termo de manutenção de reflorestamento. No entanto está pendente a apresentação do número do plano de reflorestamento e o recolhimento do registro junto ao Serflor. Eccoambiental continua em contato com a nova engenheira da Panagro para solucionar a questão."/>
    <s v="-"/>
    <s v="GPI"/>
    <x v="1"/>
  </r>
  <r>
    <x v="10"/>
    <x v="7"/>
    <x v="0"/>
    <s v="ABEC"/>
    <s v="PMBCS"/>
    <x v="6"/>
    <x v="0"/>
    <x v="7"/>
    <s v="Rod. Prefeito Francisco Teixeira, s/n - Costa da Serra."/>
    <x v="1"/>
    <x v="2"/>
    <x v="10"/>
    <n v="1"/>
    <d v="2019-11-05T00:00:00"/>
    <s v="Panagro quitou o débito junto ao Serflor e o IAP aceitou apenas o pagamento da empresa, uma vez que não foi possível localizar o técnico. Depois de emitida anuência do IAP o próximo passo é solicitar a baixa do Termo de Compromisso junto ao cartório."/>
    <s v="-"/>
    <s v="GPI"/>
    <x v="1"/>
  </r>
  <r>
    <x v="10"/>
    <x v="7"/>
    <x v="0"/>
    <s v="ABEC"/>
    <s v="PMBCS"/>
    <x v="6"/>
    <x v="0"/>
    <x v="7"/>
    <s v="Rod. Prefeito Francisco Teixeira, s/n - Costa da Serra."/>
    <x v="1"/>
    <x v="2"/>
    <x v="1"/>
    <n v="1"/>
    <m/>
    <s v="Cancelamento de matrícula (SANEPAR): Eventual futuro litígio tendo em vista sobreposição de documento."/>
    <s v="-"/>
    <s v="GPI"/>
    <x v="1"/>
  </r>
  <r>
    <x v="10"/>
    <x v="7"/>
    <x v="0"/>
    <s v="ABEC"/>
    <s v="PMBCS"/>
    <x v="6"/>
    <x v="0"/>
    <x v="7"/>
    <s v="Rod. Prefeito Francisco Teixeira, s/n - Costa da Serra."/>
    <x v="1"/>
    <x v="2"/>
    <x v="1"/>
    <n v="1"/>
    <d v="2020-05-11T00:00:00"/>
    <s v="Retificação da certificação processada. Rubens estará comparecendo no Registro de Imóveis para protocolar a averbação."/>
    <s v="-"/>
    <s v="GPI"/>
    <x v="1"/>
  </r>
  <r>
    <x v="10"/>
    <x v="7"/>
    <x v="0"/>
    <s v="ABEC"/>
    <s v="PMBCS"/>
    <x v="6"/>
    <x v="0"/>
    <x v="7"/>
    <s v="-"/>
    <x v="1"/>
    <x v="2"/>
    <x v="1"/>
    <n v="1"/>
    <d v="2020-06-12T00:00:00"/>
    <s v="Contato com o prestador EccoAmbiental na pessoa de Rubens, informou que não compareceu no Registro de Imóveis para protocolar a averbação. Registrado a cobrança por e-mail."/>
    <s v="-"/>
    <s v="GPI"/>
    <x v="1"/>
  </r>
  <r>
    <x v="10"/>
    <x v="7"/>
    <x v="0"/>
    <s v="ABEC"/>
    <s v="PMBCS"/>
    <x v="6"/>
    <x v="0"/>
    <x v="7"/>
    <s v="-"/>
    <x v="1"/>
    <x v="2"/>
    <x v="5"/>
    <n v="1"/>
    <d v="2020-06-15T00:00:00"/>
    <s v="O apontamento em relatório da empresa Ecco Ambiental é de que durante o último mês, não ocorreu nenhuma movimentação por parte do órgão no sentido de análise do cadastro."/>
    <s v="-"/>
    <s v="GPI"/>
    <x v="1"/>
  </r>
  <r>
    <x v="10"/>
    <x v="7"/>
    <x v="0"/>
    <s v="ABEC"/>
    <s v="PMBCS"/>
    <x v="6"/>
    <x v="0"/>
    <x v="7"/>
    <s v="-"/>
    <x v="1"/>
    <x v="2"/>
    <x v="1"/>
    <n v="1"/>
    <d v="2020-07-03T00:00:00"/>
    <s v="Rubens, havia informado anteriormente por telefone que havia protocolado o requerimento e que estava aguardando a análise do Registrador. Nesta data encaminhado e-mail averiguando se o Registro de Imóveis já havia retornado."/>
    <s v="-"/>
    <s v="GPI"/>
    <x v="1"/>
  </r>
  <r>
    <x v="10"/>
    <x v="7"/>
    <x v="0"/>
    <s v="ABEC"/>
    <s v="PMBCS"/>
    <x v="6"/>
    <x v="0"/>
    <x v="7"/>
    <s v="-"/>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10"/>
    <x v="7"/>
    <x v="0"/>
    <s v="ABEC"/>
    <s v="PMBCS"/>
    <x v="6"/>
    <x v="0"/>
    <x v="7"/>
    <s v="Rod. Prefeito Francisco Teixeira, s/n - Costa da Serra."/>
    <x v="1"/>
    <x v="2"/>
    <x v="10"/>
    <n v="1"/>
    <d v="2020-07-14T00:00:00"/>
    <s v="De posse do decreto estadual com a nomeação do servidor que assinou pelo IAP bem como, sua assinatura com firma reconhecida, a empresa Eccoambiental comunica que foi protocolizado perante o Registro de Imóveis o requerimento para baixa do termo. A análise está prevista para 13/08/2020."/>
    <s v="-"/>
    <s v="GPI"/>
    <x v="1"/>
  </r>
  <r>
    <x v="10"/>
    <x v="7"/>
    <x v="0"/>
    <s v="ABEC"/>
    <s v="PMBCS"/>
    <x v="6"/>
    <x v="0"/>
    <x v="7"/>
    <s v="-"/>
    <x v="1"/>
    <x v="2"/>
    <x v="1"/>
    <n v="1"/>
    <d v="2020-07-15T00:00:00"/>
    <s v="Registrador empenhou nota de diligência, requerendo CAR, CCIR, CND ITR e retificação das duas áreas. Cumprindo exigências."/>
    <s v="-"/>
    <s v="GPI"/>
    <x v="1"/>
  </r>
  <r>
    <x v="11"/>
    <x v="8"/>
    <x v="0"/>
    <s v="ABEC"/>
    <s v="PMBCS"/>
    <x v="7"/>
    <x v="3"/>
    <x v="8"/>
    <s v="Parque Gráfico - Cumbica."/>
    <x v="2"/>
    <x v="4"/>
    <x v="11"/>
    <n v="0"/>
    <m/>
    <m/>
    <s v="-"/>
    <s v="Jurídico Externo"/>
    <x v="4"/>
  </r>
  <r>
    <x v="12"/>
    <x v="9"/>
    <x v="0"/>
    <s v="UCE"/>
    <s v="PMBCS"/>
    <x v="8"/>
    <x v="1"/>
    <x v="9"/>
    <s v="Rua Evaldo Schaeffer, s/nº - Lote 13 - Jd. Atlântico."/>
    <x v="1"/>
    <x v="5"/>
    <x v="8"/>
    <n v="1"/>
    <d v="2020-03-05T00:00:00"/>
    <s v="Este caso integra a cisão II, conforme e-mail encaminhado pela gestora de Patrimônio Imobiliário ao núcleo de regularizações."/>
    <s v="-"/>
    <s v="Jurídico Externo"/>
    <x v="1"/>
  </r>
  <r>
    <x v="12"/>
    <x v="9"/>
    <x v="0"/>
    <s v="UCE"/>
    <s v="PMBCS"/>
    <x v="8"/>
    <x v="1"/>
    <x v="9"/>
    <s v="Rua Evaldo Schaeffer, s/nº - Lote 13 - Jd. Atlântico."/>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Jurídico Externo"/>
    <x v="1"/>
  </r>
  <r>
    <x v="12"/>
    <x v="9"/>
    <x v="0"/>
    <s v="UCE"/>
    <s v="PMBCS"/>
    <x v="8"/>
    <x v="1"/>
    <x v="9"/>
    <s v="Rua Evaldo Schaeffer, s/nº - Lote 13 - Jd. Atlântico."/>
    <x v="1"/>
    <x v="5"/>
    <x v="8"/>
    <n v="1"/>
    <d v="2020-06-10T00:00:00"/>
    <s v="Núcleo de regularizações retoma a solicitação de informações a gestora de patrimônio imobiliário, quanto a Ata."/>
    <s v="-"/>
    <s v="Jurídico Externo"/>
    <x v="1"/>
  </r>
  <r>
    <x v="12"/>
    <x v="9"/>
    <x v="0"/>
    <s v="UCE"/>
    <s v="PMBCS"/>
    <x v="8"/>
    <x v="1"/>
    <x v="9"/>
    <s v="Rua Evaldo Schaeffer, s/nº - Lote 13 - Jd. Atlântico."/>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Jurídico Externo"/>
    <x v="1"/>
  </r>
  <r>
    <x v="12"/>
    <x v="9"/>
    <x v="0"/>
    <s v="UCE"/>
    <s v="PMBCS"/>
    <x v="8"/>
    <x v="1"/>
    <x v="9"/>
    <s v="Rua Evaldo Schaeffer, s/nº - Lote 13 - Jd. Atlântico."/>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Jurídico Externo"/>
    <x v="1"/>
  </r>
  <r>
    <x v="12"/>
    <x v="9"/>
    <x v="0"/>
    <s v="UCE"/>
    <s v="PMBCS"/>
    <x v="8"/>
    <x v="1"/>
    <x v="9"/>
    <s v="Rua Evaldo Schaeffer, s/nº - Lote 13 - Jd. Atlântico."/>
    <x v="1"/>
    <x v="5"/>
    <x v="8"/>
    <n v="1"/>
    <d v="2020-07-02T00:00:00"/>
    <s v="Núcleo de regularizações retoma a solicitação de informações junto a PROJUR, na pessoa da Sra. Crislei."/>
    <s v="-"/>
    <s v="Jurídico Externo"/>
    <x v="1"/>
  </r>
  <r>
    <x v="13"/>
    <x v="1"/>
    <x v="0"/>
    <s v="ABEC"/>
    <s v="PMBCS"/>
    <x v="1"/>
    <x v="0"/>
    <x v="10"/>
    <s v="Rua Francisco Nunes, 951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14"/>
    <x v="3"/>
    <x v="0"/>
    <s v="UCE"/>
    <s v="PMBCS"/>
    <x v="3"/>
    <x v="1"/>
    <x v="3"/>
    <s v="Rua Irmãos Maristas, nº 513 - Centro."/>
    <x v="1"/>
    <x v="3"/>
    <x v="9"/>
    <n v="1"/>
    <d v="2019-09-17T00:00:00"/>
    <s v="Memorial descritivo e planta assinada pelo Ir. Délcio, inicia-se o tramite para coleta de assinatura dos 11 confrontantes"/>
    <s v="-"/>
    <s v="Jurídico Externo"/>
    <x v="1"/>
  </r>
  <r>
    <x v="14"/>
    <x v="3"/>
    <x v="0"/>
    <s v="UCE"/>
    <s v="PMBCS"/>
    <x v="3"/>
    <x v="1"/>
    <x v="3"/>
    <s v="Rua Irmãos Maristas, nº 513 - Centro."/>
    <x v="1"/>
    <x v="3"/>
    <x v="9"/>
    <n v="1"/>
    <d v="2019-12-15T00:00:00"/>
    <s v="As plantas foram protocoladas na prefeitura, estão aguardando aprovação do projeto e assinaturas. Devolutiva de que a prefeitura solicitou esclarecimento quanto a localização da matrícula de n.º 697."/>
    <s v="-"/>
    <s v="Jurídico Externo"/>
    <x v="1"/>
  </r>
  <r>
    <x v="14"/>
    <x v="3"/>
    <x v="0"/>
    <s v="UCE"/>
    <s v="PMBCS"/>
    <x v="3"/>
    <x v="1"/>
    <x v="3"/>
    <s v="Rua Irmãos Maristas, nº 513 - Centro."/>
    <x v="1"/>
    <x v="3"/>
    <x v="9"/>
    <n v="1"/>
    <d v="2020-01-17T00:00:00"/>
    <s v="As plantas foram protocoladas na prefeitura, estão aguardando aprovação do projeto e assinaturas."/>
    <s v="-"/>
    <s v="Jurídico Externo"/>
    <x v="1"/>
  </r>
  <r>
    <x v="14"/>
    <x v="3"/>
    <x v="0"/>
    <s v="UCE"/>
    <s v="PMBCS"/>
    <x v="3"/>
    <x v="1"/>
    <x v="3"/>
    <s v="Rua Irmãos Maristas, nº 513 - Centro."/>
    <x v="1"/>
    <x v="3"/>
    <x v="9"/>
    <n v="1"/>
    <d v="2020-03-16T00:00:00"/>
    <s v="A identificação da matrícula 697 de propriedade da UCE, gerou uma nova etapa do processo, tendo em vista que é preciso verificar se esta matrícula foi unificada ou não com a matrícula de n.º 5.240."/>
    <s v="-"/>
    <s v="Jurídico Externo"/>
    <x v="1"/>
  </r>
  <r>
    <x v="14"/>
    <x v="3"/>
    <x v="0"/>
    <s v="UCE"/>
    <s v="PMBCS"/>
    <x v="3"/>
    <x v="1"/>
    <x v="3"/>
    <s v="Rua Irmãos Maristas, nº 513 - Centro."/>
    <x v="1"/>
    <x v="3"/>
    <x v="9"/>
    <n v="1"/>
    <d v="2020-04-17T00:00:00"/>
    <s v="Ainda aguardando posição em relação ao movimento anterior."/>
    <s v="-"/>
    <s v="Jurídico Externo"/>
    <x v="1"/>
  </r>
  <r>
    <x v="14"/>
    <x v="3"/>
    <x v="0"/>
    <s v="UCE"/>
    <s v="PMBCS"/>
    <x v="3"/>
    <x v="1"/>
    <x v="3"/>
    <s v="Rua Irmãos Maristas, nº 513 - Centro."/>
    <x v="1"/>
    <x v="3"/>
    <x v="9"/>
    <n v="1"/>
    <d v="2020-05-11T00:00:00"/>
    <s v="Verificando informações sobre o confrontante. Escritório se comprometeu em comparecer no R.I. de Jaraguá do Sul, para avançar com a regularização."/>
    <s v="-"/>
    <s v="Jurídico Externo"/>
    <x v="1"/>
  </r>
  <r>
    <x v="14"/>
    <x v="3"/>
    <x v="0"/>
    <s v="UCE"/>
    <s v="PMBCS"/>
    <x v="3"/>
    <x v="1"/>
    <x v="3"/>
    <s v="Rua Irmãos Maristas, nº 513 - Centro."/>
    <x v="1"/>
    <x v="3"/>
    <x v="9"/>
    <n v="1"/>
    <d v="2020-06-16T00:00:00"/>
    <s v="Marcos da empresa Gengeo ficou de se reunir nessa semana com o responsável da Prefeitura, para verificar como será feita a correção do material em atendimento a exigência do Município. "/>
    <s v="-"/>
    <s v="Jurídico Externo"/>
    <x v="1"/>
  </r>
  <r>
    <x v="14"/>
    <x v="3"/>
    <x v="0"/>
    <s v="UCE"/>
    <s v="PMBCS"/>
    <x v="3"/>
    <x v="1"/>
    <x v="3"/>
    <s v="Rua Irmãos Maristas, nº 513 - Centro."/>
    <x v="1"/>
    <x v="3"/>
    <x v="9"/>
    <n v="1"/>
    <d v="2020-07-16T00:00:00"/>
    <s v="A empresa Gengeo, por meio do seu representante Marcos informou que esteve em contato com a Prefeitura, onde foi acordado a correção da planta. Estará sendo providenciada a correção da planta para enviar a Curitiba para coleta das assinatura. "/>
    <s v="-"/>
    <s v="Jurídico Externo"/>
    <x v="1"/>
  </r>
  <r>
    <x v="15"/>
    <x v="10"/>
    <x v="0"/>
    <s v="ABEC"/>
    <s v="PMBCS"/>
    <x v="9"/>
    <x v="0"/>
    <x v="11"/>
    <s v="Rua Vaz Caminha, nº 85 - Zona 02."/>
    <x v="2"/>
    <x v="0"/>
    <x v="0"/>
    <n v="0"/>
    <d v="2020-06-17T00:00:00"/>
    <s v="Escritório encaminha a certidão de débitos expedida pela prefeitura constatando a alteração da titularidade."/>
    <s v="-"/>
    <s v="Jurídico Externo"/>
    <x v="6"/>
  </r>
  <r>
    <x v="16"/>
    <x v="1"/>
    <x v="0"/>
    <s v="ABEC"/>
    <s v="PMBCS"/>
    <x v="1"/>
    <x v="0"/>
    <x v="12"/>
    <s v="Rua Iapó, 1225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17"/>
    <x v="11"/>
    <x v="0"/>
    <s v="ABEC"/>
    <s v="PMBCS"/>
    <x v="10"/>
    <x v="0"/>
    <x v="13"/>
    <s v="Rua Bonifacio Vilela, nº 1.155 - Jardim Carvalho."/>
    <x v="1"/>
    <x v="1"/>
    <x v="8"/>
    <n v="1"/>
    <d v="2019-09-15T00:00:00"/>
    <s v="Minuta de ata notarial, emissão de ART e certidão de breve relato da ABEC. Aguardando o pagamento das custas cartoriais."/>
    <s v="-"/>
    <s v="Jurídico Externo"/>
    <x v="1"/>
  </r>
  <r>
    <x v="17"/>
    <x v="11"/>
    <x v="0"/>
    <s v="ABEC"/>
    <s v="PMBCS"/>
    <x v="10"/>
    <x v="0"/>
    <x v="13"/>
    <s v="Rua Bonifacio Vilela, nº 1.155 - Jardim Carvalho."/>
    <x v="1"/>
    <x v="2"/>
    <x v="12"/>
    <n v="1"/>
    <d v="2019-10-15T00:00:00"/>
    <s v="Protocolo da Usucapião realizado no 3º RI, providências sendo tomadas para cumprir a exigência."/>
    <s v="-"/>
    <s v="Jurídico Externo"/>
    <x v="1"/>
  </r>
  <r>
    <x v="17"/>
    <x v="11"/>
    <x v="0"/>
    <s v="ABEC"/>
    <s v="PMBCS"/>
    <x v="10"/>
    <x v="0"/>
    <x v="13"/>
    <s v="Rua Bonifacio Vilela, nº 1.155 - Jardim Carvalho."/>
    <x v="1"/>
    <x v="2"/>
    <x v="12"/>
    <n v="1"/>
    <d v="2020-01-07T00:00:00"/>
    <s v="Empenhada a nota de exigência, os lotes 85, 86, 87 estão unificados peranta a prefeitura. Todavia perante o registro de imóveis o lote 85 já encontra sob a titularidade da ABEC, enquanto os lotes 86 e 87 ainda estão em nome de terceiro (objeto da usucapião). Dayana informou que a prefeitura irá expedir  nova certidão excluindo o lote 85, possibilitando a regularização. Todavia a pessoa retorna de férias somente em 08/01/2019."/>
    <s v="-"/>
    <s v="Jurídico Externo"/>
    <x v="1"/>
  </r>
  <r>
    <x v="17"/>
    <x v="11"/>
    <x v="0"/>
    <s v="ABEC"/>
    <s v="PMBCS"/>
    <x v="10"/>
    <x v="0"/>
    <x v="13"/>
    <s v="Rua Bonifacio Vilela, nº 1.155 - Jardim Carvalho."/>
    <x v="1"/>
    <x v="2"/>
    <x v="12"/>
    <n v="1"/>
    <d v="2020-01-17T00:00:00"/>
    <s v="Não foi relatado a respeito de eventual retorno da prefeitura quanto a expedição da nova certidão."/>
    <s v="-"/>
    <s v="Jurídico Externo"/>
    <x v="1"/>
  </r>
  <r>
    <x v="17"/>
    <x v="11"/>
    <x v="0"/>
    <s v="ABEC"/>
    <s v="PMBCS"/>
    <x v="10"/>
    <x v="0"/>
    <x v="13"/>
    <s v="Rua Bonifacio Vilela, nº 1.155 - Jardim Carvalho."/>
    <x v="1"/>
    <x v="2"/>
    <x v="12"/>
    <n v="1"/>
    <d v="2020-02-18T00:00:00"/>
    <s v="Prefeitura emitiu a certidão de metragens, excluindo o lote 85, atualmente está sendo elaborada a adaptação a planta, mantendo somente os lotes 86 e 87 com objeto da usucapião."/>
    <s v="-"/>
    <s v="Jurídico Externo"/>
    <x v="1"/>
  </r>
  <r>
    <x v="17"/>
    <x v="11"/>
    <x v="0"/>
    <s v="ABEC"/>
    <s v="PMBCS"/>
    <x v="10"/>
    <x v="0"/>
    <x v="13"/>
    <s v="Rua Bonifacio Vilela, nº 1.155 - Jardim Carvalho."/>
    <x v="1"/>
    <x v="2"/>
    <x v="12"/>
    <n v="1"/>
    <d v="2020-03-16T00:00:00"/>
    <s v="Cobrada a realização das alterações na planta pelo responsável técnico, a retificação foi realizada pela Prefeitura de Ponta Grossa da certidão de metragens, retirando o Lote 85, está senda elaborada a adaptação na planta, mantendo somente os lotes 86/87 com objeto da usucapião Extrajudicial, as demais exigências poderão ser cumpridas."/>
    <s v="-"/>
    <s v="Jurídico Externo"/>
    <x v="1"/>
  </r>
  <r>
    <x v="17"/>
    <x v="11"/>
    <x v="0"/>
    <s v="ABEC"/>
    <s v="PMBCS"/>
    <x v="10"/>
    <x v="0"/>
    <x v="13"/>
    <s v="Rua Bonifacio Vilela, nº 1.155 - Jardim Carvalho."/>
    <x v="1"/>
    <x v="2"/>
    <x v="12"/>
    <n v="1"/>
    <d v="2020-04-17T00:00:00"/>
    <s v="No aguardo do envio das plantas para assinatura do representante legal da ABEC, assinar e reingressar junto ao Registro de Imóveis"/>
    <s v="-"/>
    <s v="Jurídico Externo"/>
    <x v="1"/>
  </r>
  <r>
    <x v="17"/>
    <x v="11"/>
    <x v="0"/>
    <s v="ABEC"/>
    <s v="PMBCS"/>
    <x v="10"/>
    <x v="0"/>
    <x v="13"/>
    <s v="Rua Bonifacio Vilela, nº 1.155 - Jardim Carvalho."/>
    <x v="1"/>
    <x v="2"/>
    <x v="12"/>
    <n v="1"/>
    <d v="2020-05-11T00:00:00"/>
    <s v="O documento (planta) mencionado nos andamentos anteriores ainda não foi recebido no Grupo Marista. O escritório permanece no aguardo do envio da documentação."/>
    <s v="-"/>
    <s v="Jurídico Externo"/>
    <x v="1"/>
  </r>
  <r>
    <x v="17"/>
    <x v="11"/>
    <x v="0"/>
    <s v="ABEC"/>
    <s v="PMBCS"/>
    <x v="10"/>
    <x v="0"/>
    <x v="13"/>
    <s v="Rua Bonifacio Vilela, nº 1.155 - Jardim Carvalho."/>
    <x v="1"/>
    <x v="2"/>
    <x v="12"/>
    <n v="1"/>
    <d v="2020-06-16T00:00:00"/>
    <s v="O escritório permanece no aguardo do envio da documentação."/>
    <s v="-"/>
    <s v="Jurídico Externo"/>
    <x v="1"/>
  </r>
  <r>
    <x v="17"/>
    <x v="11"/>
    <x v="0"/>
    <s v="ABEC"/>
    <s v="PMBCS"/>
    <x v="10"/>
    <x v="0"/>
    <x v="13"/>
    <s v="Rua Bonifacio Vilela, nº 1.155 - Jardim Carvalho."/>
    <x v="1"/>
    <x v="2"/>
    <x v="12"/>
    <n v="1"/>
    <d v="2020-07-16T00:00:00"/>
    <s v="Topógrafo irá concluir as alterações necessárias e as enviará por e-mail. As alterações não incluirão as benfeitorias. Concomitante verifica-rá a necessidade de alterar a ART e informará caso haver custos/despesas extras."/>
    <s v="-"/>
    <s v="Jurídico Externo"/>
    <x v="1"/>
  </r>
  <r>
    <x v="18"/>
    <x v="12"/>
    <x v="0"/>
    <s v="ABEC"/>
    <s v="GM"/>
    <x v="11"/>
    <x v="1"/>
    <x v="14"/>
    <s v="Rua Aquidabam, 238 - Glória."/>
    <x v="2"/>
    <x v="0"/>
    <x v="0"/>
    <n v="0"/>
    <m/>
    <s v="-"/>
    <s v="-"/>
    <s v="Verificar"/>
    <x v="1"/>
  </r>
  <r>
    <x v="19"/>
    <x v="13"/>
    <x v="0"/>
    <s v="ABEC"/>
    <s v="PMBCS"/>
    <x v="12"/>
    <x v="4"/>
    <x v="15"/>
    <s v="Rua Cel. Bento de Godoy - Mansões do Rio Quente."/>
    <x v="2"/>
    <x v="0"/>
    <x v="0"/>
    <n v="0"/>
    <d v="2020-03-16T00:00:00"/>
    <s v="Escritura registrada."/>
    <s v="-"/>
    <s v="Jurídico Externo"/>
    <x v="7"/>
  </r>
  <r>
    <x v="20"/>
    <x v="6"/>
    <x v="0"/>
    <s v="ABEC"/>
    <s v="PMBCS"/>
    <x v="1"/>
    <x v="0"/>
    <x v="16"/>
    <s v="Rua Prof. Joaquim de Matos Barreto, nº 98 - São Lourenço."/>
    <x v="1"/>
    <x v="1"/>
    <x v="8"/>
    <n v="1"/>
    <d v="2020-07-16T00:00:00"/>
    <s v="Processo de alteração de titularidade ainda não realizado."/>
    <s v="-"/>
    <s v="Jurídico Externo"/>
    <x v="1"/>
  </r>
  <r>
    <x v="21"/>
    <x v="14"/>
    <x v="0"/>
    <s v="APC"/>
    <s v="GM"/>
    <x v="13"/>
    <x v="0"/>
    <x v="17"/>
    <s v="Estrada da Graciosa, Rodovia PR 410 Km 24"/>
    <x v="1"/>
    <x v="2"/>
    <x v="5"/>
    <n v="1"/>
    <d v="2019-09-01T00:00:00"/>
    <s v="Retificação do Cadastro Ambiental Rural."/>
    <s v="-"/>
    <s v="Jurídico Externo"/>
    <x v="1"/>
  </r>
  <r>
    <x v="21"/>
    <x v="14"/>
    <x v="0"/>
    <s v="APC"/>
    <s v="GM"/>
    <x v="13"/>
    <x v="0"/>
    <x v="17"/>
    <s v="Estrada da Graciosa, Rodovia PR 410 Km 24"/>
    <x v="1"/>
    <x v="2"/>
    <x v="13"/>
    <n v="1"/>
    <d v="2019-10-08T00:00:00"/>
    <s v="Audiência de mediação, referente ao processo de execução de título extrajudicial, Saul propõe a APC o pagamento de R$ 700.000,00 para encerramento dos 04 processos. Situação apresentada ao Irmão que por sua vez não concordou com a proposta. Nova audiência ocorrerá em 29/10/2019. Existem ainda as ações de embargos à execução de título extrajudicial."/>
    <s v="-"/>
    <s v="Jurídico Externo"/>
    <x v="1"/>
  </r>
  <r>
    <x v="21"/>
    <x v="14"/>
    <x v="0"/>
    <s v="APC"/>
    <s v="GM"/>
    <x v="13"/>
    <x v="0"/>
    <x v="17"/>
    <s v="Estrada da Graciosa, Rodovia PR 410 Km 24"/>
    <x v="1"/>
    <x v="2"/>
    <x v="13"/>
    <n v="1"/>
    <d v="2019-11-18T00:00:00"/>
    <s v="Audiência em 24/10 não havendo acordo das partes. APC quer a devolução do imóvel e cancelamento do contrato de compra e venda de imóvel assindo em 2012."/>
    <s v="-"/>
    <s v="Jurídico Externo"/>
    <x v="1"/>
  </r>
  <r>
    <x v="21"/>
    <x v="14"/>
    <x v="0"/>
    <s v="APC"/>
    <s v="GM"/>
    <x v="13"/>
    <x v="0"/>
    <x v="17"/>
    <s v="Estrada da Graciosa, Rodovia PR 410 Km 24"/>
    <x v="1"/>
    <x v="2"/>
    <x v="13"/>
    <n v="1"/>
    <d v="2019-12-15T00:00:00"/>
    <s v="Aberto o prazo para apresentação da defesa. Apresentada defesa sendo determinado o prazo para o autor apresentar impugnação a contestação. Aguardamos a intimação e o decurso do prazo para a decisão inicial."/>
    <s v="-"/>
    <s v="Jurídico Externo"/>
    <x v="1"/>
  </r>
  <r>
    <x v="21"/>
    <x v="14"/>
    <x v="0"/>
    <s v="APC"/>
    <s v="GM"/>
    <x v="13"/>
    <x v="0"/>
    <x v="17"/>
    <s v="Estrada da Graciosa, Rodovia PR 410 Km 24"/>
    <x v="1"/>
    <x v="2"/>
    <x v="13"/>
    <n v="1"/>
    <d v="2020-02-18T00:00:00"/>
    <s v="Autor apresentou impugnação rebatendo todos os argumentos de defesa requerendo a integral procedência da ação._x000a_Juiz determinou a apresentação de especificação de provas._x000a_Aguardamos o término do prazo para decisão saneadora."/>
    <s v="-"/>
    <s v="Jurídico Externo"/>
    <x v="1"/>
  </r>
  <r>
    <x v="21"/>
    <x v="14"/>
    <x v="0"/>
    <s v="APC"/>
    <s v="GM"/>
    <x v="13"/>
    <x v="0"/>
    <x v="17"/>
    <s v="Estrada da Graciosa, Rodovia PR 410 Km 24"/>
    <x v="1"/>
    <x v="2"/>
    <x v="13"/>
    <n v="1"/>
    <d v="2020-03-16T00:00:00"/>
    <s v="Aguarda-se o término do prazo para decisão saneadora."/>
    <s v="-"/>
    <s v="Jurídico Externo"/>
    <x v="1"/>
  </r>
  <r>
    <x v="21"/>
    <x v="14"/>
    <x v="0"/>
    <s v="APC"/>
    <s v="GM"/>
    <x v="13"/>
    <x v="0"/>
    <x v="17"/>
    <s v="Estrada da Graciosa, Rodovia PR 410 Km 24"/>
    <x v="1"/>
    <x v="2"/>
    <x v="13"/>
    <n v="1"/>
    <d v="2020-05-11T00:00:00"/>
    <s v="Concedido o pedido de julgamento antecipado, determinando a remessa do processo para o contador._x000a_Foi juntado o cálculo de custas pelo contador, sem custas a serem pagas, assim o processo será concluso para prolação da sentença."/>
    <s v="-"/>
    <s v="Jurídico Externo"/>
    <x v="1"/>
  </r>
  <r>
    <x v="21"/>
    <x v="14"/>
    <x v="0"/>
    <s v="APC"/>
    <s v="GM"/>
    <x v="13"/>
    <x v="0"/>
    <x v="17"/>
    <s v="Estrada da Graciosa, Rodovia PR 410 Km 24"/>
    <x v="1"/>
    <x v="2"/>
    <x v="5"/>
    <n v="1"/>
    <d v="2020-06-15T00:00:00"/>
    <s v="O apontamento em relatório da empresa Ecco Ambiental é de que durante o último mês, não ocorreu nenhuma movimentação por parte do órgão no sentido de análise do cadastro."/>
    <s v="-"/>
    <s v="Jurídico Externo"/>
    <x v="1"/>
  </r>
  <r>
    <x v="21"/>
    <x v="14"/>
    <x v="0"/>
    <s v="APC"/>
    <s v="GM"/>
    <x v="13"/>
    <x v="0"/>
    <x v="17"/>
    <s v="Estrada da Graciosa, Rodovia PR 410 Km 24"/>
    <x v="1"/>
    <x v="2"/>
    <x v="13"/>
    <n v="1"/>
    <d v="2020-06-16T00:00:00"/>
    <s v="Processo concluso para sentença."/>
    <s v="-"/>
    <s v="Jurídico Externo"/>
    <x v="1"/>
  </r>
  <r>
    <x v="21"/>
    <x v="14"/>
    <x v="0"/>
    <s v="APC"/>
    <s v="GM"/>
    <x v="13"/>
    <x v="0"/>
    <x v="17"/>
    <s v="Estrada da Graciosa, Rodovia PR 410 Km 24"/>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Jurídico Externo"/>
    <x v="1"/>
  </r>
  <r>
    <x v="21"/>
    <x v="14"/>
    <x v="0"/>
    <s v="APC"/>
    <s v="GM"/>
    <x v="13"/>
    <x v="0"/>
    <x v="17"/>
    <s v="Estrada da Graciosa, Rodovia PR 410 Km 24"/>
    <x v="1"/>
    <x v="2"/>
    <x v="13"/>
    <n v="1"/>
    <d v="2020-07-15T00:00:00"/>
    <s v="A ação de execução de título extrajudicial, está suspensa por conta dos embargos de execução. Com relação a ação de embargos à execução de título extrajudicial. Juiz despachou não realizando o juízo de retratação, determinando tão somente a remessa ao TJPR. Aguardando a retomada do julgamento em 2º Grau, sem previsão. Processo permanece em conclusão com o Relator Desembargador João Antônio De Marchi. O autor da ação veio a óbito, respondendo o espólio pela dívida."/>
    <s v="-"/>
    <s v="Jurídico Externo"/>
    <x v="1"/>
  </r>
  <r>
    <x v="22"/>
    <x v="15"/>
    <x v="0"/>
    <s v="ABEC"/>
    <s v="PMBCS"/>
    <x v="14"/>
    <x v="5"/>
    <x v="18"/>
    <s v="Rua Vandenkolk, 137 - Olaria."/>
    <x v="1"/>
    <x v="2"/>
    <x v="8"/>
    <n v="1"/>
    <m/>
    <s v="Processo judicial de imunidade de ITBI em andamento, repetição de Indébito."/>
    <s v="-"/>
    <s v="Jurídico Interno"/>
    <x v="1"/>
  </r>
  <r>
    <x v="22"/>
    <x v="15"/>
    <x v="0"/>
    <s v="ABEC"/>
    <s v="PMBCS"/>
    <x v="14"/>
    <x v="5"/>
    <x v="18"/>
    <s v="Rua Vandenkolk, 137 - Olaria."/>
    <x v="1"/>
    <x v="1"/>
    <x v="8"/>
    <n v="1"/>
    <m/>
    <s v="-"/>
    <s v="-"/>
    <s v="Jurídico Externo"/>
    <x v="1"/>
  </r>
  <r>
    <x v="22"/>
    <x v="15"/>
    <x v="0"/>
    <s v="ABEC"/>
    <s v="PMBCS"/>
    <x v="14"/>
    <x v="5"/>
    <x v="18"/>
    <s v="Rua Vandenkolk, 137 - Olaria."/>
    <x v="1"/>
    <x v="2"/>
    <x v="8"/>
    <n v="1"/>
    <d v="2020-06-24T00:00:00"/>
    <s v="Emissão da guia de ITBI e encaminhada para pagamento (vencimento para 22/07/2020) _ Pagamento efetuado"/>
    <s v="-"/>
    <s v="Jurídico Interno"/>
    <x v="1"/>
  </r>
  <r>
    <x v="22"/>
    <x v="15"/>
    <x v="0"/>
    <s v="ABEC"/>
    <s v="PMBCS"/>
    <x v="14"/>
    <x v="5"/>
    <x v="18"/>
    <s v="Rua Vandenkolk, 137 - Olaria."/>
    <x v="1"/>
    <x v="2"/>
    <x v="8"/>
    <n v="1"/>
    <d v="2020-07-27T00:00:00"/>
    <s v="Emissão da certidão de ITBI e contato com Patrimônio Imobiliário da UBEE para avançar com o assunto _ Andamento com o Cartório Leão desde 13/08/20"/>
    <s v="-"/>
    <s v="Jurídico Interno"/>
    <x v="1"/>
  </r>
  <r>
    <x v="22"/>
    <x v="15"/>
    <x v="0"/>
    <s v="ABEC"/>
    <s v="PMBCS"/>
    <x v="14"/>
    <x v="5"/>
    <x v="18"/>
    <s v="Rua Vandenkolk, 137 - Olaria."/>
    <x v="1"/>
    <x v="5"/>
    <x v="8"/>
    <n v="1"/>
    <d v="2020-08-13T00:00:00"/>
    <s v="Minuta da Escritura de Compra e Venda em  Andamento com o Cartório Leão; Aguardando retorno de CND's e documento societários da UCE, Sérgio e Maria de Fárima"/>
    <s v="-"/>
    <s v="Jurídico Externo"/>
    <x v="1"/>
  </r>
  <r>
    <x v="23"/>
    <x v="1"/>
    <x v="0"/>
    <s v="ABEC"/>
    <s v="PMBCS"/>
    <x v="1"/>
    <x v="0"/>
    <x v="19"/>
    <s v="BR 116, 11.848 - Prado Velho."/>
    <x v="1"/>
    <x v="1"/>
    <x v="14"/>
    <n v="1"/>
    <d v="2020-03-10T00:00:00"/>
    <s v="Estabelecido contato com a Natasha do Cartório Leão, sendo informada a necessidade de renovação da certidão de imunidade de ITBI. Demando ao Alaor, o qual já iniciou providência junto a prefeitura de Curitiba."/>
    <s v="-"/>
    <s v="Jurídico Externo"/>
    <x v="1"/>
  </r>
  <r>
    <x v="23"/>
    <x v="1"/>
    <x v="0"/>
    <s v="ABEC"/>
    <s v="PMBCS"/>
    <x v="1"/>
    <x v="0"/>
    <x v="19"/>
    <s v="BR 116, 11.848 - Prado Velho."/>
    <x v="1"/>
    <x v="2"/>
    <x v="14"/>
    <n v="1"/>
    <d v="2020-05-11T00:00:00"/>
    <s v="Alaor encaminha a renovação da certidão de imunidade de ITBI. Processo está na dependência do Cartório encaminhar a escritura para os representantes da APC e ABEC assinarem."/>
    <s v="-"/>
    <s v="GPI"/>
    <x v="1"/>
  </r>
  <r>
    <x v="23"/>
    <x v="1"/>
    <x v="0"/>
    <s v="ABEC"/>
    <s v="PMBCS"/>
    <x v="1"/>
    <x v="0"/>
    <x v="19"/>
    <s v="BR 116, 11.848 - Prado Velho."/>
    <x v="1"/>
    <x v="2"/>
    <x v="14"/>
    <n v="1"/>
    <d v="2020-06-09T00:00:00"/>
    <s v="E-mail ao Alaor solicitando informação quanto a disponibilização da declaração da prefeitura; bem como encaminhado e-mail a Natasha."/>
    <s v="-"/>
    <s v="GPI"/>
    <x v="1"/>
  </r>
  <r>
    <x v="23"/>
    <x v="1"/>
    <x v="0"/>
    <s v="ABEC"/>
    <s v="PMBCS"/>
    <x v="1"/>
    <x v="0"/>
    <x v="19"/>
    <s v="BR 116, 11.848 - Prado Velho."/>
    <x v="1"/>
    <x v="2"/>
    <x v="14"/>
    <n v="1"/>
    <d v="2020-06-16T00:00:00"/>
    <s v="Sra. Natasha encaminha minuta final para conferência."/>
    <s v="-"/>
    <s v="GPI"/>
    <x v="1"/>
  </r>
  <r>
    <x v="23"/>
    <x v="1"/>
    <x v="0"/>
    <s v="ABEC"/>
    <s v="PMBCS"/>
    <x v="1"/>
    <x v="0"/>
    <x v="19"/>
    <s v="BR 116, 11.848 - Prado Velho."/>
    <x v="1"/>
    <x v="2"/>
    <x v="14"/>
    <n v="1"/>
    <d v="2020-06-22T00:00:00"/>
    <s v="Sra. Natasha questiona como ficou a coleta de assinaturas. Informado que o Vinicius ou ao Rafael, poderiam comparecer no prédio administrativo, pois seria possível coletar a assinatura do Ir. Délcio e Ir. Lino e quanto ao Ir. Roque, o Vinicius ou o Rafael, teriam de comparecer na residência provincial, visto que a escritura não poderá ser deixada com o Ir. Lino._x000a_Atenciosamente,"/>
    <s v="-"/>
    <s v="GPI"/>
    <x v="1"/>
  </r>
  <r>
    <x v="23"/>
    <x v="1"/>
    <x v="0"/>
    <s v="ABEC"/>
    <s v="PMBCS"/>
    <x v="1"/>
    <x v="0"/>
    <x v="19"/>
    <s v="BR 116, 11.848 - Prado Velho."/>
    <x v="1"/>
    <x v="2"/>
    <x v="14"/>
    <n v="1"/>
    <d v="2020-07-03T00:00:00"/>
    <s v="Providência no sentido de obter atualização da Sra. Natasha no sentido se as assinaturas foram ou não coletadas. Retorno informando que já coletou as assinaturas e que já encaminhou para registro."/>
    <s v="-"/>
    <s v="GPI"/>
    <x v="1"/>
  </r>
  <r>
    <x v="23"/>
    <x v="1"/>
    <x v="0"/>
    <s v="ABEC"/>
    <s v="PMBCS"/>
    <x v="1"/>
    <x v="0"/>
    <x v="19"/>
    <s v="BR 116, 11.848 - Prado Velho."/>
    <x v="1"/>
    <x v="2"/>
    <x v="14"/>
    <n v="1"/>
    <d v="2020-07-24T00:00:00"/>
    <s v="Providência no sentido de obter atualização do assunto, junto a Sra. Natasha se o Registro de Imóveis, já havia ou não registrado a escritura. Retorno informando que o Registro de Imóveis havia solicitado a guia de ITBI atualizada, que a mesma teria ficado pronta nesta data e já encaminhada ao Registro de Imóveis. Estimou um prazo entre 10 a 15 dias para finalização do processo."/>
    <s v="-"/>
    <s v="GPI"/>
    <x v="1"/>
  </r>
  <r>
    <x v="23"/>
    <x v="1"/>
    <x v="0"/>
    <s v="ABEC"/>
    <s v="PMBCS"/>
    <x v="1"/>
    <x v="0"/>
    <x v="19"/>
    <s v="BR 116, 11.848 - Prado Velho."/>
    <x v="1"/>
    <x v="2"/>
    <x v="14"/>
    <n v="1"/>
    <d v="2020-08-05T00:00:00"/>
    <s v="Natasha encaminha certidão da matrícula com o registro da escritura. Pendente a transferência da titularidade perante a prefeitura"/>
    <s v="-"/>
    <s v="GPI"/>
    <x v="1"/>
  </r>
  <r>
    <x v="24"/>
    <x v="16"/>
    <x v="0"/>
    <s v="APC"/>
    <s v="PMBCS"/>
    <x v="15"/>
    <x v="1"/>
    <x v="20"/>
    <s v="Rua Dom Pedro II, 110 - Cidade Nova."/>
    <x v="1"/>
    <x v="1"/>
    <x v="8"/>
    <n v="1"/>
    <d v="2020-07-16T00:00:00"/>
    <s v="Processo de alteração de titularidade ainda não realizado. Ainda, nesta data o cartório Ricardo Leão disponibiliza a minuta da escritura de cisão para análise."/>
    <s v="-"/>
    <s v="Jurídico Externo"/>
    <x v="1"/>
  </r>
  <r>
    <x v="25"/>
    <x v="3"/>
    <x v="0"/>
    <s v="UCE"/>
    <s v="PMBCS"/>
    <x v="3"/>
    <x v="1"/>
    <x v="3"/>
    <s v="Rua Irmãos Maristas, nº 513 - Centro."/>
    <x v="1"/>
    <x v="3"/>
    <x v="9"/>
    <n v="1"/>
    <m/>
    <s v="Esta matrícula está sobrepondo a de n.º 697 também de propriedade da União Catarinense de Educação. Realizando estudo se no passado foi unificada ou não."/>
    <s v="-"/>
    <s v="Jurídico Externo"/>
    <x v="1"/>
  </r>
  <r>
    <x v="26"/>
    <x v="2"/>
    <x v="0"/>
    <s v="ABEC"/>
    <s v="PMBCS"/>
    <x v="2"/>
    <x v="0"/>
    <x v="2"/>
    <s v="Rua Fazenda Iguaçú, s/n - Capocu."/>
    <x v="1"/>
    <x v="2"/>
    <x v="4"/>
    <n v="1"/>
    <m/>
    <s v="-"/>
    <s v="-"/>
    <s v="Jurídico Interno"/>
    <x v="1"/>
  </r>
  <r>
    <x v="26"/>
    <x v="2"/>
    <x v="0"/>
    <s v="ABEC"/>
    <s v="PMBCS"/>
    <x v="2"/>
    <x v="0"/>
    <x v="2"/>
    <s v="Rua Fazenda Iguaçú, s/n - Capocu."/>
    <x v="0"/>
    <x v="0"/>
    <x v="0"/>
    <n v="0"/>
    <m/>
    <s v="Transferência (dação em pagamento) entre APC e ABEC."/>
    <s v="-"/>
    <s v="Jurídico Externo"/>
    <x v="8"/>
  </r>
  <r>
    <x v="26"/>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Jurídico Externo"/>
    <x v="1"/>
  </r>
  <r>
    <x v="26"/>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Jurídico Externo"/>
    <x v="1"/>
  </r>
  <r>
    <x v="27"/>
    <x v="2"/>
    <x v="0"/>
    <s v="ABEC"/>
    <s v="PMBCS"/>
    <x v="2"/>
    <x v="0"/>
    <x v="2"/>
    <s v="Rua Fazenda Iguaçú, s/n - Capocu."/>
    <x v="1"/>
    <x v="1"/>
    <x v="15"/>
    <n v="1"/>
    <d v="2020-04-23T00:00:00"/>
    <s v="Ocorreu nesta data o registro da transferência da propriedade da ABEC para a UCE, perante o Registro de Imóveis. Estando pendente a transferência de titularidade perante a RFB e INCRA."/>
    <s v="-"/>
    <s v="Jurídico Externo"/>
    <x v="1"/>
  </r>
  <r>
    <x v="27"/>
    <x v="2"/>
    <x v="0"/>
    <s v="ABEC"/>
    <s v="PMBCS"/>
    <x v="2"/>
    <x v="0"/>
    <x v="2"/>
    <s v="Rua Fazenda Iguaçú, s/n - Capocu."/>
    <x v="1"/>
    <x v="1"/>
    <x v="15"/>
    <n v="1"/>
    <d v="2020-07-16T00:00:00"/>
    <s v="Processo de alteração de titularidade ainda não realizado."/>
    <s v="-"/>
    <s v="Jurídico Externo"/>
    <x v="1"/>
  </r>
  <r>
    <x v="27"/>
    <x v="2"/>
    <x v="0"/>
    <s v="ABEC"/>
    <s v="PMBCS"/>
    <x v="2"/>
    <x v="0"/>
    <x v="2"/>
    <s v="Rua Fazenda Iguaçú, s/n - Capocu."/>
    <x v="1"/>
    <x v="2"/>
    <x v="4"/>
    <n v="1"/>
    <m/>
    <s v="-"/>
    <s v="-"/>
    <s v="Jurídico Interno"/>
    <x v="1"/>
  </r>
  <r>
    <x v="27"/>
    <x v="2"/>
    <x v="0"/>
    <s v="ABEC"/>
    <s v="PMBCS"/>
    <x v="2"/>
    <x v="0"/>
    <x v="2"/>
    <s v="Rua Fazenda Iguaçú, s/n - Capocu."/>
    <x v="0"/>
    <x v="0"/>
    <x v="0"/>
    <n v="0"/>
    <m/>
    <s v="Transferência (dação em pagamento) entre APC e ABEC."/>
    <s v="-"/>
    <s v="Jurídico Externo"/>
    <x v="0"/>
  </r>
  <r>
    <x v="27"/>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Jurídico Externo"/>
    <x v="1"/>
  </r>
  <r>
    <x v="27"/>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Jurídico Externo"/>
    <x v="1"/>
  </r>
  <r>
    <x v="28"/>
    <x v="1"/>
    <x v="0"/>
    <s v="UCE"/>
    <s v="PMBCS"/>
    <x v="1"/>
    <x v="0"/>
    <x v="21"/>
    <s v="Rua Comendador Roseira, 599 - Prado Velho."/>
    <x v="2"/>
    <x v="0"/>
    <x v="0"/>
    <n v="0"/>
    <m/>
    <s v="-"/>
    <s v="-"/>
    <s v="Verificar"/>
    <x v="1"/>
  </r>
  <r>
    <x v="29"/>
    <x v="17"/>
    <x v="0"/>
    <s v="ABEC"/>
    <s v="PMBCS"/>
    <x v="16"/>
    <x v="0"/>
    <x v="22"/>
    <s v="Rodovia dos Minérios - Botiatuba."/>
    <x v="1"/>
    <x v="3"/>
    <x v="16"/>
    <n v="1"/>
    <d v="2020-05-11T00:00:00"/>
    <s v="Escritório até o presente momento não definiu a estratégia de atuação."/>
    <s v="-"/>
    <s v="Jurídico Externo"/>
    <x v="1"/>
  </r>
  <r>
    <x v="29"/>
    <x v="17"/>
    <x v="0"/>
    <s v="ABEC"/>
    <s v="PMBCS"/>
    <x v="16"/>
    <x v="0"/>
    <x v="22"/>
    <s v="Rodovia dos Minérios - Botiatuba."/>
    <x v="1"/>
    <x v="3"/>
    <x v="16"/>
    <n v="1"/>
    <d v="2019-12-03T00:00:00"/>
    <s v="Tendo em vista que o levantamento topográfico realizado pela empresa Marco Engenharia, gera margem para dúvida, por não haver evidências do comparecimento in loco no imóvel foi contratada outra empresa para realizar o levantamento. A qual realizou contato informando que a entrega do trabalho ocorrerá em 06/12. Referido trabalho possibilitará uma melhor compreensão da área real do imóvel bem como as suas divisas e subsidiando também o processo de desapropriação junto ao Departamento de Estradas e Rodagem - DER, tendo em vista a questão da duplicação da rodovia, remetendo ao ponto da faixa de domínio."/>
    <s v="-"/>
    <s v="Jurídico Externo"/>
    <x v="1"/>
  </r>
  <r>
    <x v="29"/>
    <x v="17"/>
    <x v="0"/>
    <s v="ABEC"/>
    <s v="PMBCS"/>
    <x v="16"/>
    <x v="0"/>
    <x v="22"/>
    <s v="Rodovia dos Minérios - Botiatuba."/>
    <x v="1"/>
    <x v="1"/>
    <x v="8"/>
    <n v="1"/>
    <m/>
    <s v="-"/>
    <s v="-"/>
    <s v="Jurídico Externo"/>
    <x v="1"/>
  </r>
  <r>
    <x v="29"/>
    <x v="17"/>
    <x v="0"/>
    <s v="ABEC"/>
    <s v="PMBCS"/>
    <x v="16"/>
    <x v="0"/>
    <x v="22"/>
    <s v="Rodovia dos Minérios - Botiatuba."/>
    <x v="1"/>
    <x v="2"/>
    <x v="5"/>
    <n v="1"/>
    <d v="2020-06-15T00:00:00"/>
    <s v="O apontamento em relatório da empresa Ecco Ambiental é de que durante o último mês, não ocorreu nenhuma movimentação por parte do órgão no sentido de análise do cadastro."/>
    <s v="-"/>
    <s v="Jurídico Externo"/>
    <x v="1"/>
  </r>
  <r>
    <x v="29"/>
    <x v="17"/>
    <x v="0"/>
    <s v="ABEC"/>
    <s v="PMBCS"/>
    <x v="16"/>
    <x v="0"/>
    <x v="22"/>
    <s v="Rodovia dos Minérios - Botiatuba."/>
    <x v="1"/>
    <x v="3"/>
    <x v="16"/>
    <n v="1"/>
    <d v="2020-06-16T00:00:00"/>
    <s v="Foi encaminhado ao escritório Gobbo e Guimarães, levantamento topográfico realizado pela empresa Terra Sul; bem como registro fotográfico da frente do imóvel evidenciando que a obra de duplicação já está em frente ao imóvel. O escritório ainda não definiu uma estratégia para com o assunto, relata que busca não levar a discussão da desapropriação para o polo judicial, pois estima um prazo de 10 anos."/>
    <s v="-"/>
    <s v="Jurídico Externo"/>
    <x v="1"/>
  </r>
  <r>
    <x v="29"/>
    <x v="17"/>
    <x v="0"/>
    <s v="ABEC"/>
    <s v="PMBCS"/>
    <x v="16"/>
    <x v="0"/>
    <x v="22"/>
    <s v="Rodovia dos Minérios - Botiatuba."/>
    <x v="1"/>
    <x v="3"/>
    <x v="16"/>
    <n v="1"/>
    <d v="2020-06-25T00:00:00"/>
    <s v="Associação de Pais e Mestres recebe carta de citação do Tribunal de Justiça do Estado do Paraná. Colégio Santa Maria encaminha para Grasiela, que redireciona para o escritório Gobbo e Guimarães."/>
    <s v="-"/>
    <s v="Jurídico Externo"/>
    <x v="1"/>
  </r>
  <r>
    <x v="29"/>
    <x v="17"/>
    <x v="0"/>
    <s v="ABEC"/>
    <s v="PMBCS"/>
    <x v="16"/>
    <x v="0"/>
    <x v="22"/>
    <s v="Rodovia dos Minérios - Botiatuba."/>
    <x v="1"/>
    <x v="3"/>
    <x v="16"/>
    <n v="1"/>
    <d v="2020-06-29T00:00:00"/>
    <s v="Grasiela, informa o núcleo de regularizações sobre a carta de citação. Ao passo que solicita ao escritório o envio do relatório com a estratégia a ser adotada para com o caso. Devolutiva informando tratar-se de ação de Desapropriação por utilidade pública, no qual pretende o DER a desapropriação de 3 áreas de propriedade do grupo (ainda em propriedade da APM), no tamanho total de 47.238,02m², para a duplicação de trecho da rodovia PR092, a partir de entroncamento PR-418 (Contorno Norte Curitiba) até o acesso principal de Almirante Tamandaré, lote 2.1A, declarada por meio dos Decretos Estaduais de Utilidade Pública n° 8.277 de 22/11/2017 e n° 1528 de 31/05/19. Oferecido pelo DER como valor de justa indenização o total de R$ 149.744,52 (cento e quarenta e nove mil, setecentos e quarenta e quatro reais e cinquenta e dois centavos), valor este que em tratativas administrativas não foi aceita. O DER ingressou com processo de desapropriação com pedido de imissão na posse, depositando judicialmente o valor de R$ 149.744,52, em análise inicial o MM. Juiz da Vara de Almirante Tamandaré determinou ao avaliador judicial a avalição das áreas desapropriadas, sendo que a liminar de imissão na posse fica condicionada ao depósito do valor indicado pelo avaliador. Avaliador judicial realizou a avalição das 03 (três) áreas, determinando o valor de R$ 472.380,20 (quatrocentos e setenta e dois mil trezentos e oitenta reais e vinte centavos). Foi determinado pelo juiz que o DER complementasse judicialmente o valor no montante apurado pelo avaliador judicial. Complementado o deposito judicial pelo DER foi expedido a carta de citação para apresentação de defesa. Se encontra atualmente depositado judicialmente o valor de R$ 472.380,20 (quatrocentos e setenta e dois mil trezentos e oitenta reais e vinte centavos). O escritório providenciará a defesa no processo de desapropriação por utilidade pública na linha de discussão da apresentação da avaliação feita pelo Grupo no valor de R$ 870.000,00 (oitocentos e setenta mil reais), tendo em vista que a defesa em processos de desapropriação por utilidade pública a defesa fica restrita a vícios no processo de desapropriação ou a concordância ou não dos valores oferecidos a título de justa indenização, podendo requerer a realização de perícia para determinar o valor justo para indenização, portanto não concordaremos com o valor oferecido a justa indenização e iremos juntar o laudo realizado pelo grupo bem como solicitar perícia judicial para apuração dos valores."/>
    <s v="-"/>
    <s v="Jurídico Externo"/>
    <x v="1"/>
  </r>
  <r>
    <x v="29"/>
    <x v="17"/>
    <x v="0"/>
    <s v="ABEC"/>
    <s v="PMBCS"/>
    <x v="16"/>
    <x v="0"/>
    <x v="22"/>
    <s v="Rodovia dos Minérios - Botiatuba."/>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Jurídico Externo"/>
    <x v="1"/>
  </r>
  <r>
    <x v="29"/>
    <x v="17"/>
    <x v="0"/>
    <s v="ABEC"/>
    <s v="PMBCS"/>
    <x v="16"/>
    <x v="0"/>
    <x v="22"/>
    <s v="Rodovia dos Minérios - Botiatuba."/>
    <x v="1"/>
    <x v="3"/>
    <x v="16"/>
    <n v="1"/>
    <d v="2020-07-15T00:00:00"/>
    <s v="Grupo foi citado para apresentação da defesa, a qual tem prazo fatal em 28/07/2020."/>
    <s v="-"/>
    <s v="Jurídico Externo"/>
    <x v="1"/>
  </r>
  <r>
    <x v="30"/>
    <x v="18"/>
    <x v="0"/>
    <s v="ABEC"/>
    <s v="PMBCS"/>
    <x v="1"/>
    <x v="0"/>
    <x v="23"/>
    <s v="Rua dos Palotinos, 116 - Cristo Rei."/>
    <x v="2"/>
    <x v="0"/>
    <x v="0"/>
    <n v="0"/>
    <m/>
    <s v="Em 30/12/2019, ocorreu o registro da transferência de propriedade da ABEC para a UCE, perante o Registro de Imóveis. Em 19/02/2020, consultando a certidão imobiliária ocorreu a transferência da titularidade perante a prefeitura da ABEC para a UCE."/>
    <s v="-"/>
    <s v="Jurídico Externo"/>
    <x v="5"/>
  </r>
  <r>
    <x v="31"/>
    <x v="18"/>
    <x v="0"/>
    <s v="APC"/>
    <s v="PMBCS"/>
    <x v="1"/>
    <x v="0"/>
    <x v="24"/>
    <s v="Avenida São José, 300 - Cristo Rei."/>
    <x v="1"/>
    <x v="1"/>
    <x v="8"/>
    <n v="1"/>
    <d v="2020-07-16T00:00:00"/>
    <s v="Processo de alteração de titularidade ainda não realizado."/>
    <s v="-"/>
    <s v="Jurídico Externo"/>
    <x v="1"/>
  </r>
  <r>
    <x v="32"/>
    <x v="1"/>
    <x v="0"/>
    <s v="ABEC"/>
    <s v="PMBCS"/>
    <x v="1"/>
    <x v="0"/>
    <x v="25"/>
    <s v="Rua Iapó, 1111 - Prado Velho."/>
    <x v="2"/>
    <x v="0"/>
    <x v="0"/>
    <n v="0"/>
    <d v="2020-07-31T00:00:00"/>
    <s v="Processo de alteração de titularidade  realizado."/>
    <s v="-"/>
    <s v="Jurídico Externo"/>
    <x v="9"/>
  </r>
  <r>
    <x v="33"/>
    <x v="2"/>
    <x v="0"/>
    <s v="ABEC"/>
    <s v="GM"/>
    <x v="2"/>
    <x v="0"/>
    <x v="26"/>
    <s v="Rua Rio Taquari, 200 - Jd. Iguaçu."/>
    <x v="1"/>
    <x v="2"/>
    <x v="8"/>
    <n v="1"/>
    <m/>
    <s v="Necessária a transferência da APC para ABEC."/>
    <s v="-"/>
    <s v="GPI"/>
    <x v="1"/>
  </r>
  <r>
    <x v="34"/>
    <x v="2"/>
    <x v="0"/>
    <s v="ABEC"/>
    <s v="GM"/>
    <x v="2"/>
    <x v="0"/>
    <x v="26"/>
    <s v="Rua Rio Taquari, 200 - Jd. Iguaçu."/>
    <x v="2"/>
    <x v="0"/>
    <x v="0"/>
    <n v="0"/>
    <m/>
    <s v="-"/>
    <s v="-"/>
    <s v="Verificar"/>
    <x v="10"/>
  </r>
  <r>
    <x v="35"/>
    <x v="2"/>
    <x v="0"/>
    <s v="ABEC"/>
    <s v="GM"/>
    <x v="2"/>
    <x v="0"/>
    <x v="26"/>
    <s v="Rua Rio Taquari, 200 - Jd. Iguaçu."/>
    <x v="2"/>
    <x v="0"/>
    <x v="0"/>
    <n v="0"/>
    <m/>
    <s v="Transferência (compra e venda) entre APC e ABEC."/>
    <s v="-"/>
    <s v="Verificar"/>
    <x v="10"/>
  </r>
  <r>
    <x v="36"/>
    <x v="2"/>
    <x v="0"/>
    <s v="ABEC"/>
    <s v="GM"/>
    <x v="2"/>
    <x v="0"/>
    <x v="26"/>
    <s v="Rua Rio Taquari, 200 - Jd. Iguaçu."/>
    <x v="2"/>
    <x v="0"/>
    <x v="0"/>
    <n v="0"/>
    <m/>
    <s v="Transferência (compra e venda) entre APC e ABEC."/>
    <s v="-"/>
    <s v="Verificar"/>
    <x v="10"/>
  </r>
  <r>
    <x v="37"/>
    <x v="2"/>
    <x v="0"/>
    <s v="ABEC"/>
    <s v="GM"/>
    <x v="2"/>
    <x v="0"/>
    <x v="26"/>
    <s v="Rua Rio Taquari, 200 - Jd. Iguaçu."/>
    <x v="2"/>
    <x v="0"/>
    <x v="0"/>
    <n v="0"/>
    <m/>
    <s v="Transferência (compra e venda) entre APC e ABEC."/>
    <s v="-"/>
    <s v="Verificar"/>
    <x v="10"/>
  </r>
  <r>
    <x v="38"/>
    <x v="2"/>
    <x v="0"/>
    <s v="ABEC"/>
    <s v="GM"/>
    <x v="2"/>
    <x v="0"/>
    <x v="26"/>
    <s v="Rua Rio Taquari, 200 - Jd. Iguaçu."/>
    <x v="2"/>
    <x v="0"/>
    <x v="0"/>
    <n v="0"/>
    <m/>
    <s v="Transferência (compra e venda) entre APC e ABEC."/>
    <s v="-"/>
    <s v="Verificar"/>
    <x v="10"/>
  </r>
  <r>
    <x v="39"/>
    <x v="2"/>
    <x v="0"/>
    <s v="ABEC"/>
    <s v="GM"/>
    <x v="2"/>
    <x v="0"/>
    <x v="26"/>
    <s v="Rua Rio Taquari, 200 - Jd. Iguaçu."/>
    <x v="2"/>
    <x v="0"/>
    <x v="0"/>
    <n v="0"/>
    <m/>
    <s v="Transferência (compra e venda) entre APC e ABEC."/>
    <s v="-"/>
    <s v="Verificar"/>
    <x v="10"/>
  </r>
  <r>
    <x v="40"/>
    <x v="2"/>
    <x v="0"/>
    <s v="ABEC"/>
    <s v="GM"/>
    <x v="2"/>
    <x v="0"/>
    <x v="26"/>
    <s v="Rua Rio Taquari, 200 - Jd. Iguaçu."/>
    <x v="2"/>
    <x v="0"/>
    <x v="0"/>
    <n v="0"/>
    <m/>
    <s v="Transferência (compra e venda) entre APC e ABEC."/>
    <s v="-"/>
    <s v="Verificar"/>
    <x v="10"/>
  </r>
  <r>
    <x v="41"/>
    <x v="2"/>
    <x v="0"/>
    <s v="ABEC"/>
    <s v="GM"/>
    <x v="2"/>
    <x v="0"/>
    <x v="26"/>
    <s v="Rua Rio Taquari, 200 - Jd. Iguaçu."/>
    <x v="2"/>
    <x v="0"/>
    <x v="0"/>
    <n v="0"/>
    <m/>
    <s v="Transferência (compra e venda) entre APC e ABEC."/>
    <s v="-"/>
    <s v="Verificar"/>
    <x v="10"/>
  </r>
  <r>
    <x v="42"/>
    <x v="2"/>
    <x v="0"/>
    <s v="ABEC"/>
    <s v="GM"/>
    <x v="2"/>
    <x v="0"/>
    <x v="26"/>
    <s v="Rua Rio Taquari, 200 - Jd. Iguaçu."/>
    <x v="2"/>
    <x v="0"/>
    <x v="0"/>
    <n v="0"/>
    <m/>
    <s v="Transferência (compra e venda) entre APC e ABEC."/>
    <s v="-"/>
    <s v="Verificar"/>
    <x v="10"/>
  </r>
  <r>
    <x v="43"/>
    <x v="2"/>
    <x v="0"/>
    <s v="ABEC"/>
    <s v="PMBCS"/>
    <x v="2"/>
    <x v="0"/>
    <x v="2"/>
    <s v="Rua Fazenda Iguaçú, s/n - Capocu."/>
    <x v="0"/>
    <x v="0"/>
    <x v="0"/>
    <n v="0"/>
    <m/>
    <s v="Transferência (dação em pagamento) entre APC e ABEC."/>
    <s v="-"/>
    <s v="Jurídico Externo"/>
    <x v="8"/>
  </r>
  <r>
    <x v="43"/>
    <x v="2"/>
    <x v="0"/>
    <s v="ABEC"/>
    <s v="PMBCS"/>
    <x v="2"/>
    <x v="0"/>
    <x v="2"/>
    <s v="Rua Fazenda Iguaçú, s/n - Capocu."/>
    <x v="1"/>
    <x v="1"/>
    <x v="15"/>
    <n v="1"/>
    <d v="2020-04-23T00:00:00"/>
    <s v="Ocorreu nesta data o registro da transferência da propriedade da ABEC para a UCE, perante o Registro de Imóveis. Estando pendente a transferência de titularidade perante a RFB e INCRA."/>
    <s v="-"/>
    <s v="Jurídico Externo"/>
    <x v="1"/>
  </r>
  <r>
    <x v="43"/>
    <x v="2"/>
    <x v="0"/>
    <s v="ABEC"/>
    <s v="PMBCS"/>
    <x v="2"/>
    <x v="0"/>
    <x v="2"/>
    <s v="Rua Fazenda Iguaçú, s/n - Capocu."/>
    <x v="1"/>
    <x v="2"/>
    <x v="4"/>
    <n v="1"/>
    <m/>
    <s v="-"/>
    <s v="-"/>
    <s v="Jurídico Interno"/>
    <x v="1"/>
  </r>
  <r>
    <x v="43"/>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43"/>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43"/>
    <x v="2"/>
    <x v="0"/>
    <s v="ABEC"/>
    <s v="PMBCS"/>
    <x v="2"/>
    <x v="0"/>
    <x v="2"/>
    <s v="Rua Fazenda Iguaçú, s/n - Capocu."/>
    <x v="1"/>
    <x v="1"/>
    <x v="15"/>
    <n v="1"/>
    <d v="2020-07-16T00:00:00"/>
    <s v="Processo de alteração de titularidade ainda não realizado."/>
    <s v="-"/>
    <s v="Jurídico Externo"/>
    <x v="1"/>
  </r>
  <r>
    <x v="44"/>
    <x v="19"/>
    <x v="0"/>
    <s v="ABEC"/>
    <s v="GM"/>
    <x v="17"/>
    <x v="3"/>
    <x v="27"/>
    <s v="Rua Henrique Porchat 12/22/24 - Vila Nova."/>
    <x v="2"/>
    <x v="0"/>
    <x v="0"/>
    <n v="0"/>
    <m/>
    <s v="-"/>
    <s v="-"/>
    <s v="Verificar"/>
    <x v="1"/>
  </r>
  <r>
    <x v="45"/>
    <x v="6"/>
    <x v="0"/>
    <s v="ABEC"/>
    <s v="PMBCS"/>
    <x v="1"/>
    <x v="0"/>
    <x v="16"/>
    <s v="Rua Prof. Joaquim de Matos Barreto, nº 98 - São Lourenço."/>
    <x v="1"/>
    <x v="1"/>
    <x v="8"/>
    <n v="1"/>
    <d v="2020-07-16T00:00:00"/>
    <s v="Processo de alteração de titularidade ainda não realizado."/>
    <s v="-"/>
    <s v="Jurídico Externo"/>
    <x v="1"/>
  </r>
  <r>
    <x v="46"/>
    <x v="1"/>
    <x v="0"/>
    <s v="ABEC"/>
    <s v="PMBCS"/>
    <x v="1"/>
    <x v="0"/>
    <x v="28"/>
    <s v="Rua Guabirotuba, 268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47"/>
    <x v="2"/>
    <x v="0"/>
    <s v="ABEC"/>
    <s v="PMBCS"/>
    <x v="2"/>
    <x v="0"/>
    <x v="2"/>
    <s v="Rua Fazenda Iguaçú, s/n - Capocu."/>
    <x v="0"/>
    <x v="0"/>
    <x v="0"/>
    <n v="0"/>
    <m/>
    <s v="Transferência (dação em pagamento) entre APC e ABEC."/>
    <s v="-"/>
    <s v="Jurídico Externo"/>
    <x v="8"/>
  </r>
  <r>
    <x v="47"/>
    <x v="2"/>
    <x v="0"/>
    <s v="ABEC"/>
    <s v="PMBCS"/>
    <x v="2"/>
    <x v="0"/>
    <x v="2"/>
    <s v="Rua Fazenda Iguaçú, s/n - Capocu."/>
    <x v="1"/>
    <x v="1"/>
    <x v="15"/>
    <n v="1"/>
    <d v="2020-04-23T00:00:00"/>
    <s v="Ocorreu nesta data o registro da transferência da propriedade da ABEC para a UCE, perante o Registro de Imóveis. Estando pendente a transferência de titularidade perante a RFB e INCRA."/>
    <s v="-"/>
    <s v="Jurídico Externo"/>
    <x v="1"/>
  </r>
  <r>
    <x v="47"/>
    <x v="2"/>
    <x v="0"/>
    <s v="ABEC"/>
    <s v="PMBCS"/>
    <x v="2"/>
    <x v="0"/>
    <x v="2"/>
    <s v="Rua Fazenda Iguaçú, s/n - Capocu."/>
    <x v="1"/>
    <x v="2"/>
    <x v="4"/>
    <n v="1"/>
    <m/>
    <s v="-"/>
    <s v="-"/>
    <s v="Jurídico Interno"/>
    <x v="1"/>
  </r>
  <r>
    <x v="47"/>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47"/>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47"/>
    <x v="2"/>
    <x v="0"/>
    <s v="ABEC"/>
    <s v="PMBCS"/>
    <x v="2"/>
    <x v="0"/>
    <x v="2"/>
    <s v="Rua Fazenda Iguaçú, s/n - Capocu."/>
    <x v="1"/>
    <x v="1"/>
    <x v="15"/>
    <n v="1"/>
    <d v="2020-07-16T00:00:00"/>
    <s v="Processo de alteração de titularidade ainda não realizado."/>
    <s v="-"/>
    <s v="Jurídico Externo"/>
    <x v="1"/>
  </r>
  <r>
    <x v="48"/>
    <x v="2"/>
    <x v="0"/>
    <s v="ABEC"/>
    <s v="PMBCS"/>
    <x v="2"/>
    <x v="0"/>
    <x v="2"/>
    <s v="Rua Fazenda Iguaçú, s/n - Capocu."/>
    <x v="0"/>
    <x v="0"/>
    <x v="0"/>
    <n v="0"/>
    <m/>
    <s v="Transferência (dação em pagamento) entre APC e ABEC."/>
    <s v="-"/>
    <s v="Jurídico Externo"/>
    <x v="8"/>
  </r>
  <r>
    <x v="48"/>
    <x v="2"/>
    <x v="0"/>
    <s v="ABEC"/>
    <s v="PMBCS"/>
    <x v="2"/>
    <x v="0"/>
    <x v="2"/>
    <s v="Rua Fazenda Iguaçú, s/n - Capocu."/>
    <x v="1"/>
    <x v="1"/>
    <x v="15"/>
    <n v="1"/>
    <d v="2020-04-23T00:00:00"/>
    <s v="Ocorreu nesta data o registro da transferência da propriedade da ABEC para a UCE, perante o Registro de Imóveis. Estando pendente a transferência de titularidade perante a RFB e INCRA."/>
    <s v="-"/>
    <s v="Jurídico Externo"/>
    <x v="1"/>
  </r>
  <r>
    <x v="48"/>
    <x v="2"/>
    <x v="0"/>
    <s v="ABEC"/>
    <s v="PMBCS"/>
    <x v="2"/>
    <x v="0"/>
    <x v="2"/>
    <s v="Rua Fazenda Iguaçú, s/n - Capocu."/>
    <x v="1"/>
    <x v="2"/>
    <x v="4"/>
    <n v="1"/>
    <m/>
    <s v="-"/>
    <s v="-"/>
    <s v="Jurídico Interno"/>
    <x v="1"/>
  </r>
  <r>
    <x v="48"/>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48"/>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48"/>
    <x v="2"/>
    <x v="0"/>
    <s v="ABEC"/>
    <s v="PMBCS"/>
    <x v="2"/>
    <x v="0"/>
    <x v="2"/>
    <s v="Rua Fazenda Iguaçú, s/n - Capocu."/>
    <x v="1"/>
    <x v="1"/>
    <x v="15"/>
    <n v="1"/>
    <d v="2020-07-16T00:00:00"/>
    <s v="Processo de alteração de titularidade ainda não realizado."/>
    <s v="-"/>
    <s v="Jurídico Externo"/>
    <x v="1"/>
  </r>
  <r>
    <x v="49"/>
    <x v="2"/>
    <x v="0"/>
    <s v="ABEC"/>
    <s v="PMBCS"/>
    <x v="2"/>
    <x v="0"/>
    <x v="2"/>
    <s v="Rua Fazenda Iguaçú, s/n - Capocu."/>
    <x v="0"/>
    <x v="0"/>
    <x v="0"/>
    <n v="0"/>
    <m/>
    <s v="Transferência (dação em pagamento) entre APC e ABEC."/>
    <s v="-"/>
    <s v="Jurídico Externo"/>
    <x v="0"/>
  </r>
  <r>
    <x v="49"/>
    <x v="2"/>
    <x v="0"/>
    <s v="ABEC"/>
    <s v="PMBCS"/>
    <x v="2"/>
    <x v="0"/>
    <x v="2"/>
    <s v="Rua Fazenda Iguaçú, s/n - Capocu."/>
    <x v="1"/>
    <x v="2"/>
    <x v="4"/>
    <n v="1"/>
    <m/>
    <s v="-"/>
    <s v="-"/>
    <s v="Jurídico Interno"/>
    <x v="1"/>
  </r>
  <r>
    <x v="49"/>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49"/>
    <x v="2"/>
    <x v="0"/>
    <s v="ABEC"/>
    <s v="PMBCS"/>
    <x v="2"/>
    <x v="0"/>
    <x v="2"/>
    <s v="Rua Fazenda Iguaçú, s/n - Capocu."/>
    <x v="1"/>
    <x v="1"/>
    <x v="15"/>
    <n v="1"/>
    <d v="2020-04-23T00:00:00"/>
    <s v="Ocorreu nesta data o registro da transferência da propriedade da ABEC para a UCE, perante o Registro de Imóveis. Estando pendente a transferência de titularidade perante a RFB e INCRA."/>
    <s v="-"/>
    <s v="Jurídico Externo"/>
    <x v="1"/>
  </r>
  <r>
    <x v="49"/>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49"/>
    <x v="2"/>
    <x v="0"/>
    <s v="ABEC"/>
    <s v="PMBCS"/>
    <x v="2"/>
    <x v="0"/>
    <x v="2"/>
    <s v="Rua Fazenda Iguaçú, s/n - Capocu."/>
    <x v="1"/>
    <x v="1"/>
    <x v="15"/>
    <n v="1"/>
    <d v="2020-07-16T00:00:00"/>
    <s v="Processo de alteração de titularidade ainda não realizado."/>
    <s v="-"/>
    <s v="Jurídico Externo"/>
    <x v="1"/>
  </r>
  <r>
    <x v="50"/>
    <x v="1"/>
    <x v="0"/>
    <s v="ABEC"/>
    <s v="PMBCS"/>
    <x v="1"/>
    <x v="0"/>
    <x v="29"/>
    <s v="Rua Iapó, 956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51"/>
    <x v="20"/>
    <x v="0"/>
    <s v="ABEC"/>
    <s v="PMBCS"/>
    <x v="18"/>
    <x v="0"/>
    <x v="30"/>
    <s v="Rua Marcelino Champagnat esq c/ Fernando Ferrari - Lote 02 - Quadra 55 - Centro."/>
    <x v="1"/>
    <x v="1"/>
    <x v="8"/>
    <n v="1"/>
    <d v="2020-07-16T00:00:00"/>
    <s v="Processo de alteração de titularidade ainda não realizado."/>
    <s v="-"/>
    <s v="Jurídico Externo"/>
    <x v="1"/>
  </r>
  <r>
    <x v="52"/>
    <x v="1"/>
    <x v="0"/>
    <s v="ABEC"/>
    <s v="PMBCS"/>
    <x v="1"/>
    <x v="0"/>
    <x v="29"/>
    <s v="Rua Iapó, 956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53"/>
    <x v="1"/>
    <x v="0"/>
    <s v="UCE"/>
    <s v="GM"/>
    <x v="1"/>
    <x v="0"/>
    <x v="31"/>
    <s v="Rua Iapó, 975 - Prado Velho."/>
    <x v="1"/>
    <x v="2"/>
    <x v="17"/>
    <n v="1"/>
    <m/>
    <s v="-"/>
    <s v="-"/>
    <s v="Jurídico Interno"/>
    <x v="1"/>
  </r>
  <r>
    <x v="54"/>
    <x v="1"/>
    <x v="0"/>
    <s v="ABEC"/>
    <s v="PMBCS"/>
    <x v="1"/>
    <x v="0"/>
    <x v="32"/>
    <s v="Rua Iapó, 861 - Prado Velho."/>
    <x v="1"/>
    <x v="6"/>
    <x v="18"/>
    <n v="1"/>
    <d v="2019-12-15T00:00:00"/>
    <s v="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
    <n v="80866"/>
    <s v="Jurídico Externo"/>
    <x v="1"/>
  </r>
  <r>
    <x v="54"/>
    <x v="1"/>
    <x v="0"/>
    <s v="ABEC"/>
    <s v="PMBCS"/>
    <x v="1"/>
    <x v="0"/>
    <x v="32"/>
    <s v="Rua Iapó, 861 - Prado Velho."/>
    <x v="0"/>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54"/>
    <x v="1"/>
    <x v="0"/>
    <s v="ABEC"/>
    <s v="PMBCS"/>
    <x v="1"/>
    <x v="0"/>
    <x v="32"/>
    <s v="Rua Iapó, 861 - Prado Velho."/>
    <x v="1"/>
    <x v="6"/>
    <x v="18"/>
    <n v="1"/>
    <d v="2020-01-17T00:00:00"/>
    <s v="O processo passou a tramitar na 05ª Vara Cível, todavia aguardamos despacho inicial concedendo pedido liminar para o cancelamento das averbações."/>
    <s v="-"/>
    <s v="Jurídico Externo"/>
    <x v="1"/>
  </r>
  <r>
    <x v="54"/>
    <x v="1"/>
    <x v="0"/>
    <s v="ABEC"/>
    <s v="PMBCS"/>
    <x v="1"/>
    <x v="0"/>
    <x v="32"/>
    <s v="Rua Iapó, 861 - Prado Velho."/>
    <x v="1"/>
    <x v="6"/>
    <x v="18"/>
    <n v="1"/>
    <d v="2020-04-17T00:00:00"/>
    <s v="Foi indeferida a Tutela Antecipada, com o fundamento de que o protesto já está averbado a algum tempo, assim não há periculum in mora ao aguardar a decisão final do processo._x000a_Apresentado Embargos de Declaração do Indeferimento da Tutela Antecipada."/>
    <s v="-"/>
    <s v="Jurídico Externo"/>
    <x v="1"/>
  </r>
  <r>
    <x v="54"/>
    <x v="1"/>
    <x v="0"/>
    <s v="ABEC"/>
    <s v="PMBCS"/>
    <x v="1"/>
    <x v="0"/>
    <x v="32"/>
    <s v="Rua Iapó, 861 - Prado Velho."/>
    <x v="1"/>
    <x v="6"/>
    <x v="18"/>
    <n v="1"/>
    <d v="2020-05-11T00:00:00"/>
    <s v="Apresentado embargos de declaração do indeferimento da tutela antecipada. Juntado o comprovante de custas de citação e aguardando expedição de citação."/>
    <s v="-"/>
    <s v="Jurídico Externo"/>
    <x v="1"/>
  </r>
  <r>
    <x v="54"/>
    <x v="1"/>
    <x v="0"/>
    <s v="ABEC"/>
    <s v="PMBCS"/>
    <x v="1"/>
    <x v="0"/>
    <x v="32"/>
    <s v="Rua Iapó, 861 - Prado Velho."/>
    <x v="1"/>
    <x v="6"/>
    <x v="18"/>
    <n v="1"/>
    <d v="2020-02-17T00:00:00"/>
    <s v="O juiz, determinou a apresentação de emenda constando o valor do imóvel em discussão, com o devido recolhimento de custas iniciais complementar."/>
    <s v="-"/>
    <s v="Jurídico Externo"/>
    <x v="1"/>
  </r>
  <r>
    <x v="54"/>
    <x v="1"/>
    <x v="0"/>
    <s v="ABEC"/>
    <s v="PMBCS"/>
    <x v="1"/>
    <x v="0"/>
    <x v="32"/>
    <s v="Rua Iapó, 861 - Prado Velho."/>
    <x v="1"/>
    <x v="6"/>
    <x v="18"/>
    <n v="1"/>
    <d v="2020-03-17T00:00:00"/>
    <s v="Aguardando a decisão preliminar concedendo a liminar."/>
    <s v="-"/>
    <s v="Jurídico Externo"/>
    <x v="1"/>
  </r>
  <r>
    <x v="54"/>
    <x v="1"/>
    <x v="0"/>
    <s v="ABEC"/>
    <s v="PMBCS"/>
    <x v="1"/>
    <x v="0"/>
    <x v="32"/>
    <s v="Rua Iapó, 861 - Prado Velho."/>
    <x v="1"/>
    <x v="6"/>
    <x v="18"/>
    <n v="1"/>
    <d v="2020-06-16T00:00:00"/>
    <s v="Permanecendo no aguardo da decisão dos embargos e citação do requerido."/>
    <s v="-"/>
    <s v="Jurídico Externo"/>
    <x v="1"/>
  </r>
  <r>
    <x v="54"/>
    <x v="1"/>
    <x v="0"/>
    <s v="ABEC"/>
    <s v="PMBCS"/>
    <x v="1"/>
    <x v="0"/>
    <x v="32"/>
    <s v="Rua Iapó, 861 - Prado Velho."/>
    <x v="1"/>
    <x v="6"/>
    <x v="18"/>
    <n v="1"/>
    <d v="2020-07-15T00:00:00"/>
    <s v="Permanecendo no aguardo da decisão dos embargos e citação do requerido."/>
    <s v="-"/>
    <s v="Jurídico Externo"/>
    <x v="1"/>
  </r>
  <r>
    <x v="55"/>
    <x v="1"/>
    <x v="0"/>
    <s v="ABEC"/>
    <s v="PMBCS"/>
    <x v="1"/>
    <x v="0"/>
    <x v="29"/>
    <s v="Rua Iapó, 896 - Prado Velho."/>
    <x v="2"/>
    <x v="0"/>
    <x v="0"/>
    <n v="0"/>
    <d v="2020-07-16T00:00:00"/>
    <s v="Processo de alteração de titularidade ainda não realizado."/>
    <s v="-"/>
    <s v="Jurídico Externo"/>
    <x v="3"/>
  </r>
  <r>
    <x v="56"/>
    <x v="21"/>
    <x v="0"/>
    <s v="FNSR"/>
    <s v="GM"/>
    <x v="19"/>
    <x v="0"/>
    <x v="6"/>
    <s v="Rua Leonor Castellano, 525"/>
    <x v="2"/>
    <x v="0"/>
    <x v="0"/>
    <n v="0"/>
    <m/>
    <s v="-"/>
    <s v="-"/>
    <s v="Verificar"/>
    <x v="1"/>
  </r>
  <r>
    <x v="57"/>
    <x v="22"/>
    <x v="0"/>
    <s v="APC"/>
    <s v="GM"/>
    <x v="20"/>
    <x v="0"/>
    <x v="33"/>
    <s v="Rua Ferreira Lopes, s/n - Centro."/>
    <x v="1"/>
    <x v="2"/>
    <x v="8"/>
    <n v="1"/>
    <d v="2019-09-16T00:00:00"/>
    <s v="Área menor 200,75 m2. Esta matrícula pertence ao município de Guaraqueçaba, sendo assim descartado o procedimento de usucapião. Passará a ser discutido com o município a possibilidade de doação. "/>
    <s v="-"/>
    <s v="Jurídico Externo"/>
    <x v="1"/>
  </r>
  <r>
    <x v="57"/>
    <x v="22"/>
    <x v="0"/>
    <s v="APC"/>
    <s v="GM"/>
    <x v="20"/>
    <x v="0"/>
    <x v="33"/>
    <s v="Rua Ferreira Lopes, s/n - Centro."/>
    <x v="1"/>
    <x v="2"/>
    <x v="8"/>
    <n v="1"/>
    <d v="2019-11-10T00:00:00"/>
    <s v="Protocolado junto ao Municipio pedido de doação do Imóvel para APC. Em contrapartida, solicitei cópia da escritura da Cessão de Direito para levar a Registro. "/>
    <s v="-"/>
    <s v="Jurídico Externo"/>
    <x v="1"/>
  </r>
  <r>
    <x v="57"/>
    <x v="22"/>
    <x v="0"/>
    <s v="APC"/>
    <s v="GM"/>
    <x v="20"/>
    <x v="0"/>
    <x v="33"/>
    <s v="Rua Ferreira Lopes, s/n - Centro."/>
    <x v="1"/>
    <x v="2"/>
    <x v="8"/>
    <n v="1"/>
    <d v="2019-12-15T00:00:00"/>
    <s v="O retorno do protocolo do município foi uma declaração de que a APC é possuidora do imóvel. A escritura da Cessão de Direito, foi obtida e estava sendo encaminhada para o R.I."/>
    <s v="-"/>
    <s v="Jurídico Externo"/>
    <x v="1"/>
  </r>
  <r>
    <x v="57"/>
    <x v="22"/>
    <x v="0"/>
    <s v="APC"/>
    <s v="GM"/>
    <x v="20"/>
    <x v="0"/>
    <x v="33"/>
    <s v="Rua Ferreira Lopes, s/n - Centro."/>
    <x v="1"/>
    <x v="2"/>
    <x v="8"/>
    <n v="1"/>
    <d v="2020-01-17T00:00:00"/>
    <s v="Documentos enviados para Registro, aguardando confência do RI."/>
    <s v="-"/>
    <s v="Jurídico Externo"/>
    <x v="1"/>
  </r>
  <r>
    <x v="57"/>
    <x v="22"/>
    <x v="0"/>
    <s v="APC"/>
    <s v="GM"/>
    <x v="20"/>
    <x v="0"/>
    <x v="33"/>
    <s v="Rua Ferreira Lopes, s/n - Centro."/>
    <x v="1"/>
    <x v="2"/>
    <x v="8"/>
    <n v="1"/>
    <d v="2020-02-18T00:00:00"/>
    <s v="Ainda aguardando conferência do registro"/>
    <s v="-"/>
    <s v="Jurídico Externo"/>
    <x v="1"/>
  </r>
  <r>
    <x v="57"/>
    <x v="22"/>
    <x v="0"/>
    <s v="APC"/>
    <s v="GM"/>
    <x v="20"/>
    <x v="0"/>
    <x v="33"/>
    <s v="Rua Ferreira Lopes, s/n - Centro."/>
    <x v="1"/>
    <x v="2"/>
    <x v="8"/>
    <n v="1"/>
    <d v="2020-03-16T00:00:00"/>
    <s v="Cumprindo exigência do R.I."/>
    <s v="-"/>
    <s v="Jurídico Externo"/>
    <x v="1"/>
  </r>
  <r>
    <x v="57"/>
    <x v="22"/>
    <x v="0"/>
    <s v="APC"/>
    <s v="GM"/>
    <x v="20"/>
    <x v="0"/>
    <x v="33"/>
    <s v="Rua Ferreira Lopes, s/n - Centro."/>
    <x v="1"/>
    <x v="2"/>
    <x v="8"/>
    <n v="1"/>
    <d v="2020-04-17T00:00:00"/>
    <s v="Cumprindo exigência do R.I."/>
    <s v="-"/>
    <s v="Jurídico Externo"/>
    <x v="1"/>
  </r>
  <r>
    <x v="57"/>
    <x v="22"/>
    <x v="0"/>
    <s v="APC"/>
    <s v="GM"/>
    <x v="20"/>
    <x v="0"/>
    <x v="33"/>
    <s v="Rua Ferreira Lopes, s/n - Centro."/>
    <x v="1"/>
    <x v="2"/>
    <x v="8"/>
    <n v="1"/>
    <d v="2020-05-11T00:00:00"/>
    <s v="Escritório estará contatando a Prefeitura para que o imóvel seja individualizado e posteriormente transferido a Associação Paranaense de Cultura. "/>
    <s v="-"/>
    <s v="Jurídico Externo"/>
    <x v="1"/>
  </r>
  <r>
    <x v="57"/>
    <x v="22"/>
    <x v="0"/>
    <s v="APC"/>
    <s v="GM"/>
    <x v="20"/>
    <x v="0"/>
    <x v="33"/>
    <s v="Rua Ferreira Lopes, s/n - Centro."/>
    <x v="1"/>
    <x v="2"/>
    <x v="8"/>
    <n v="1"/>
    <d v="2020-06-16T00:00:00"/>
    <s v="RI informou não ser possivel registrar as escrituras de Cessão. Verificando possibilidades junto a Prefeitura para que o imóvel seja individualizado e transferido a Associação. "/>
    <s v="-"/>
    <s v="Jurídico Externo"/>
    <x v="1"/>
  </r>
  <r>
    <x v="57"/>
    <x v="22"/>
    <x v="0"/>
    <s v="APC"/>
    <s v="GM"/>
    <x v="20"/>
    <x v="0"/>
    <x v="33"/>
    <s v="Rua Ferreira Lopes, s/n - Centro."/>
    <x v="1"/>
    <x v="2"/>
    <x v="8"/>
    <n v="1"/>
    <d v="2020-07-16T00:00:00"/>
    <s v="Verificando possibilidades junto a Prefeitura para que o imóvel seja individualizado e transferido a Associação. "/>
    <s v="-"/>
    <s v="Jurídico Externo"/>
    <x v="1"/>
  </r>
  <r>
    <x v="58"/>
    <x v="1"/>
    <x v="0"/>
    <s v="UCE"/>
    <s v="GM"/>
    <x v="1"/>
    <x v="0"/>
    <x v="34"/>
    <s v="Rua Guabirotuba, 283 - Prado Velho."/>
    <x v="2"/>
    <x v="0"/>
    <x v="0"/>
    <n v="0"/>
    <m/>
    <s v="-"/>
    <s v="-"/>
    <s v="Verificar"/>
    <x v="1"/>
  </r>
  <r>
    <x v="59"/>
    <x v="1"/>
    <x v="0"/>
    <s v="ABEC"/>
    <s v="PMBCS"/>
    <x v="1"/>
    <x v="0"/>
    <x v="29"/>
    <s v="Rua Iapó, 956 - Prado Velho."/>
    <x v="0"/>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59"/>
    <x v="1"/>
    <x v="0"/>
    <s v="ABEC"/>
    <s v="PMBCS"/>
    <x v="1"/>
    <x v="0"/>
    <x v="29"/>
    <s v="Rua Iapó, 956 - Prado Velho."/>
    <x v="1"/>
    <x v="6"/>
    <x v="18"/>
    <n v="1"/>
    <d v="2019-12-15T00:00:00"/>
    <s v="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
    <s v="-"/>
    <s v="Jurídico Externo"/>
    <x v="1"/>
  </r>
  <r>
    <x v="59"/>
    <x v="1"/>
    <x v="0"/>
    <s v="ABEC"/>
    <s v="PMBCS"/>
    <x v="1"/>
    <x v="0"/>
    <x v="29"/>
    <s v="Rua Iapó, 956 - Prado Velho."/>
    <x v="1"/>
    <x v="6"/>
    <x v="18"/>
    <n v="1"/>
    <d v="2020-01-17T00:00:00"/>
    <s v="O processo passou a tramitar na 05ª Vara Cível, todavia aguardamos despacho inicial concedendo pedido liminar para o cancelamento das averbações."/>
    <s v="-"/>
    <s v="Jurídico Externo"/>
    <x v="1"/>
  </r>
  <r>
    <x v="59"/>
    <x v="1"/>
    <x v="0"/>
    <s v="ABEC"/>
    <s v="PMBCS"/>
    <x v="1"/>
    <x v="0"/>
    <x v="29"/>
    <s v="Rua Iapó, 956 - Prado Velho."/>
    <x v="1"/>
    <x v="6"/>
    <x v="18"/>
    <n v="1"/>
    <d v="2020-02-17T00:00:00"/>
    <s v="O juiz, determinou a apresentação de emenda constando o valor do imóvel em discussão, com o devido recolhimento de custas iniciais complementar."/>
    <s v="-"/>
    <s v="Jurídico Externo"/>
    <x v="1"/>
  </r>
  <r>
    <x v="59"/>
    <x v="1"/>
    <x v="0"/>
    <s v="ABEC"/>
    <s v="PMBCS"/>
    <x v="1"/>
    <x v="0"/>
    <x v="29"/>
    <s v="Rua Iapó, 956 - Prado Velho."/>
    <x v="1"/>
    <x v="6"/>
    <x v="18"/>
    <n v="1"/>
    <d v="2020-03-17T00:00:00"/>
    <s v="Aguardando a decisão preliminar concedendo a liminar."/>
    <s v="-"/>
    <s v="Jurídico Externo"/>
    <x v="1"/>
  </r>
  <r>
    <x v="59"/>
    <x v="1"/>
    <x v="0"/>
    <s v="ABEC"/>
    <s v="PMBCS"/>
    <x v="1"/>
    <x v="0"/>
    <x v="29"/>
    <s v="Rua Iapó, 956 - Prado Velho."/>
    <x v="1"/>
    <x v="6"/>
    <x v="18"/>
    <n v="1"/>
    <d v="2020-04-17T00:00:00"/>
    <s v="Foi indeferida a Tutela Antecipada, com o fundamento de que o protesto já está averbado a algum tempo, assim não há periculum in mora ao aguardar a decisão final do processo. Apresentado Embargos de Declaração do Indeferimento da Tutela Antecipada."/>
    <s v="-"/>
    <s v="Jurídico Externo"/>
    <x v="1"/>
  </r>
  <r>
    <x v="59"/>
    <x v="1"/>
    <x v="0"/>
    <s v="ABEC"/>
    <s v="PMBCS"/>
    <x v="1"/>
    <x v="0"/>
    <x v="29"/>
    <s v="Rua Iapó, 956 - Prado Velho."/>
    <x v="1"/>
    <x v="6"/>
    <x v="18"/>
    <n v="1"/>
    <d v="2020-05-11T00:00:00"/>
    <s v="Apresentado embargos de declaração do indeferimento da tutela antecipada. Juntado o comprovante de custas de citação e aguardando expedição de citação."/>
    <s v="-"/>
    <s v="Jurídico Externo"/>
    <x v="1"/>
  </r>
  <r>
    <x v="59"/>
    <x v="1"/>
    <x v="0"/>
    <s v="ABEC"/>
    <s v="PMBCS"/>
    <x v="1"/>
    <x v="0"/>
    <x v="29"/>
    <s v="Rua Iapó, 956 - Prado Velho."/>
    <x v="1"/>
    <x v="6"/>
    <x v="18"/>
    <n v="1"/>
    <d v="2020-06-16T00:00:00"/>
    <s v="Permanecendo no aguardo da decisão dos embargos e citação do requerido."/>
    <s v="-"/>
    <s v="Jurídico Externo"/>
    <x v="1"/>
  </r>
  <r>
    <x v="59"/>
    <x v="1"/>
    <x v="0"/>
    <s v="ABEC"/>
    <s v="PMBCS"/>
    <x v="1"/>
    <x v="0"/>
    <x v="29"/>
    <s v="Rua Iapó, 956 - Prado Velho."/>
    <x v="1"/>
    <x v="6"/>
    <x v="18"/>
    <n v="1"/>
    <d v="2020-07-15T00:00:00"/>
    <s v="Permanecendo no aguardo da decisão dos embargos e citação do requerido."/>
    <s v="-"/>
    <s v="Jurídico Externo"/>
    <x v="1"/>
  </r>
  <r>
    <x v="60"/>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61"/>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62"/>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63"/>
    <x v="23"/>
    <x v="0"/>
    <s v="ABEC"/>
    <s v="PMBCS"/>
    <x v="21"/>
    <x v="0"/>
    <x v="36"/>
    <s v="Rua Dom Aquino s/n.º - Recanto Colonial."/>
    <x v="1"/>
    <x v="1"/>
    <x v="8"/>
    <n v="1"/>
    <d v="2020-03-03T00:00:00"/>
    <s v="Estabelecido contato com Natasha para lavrar a escritura. Foi solicitado o envio da Ata de autorização de compra por parte da ABEC.  Demandado a Crislei da PROJUR."/>
    <s v="-"/>
    <s v="Jurídico Externo"/>
    <x v="1"/>
  </r>
  <r>
    <x v="63"/>
    <x v="23"/>
    <x v="0"/>
    <s v="ABEC"/>
    <s v="PMBCS"/>
    <x v="21"/>
    <x v="0"/>
    <x v="36"/>
    <s v="Rua Dom Aquino s/n.º - Recanto Colonial."/>
    <x v="1"/>
    <x v="2"/>
    <x v="8"/>
    <n v="1"/>
    <d v="2020-05-11T00:00:00"/>
    <s v="Crislei localizou a Ata da ABEC autorizando a aquisição do imóvel. Encaminhado para Natasha do Cartório Leão. Aguardando ITBI e minuta da escritura para validação."/>
    <s v="-"/>
    <s v="GPI"/>
    <x v="1"/>
  </r>
  <r>
    <x v="63"/>
    <x v="23"/>
    <x v="0"/>
    <s v="ABEC"/>
    <s v="PMBCS"/>
    <x v="21"/>
    <x v="0"/>
    <x v="36"/>
    <s v="Rua Dom Aquino s/n.º - Recanto Colonial."/>
    <x v="1"/>
    <x v="2"/>
    <x v="8"/>
    <n v="1"/>
    <d v="2020-06-09T00:00:00"/>
    <s v="Sem retorno desde a última movimentação, encaminhado nesta data e-mail para Natasha, pedindo providências."/>
    <s v="-"/>
    <s v="GPI"/>
    <x v="1"/>
  </r>
  <r>
    <x v="63"/>
    <x v="23"/>
    <x v="0"/>
    <s v="ABEC"/>
    <s v="PMBCS"/>
    <x v="21"/>
    <x v="0"/>
    <x v="36"/>
    <s v="Rua Dom Aquino s/n.º - Recanto Colonial."/>
    <x v="1"/>
    <x v="2"/>
    <x v="8"/>
    <n v="1"/>
    <d v="2020-06-18T00:00:00"/>
    <s v="Encaminhada minuta da escritura a Natasha, validada pela PROJUR, ficando no aguardo do envio da escritura para assinatura dos irmãos."/>
    <s v="-"/>
    <s v="GPI"/>
    <x v="1"/>
  </r>
  <r>
    <x v="63"/>
    <x v="23"/>
    <x v="0"/>
    <s v="ABEC"/>
    <s v="PMBCS"/>
    <x v="21"/>
    <x v="0"/>
    <x v="36"/>
    <s v="Rua Dom Aquino s/n.º - Recanto Colonial."/>
    <x v="1"/>
    <x v="2"/>
    <x v="8"/>
    <n v="1"/>
    <d v="2020-06-19T00:00:00"/>
    <s v="Natasha informa que ainda não solicitaram a matrícula tendo em vista que ainda aguardava a ATA da APC com o registro. Núcleo de Regularizações encaminha mensagem com pedido de providência a PROJUR. Ata disponibilizada e encaminhada a Natasha. Levantada a questão se haverá imunidade do ITBI. "/>
    <s v="-"/>
    <s v="GPI"/>
    <x v="1"/>
  </r>
  <r>
    <x v="63"/>
    <x v="23"/>
    <x v="0"/>
    <s v="ABEC"/>
    <s v="PMBCS"/>
    <x v="21"/>
    <x v="0"/>
    <x v="36"/>
    <s v="Rua Dom Aquino s/n.º - Recanto Colonial."/>
    <x v="1"/>
    <x v="2"/>
    <x v="8"/>
    <n v="1"/>
    <d v="2020-06-22T00:00:00"/>
    <s v="Núcleo de regularizações comunica a Natasha que a expectativa quanto a imunidade deo ITBI é de que não seja concedida, dado a ausência de pedido. Natasha informa que já solicitou a guia e que está no aguardo do envio."/>
    <s v="-"/>
    <s v="GPI"/>
    <x v="1"/>
  </r>
  <r>
    <x v="63"/>
    <x v="23"/>
    <x v="0"/>
    <s v="ABEC"/>
    <s v="PMBCS"/>
    <x v="21"/>
    <x v="0"/>
    <x v="36"/>
    <s v="Rua Dom Aquino s/n.º - Recanto Colonial."/>
    <x v="1"/>
    <x v="2"/>
    <x v="8"/>
    <n v="1"/>
    <d v="2020-07-06T00:00:00"/>
    <s v="Núcleo de regularizações encaminha mensagem a Natasha com pedido de atualização de informações. Natasha, responde disponibilizando a minuta para validação e a guia de ITBI para pagamento ou pedido de imunidade. Encaminhado a Procuradoria Jurídica para validação."/>
    <s v="-"/>
    <s v="GPI"/>
    <x v="1"/>
  </r>
  <r>
    <x v="64"/>
    <x v="24"/>
    <x v="0"/>
    <s v="ABEC"/>
    <s v="GM"/>
    <x v="22"/>
    <x v="3"/>
    <x v="37"/>
    <s v="Rua Carlos de Campos, s/n - Caixa Postal 20."/>
    <x v="2"/>
    <x v="0"/>
    <x v="0"/>
    <n v="0"/>
    <m/>
    <s v="-"/>
    <s v="-"/>
    <s v="Verificar"/>
    <x v="1"/>
  </r>
  <r>
    <x v="65"/>
    <x v="24"/>
    <x v="0"/>
    <s v="ABEC"/>
    <s v="GM"/>
    <x v="22"/>
    <x v="3"/>
    <x v="37"/>
    <s v="Rua Carlos de Campos, s/n - Caixa Postal 20."/>
    <x v="2"/>
    <x v="0"/>
    <x v="0"/>
    <n v="0"/>
    <m/>
    <s v="-"/>
    <s v="-"/>
    <s v="Verificar"/>
    <x v="1"/>
  </r>
  <r>
    <x v="66"/>
    <x v="25"/>
    <x v="0"/>
    <s v="ABEC"/>
    <s v="PMBCS"/>
    <x v="23"/>
    <x v="0"/>
    <x v="38"/>
    <s v="Avenida Vieira dos Santos, 483 - Centro."/>
    <x v="2"/>
    <x v="0"/>
    <x v="0"/>
    <n v="0"/>
    <m/>
    <s v="Em 11/03/2020 o escritório apresenta a certidão de registro de imóveis com a alteração da propriedade para UCE. Consultado o site da prefeitura a titularidade também foi alterada."/>
    <s v="-"/>
    <s v="Jurídico Externo"/>
    <x v="11"/>
  </r>
  <r>
    <x v="67"/>
    <x v="1"/>
    <x v="0"/>
    <s v="ABEC"/>
    <s v="PMBCS"/>
    <x v="1"/>
    <x v="0"/>
    <x v="39"/>
    <s v="Rua Iapó, 1245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68"/>
    <x v="26"/>
    <x v="0"/>
    <s v="ABEC"/>
    <s v="PMBCS"/>
    <x v="24"/>
    <x v="3"/>
    <x v="40"/>
    <s v="Lote 02 - Quadra 41 - Balneário Costa Azul."/>
    <x v="1"/>
    <x v="2"/>
    <x v="19"/>
    <n v="1"/>
    <m/>
    <s v="-"/>
    <s v="-"/>
    <s v="Jurídico Interno"/>
    <x v="1"/>
  </r>
  <r>
    <x v="68"/>
    <x v="26"/>
    <x v="0"/>
    <s v="ABEC"/>
    <s v="PMBCS"/>
    <x v="24"/>
    <x v="3"/>
    <x v="40"/>
    <s v="Lote 02 - Quadra 41 - Balneário Costa Azul."/>
    <x v="1"/>
    <x v="1"/>
    <x v="14"/>
    <n v="1"/>
    <m/>
    <s v="-"/>
    <s v="-"/>
    <s v="Jurídico Externo"/>
    <x v="1"/>
  </r>
  <r>
    <x v="69"/>
    <x v="26"/>
    <x v="0"/>
    <s v="ABEC"/>
    <s v="PMBCS"/>
    <x v="24"/>
    <x v="3"/>
    <x v="41"/>
    <s v="Rua R Treis - Juréia."/>
    <x v="1"/>
    <x v="1"/>
    <x v="14"/>
    <n v="1"/>
    <m/>
    <s v="-"/>
    <s v="-"/>
    <s v="Jurídico Externo"/>
    <x v="1"/>
  </r>
  <r>
    <x v="69"/>
    <x v="26"/>
    <x v="0"/>
    <s v="ABEC"/>
    <s v="PMBCS"/>
    <x v="24"/>
    <x v="3"/>
    <x v="41"/>
    <s v="Rua R Treis - Juréia."/>
    <x v="1"/>
    <x v="2"/>
    <x v="19"/>
    <n v="1"/>
    <m/>
    <s v="-"/>
    <s v="-"/>
    <s v="Jurídico Interno"/>
    <x v="1"/>
  </r>
  <r>
    <x v="70"/>
    <x v="26"/>
    <x v="0"/>
    <s v="ABEC"/>
    <s v="PMBCS"/>
    <x v="24"/>
    <x v="3"/>
    <x v="41"/>
    <s v="Rua R Treis - Juréia."/>
    <x v="1"/>
    <x v="2"/>
    <x v="19"/>
    <n v="1"/>
    <m/>
    <s v="-"/>
    <s v="-"/>
    <s v="Jurídico Interno"/>
    <x v="1"/>
  </r>
  <r>
    <x v="70"/>
    <x v="26"/>
    <x v="0"/>
    <s v="ABEC"/>
    <s v="PMBCS"/>
    <x v="24"/>
    <x v="3"/>
    <x v="41"/>
    <s v="Rua R Treis - Juréia."/>
    <x v="1"/>
    <x v="1"/>
    <x v="20"/>
    <n v="1"/>
    <m/>
    <s v="-"/>
    <s v="-"/>
    <s v="Jurídico Externo"/>
    <x v="1"/>
  </r>
  <r>
    <x v="71"/>
    <x v="26"/>
    <x v="0"/>
    <s v="ABEC"/>
    <s v="PMBCS"/>
    <x v="24"/>
    <x v="3"/>
    <x v="41"/>
    <s v="Rua R Treis - Juréia."/>
    <x v="1"/>
    <x v="2"/>
    <x v="19"/>
    <n v="1"/>
    <m/>
    <s v="-"/>
    <s v="-"/>
    <s v="Jurídico Interno"/>
    <x v="1"/>
  </r>
  <r>
    <x v="71"/>
    <x v="26"/>
    <x v="0"/>
    <s v="ABEC"/>
    <s v="PMBCS"/>
    <x v="24"/>
    <x v="3"/>
    <x v="41"/>
    <s v="Rua R Treis - Juréia."/>
    <x v="1"/>
    <x v="1"/>
    <x v="8"/>
    <n v="1"/>
    <m/>
    <s v="-"/>
    <s v="-"/>
    <s v="Jurídico Externo"/>
    <x v="1"/>
  </r>
  <r>
    <x v="72"/>
    <x v="1"/>
    <x v="0"/>
    <s v="ABEC"/>
    <s v="PMBCS"/>
    <x v="1"/>
    <x v="0"/>
    <x v="42"/>
    <s v="Rua Guabirotuba, nº 158 - Prado Velho."/>
    <x v="2"/>
    <x v="0"/>
    <x v="0"/>
    <n v="0"/>
    <d v="2020-07-31T00:00:00"/>
    <s v="Processo de alteração de titularidade realizado"/>
    <s v="-"/>
    <s v="Jurídico Externo"/>
    <x v="9"/>
  </r>
  <r>
    <x v="73"/>
    <x v="27"/>
    <x v="0"/>
    <s v="UCE"/>
    <s v="PMBCS"/>
    <x v="25"/>
    <x v="1"/>
    <x v="43"/>
    <s v="Rua Herculano Coelho de Souza, 1157 - Reunidas."/>
    <x v="1"/>
    <x v="5"/>
    <x v="8"/>
    <n v="1"/>
    <d v="2020-03-05T00:00:00"/>
    <s v="Este caso integra a cisão II, conforme e-mail encaminhado pela gestora de Patrimônio Imobiliário ao núcleo de regularizações."/>
    <s v="-"/>
    <s v="GPI"/>
    <x v="1"/>
  </r>
  <r>
    <x v="73"/>
    <x v="27"/>
    <x v="0"/>
    <s v="UCE"/>
    <s v="PMBCS"/>
    <x v="25"/>
    <x v="1"/>
    <x v="43"/>
    <s v="Rua Herculano Coelho de Souza, 1157 - Reunidas."/>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GPI"/>
    <x v="1"/>
  </r>
  <r>
    <x v="73"/>
    <x v="27"/>
    <x v="0"/>
    <s v="UCE"/>
    <s v="PMBCS"/>
    <x v="25"/>
    <x v="1"/>
    <x v="43"/>
    <s v="Rua Herculano Coelho de Souza, 1157 - Reunidas."/>
    <x v="1"/>
    <x v="5"/>
    <x v="8"/>
    <n v="1"/>
    <d v="2020-06-10T00:00:00"/>
    <s v="Núcleo de regularizações retoma a solicitação de informações a gestora de patrimônio imobiliário, quanto a Ata."/>
    <s v="-"/>
    <s v="GPI"/>
    <x v="1"/>
  </r>
  <r>
    <x v="73"/>
    <x v="27"/>
    <x v="0"/>
    <s v="UCE"/>
    <s v="PMBCS"/>
    <x v="25"/>
    <x v="1"/>
    <x v="43"/>
    <s v="Rua Herculano Coelho de Souza, 1157 - Reunidas."/>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GPI"/>
    <x v="1"/>
  </r>
  <r>
    <x v="73"/>
    <x v="27"/>
    <x v="0"/>
    <s v="UCE"/>
    <s v="PMBCS"/>
    <x v="25"/>
    <x v="1"/>
    <x v="43"/>
    <s v="Rua Herculano Coelho de Souza, 1157 - Reunidas."/>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GPI"/>
    <x v="1"/>
  </r>
  <r>
    <x v="73"/>
    <x v="27"/>
    <x v="0"/>
    <s v="UCE"/>
    <s v="PMBCS"/>
    <x v="25"/>
    <x v="1"/>
    <x v="43"/>
    <s v="Rua Herculano Coelho de Souza, 1157 - Reunidas."/>
    <x v="1"/>
    <x v="5"/>
    <x v="8"/>
    <n v="1"/>
    <d v="2020-07-02T00:00:00"/>
    <s v="Núcleo de regularizações retoma a solicitação de informações junto a PROJUR, na pessoa da Sra. Crislei."/>
    <s v="-"/>
    <s v="GPI"/>
    <x v="1"/>
  </r>
  <r>
    <x v="73"/>
    <x v="27"/>
    <x v="0"/>
    <s v="UCE"/>
    <s v="PMBCS"/>
    <x v="25"/>
    <x v="1"/>
    <x v="43"/>
    <s v="Rua Herculano Coelho de Souza, 1157 - Reunidas."/>
    <x v="1"/>
    <x v="2"/>
    <x v="21"/>
    <n v="1"/>
    <d v="2020-03-12T00:00:00"/>
    <s v="A unificação deste imóvel juntamente aos imóveis das matrículas de n.º 13.582 e 35.291 é uma obrigação contratual da Loteadora D´Agostini. Nesta data o núcleo de regularizações pede informações a gestora do patrimônio imobiliário acerca do assunto. Gestora do Patrimônio Imobiliário informa que no dia 13/03/2020 fará uma reunião com a Loteadora D´Agostini e a Projur - Marista. Pedindo para que ficasse no aguardo de novas informações."/>
    <s v="-"/>
    <s v="GPI"/>
    <x v="1"/>
  </r>
  <r>
    <x v="73"/>
    <x v="27"/>
    <x v="0"/>
    <s v="UCE"/>
    <s v="PMBCS"/>
    <x v="25"/>
    <x v="1"/>
    <x v="43"/>
    <s v="Rua Herculano Coelho de Souza, 1157 - Reunidas."/>
    <x v="1"/>
    <x v="2"/>
    <x v="21"/>
    <n v="1"/>
    <d v="2020-07-02T00:00:00"/>
    <s v="Núcleo de regularizações retoma a solicitação de informações junto a gestora do patrimônio imobiliário."/>
    <s v="-"/>
    <s v="GPI"/>
    <x v="1"/>
  </r>
  <r>
    <x v="74"/>
    <x v="28"/>
    <x v="0"/>
    <s v="ABEC"/>
    <s v="GM"/>
    <x v="22"/>
    <x v="3"/>
    <x v="37"/>
    <s v="Rua Carlos de Campos, s/n - Caixa Postal 20"/>
    <x v="2"/>
    <x v="0"/>
    <x v="0"/>
    <n v="0"/>
    <m/>
    <s v="-"/>
    <s v="-"/>
    <s v="Verificar"/>
    <x v="1"/>
  </r>
  <r>
    <x v="75"/>
    <x v="28"/>
    <x v="0"/>
    <s v="ABEC"/>
    <s v="GM"/>
    <x v="22"/>
    <x v="3"/>
    <x v="37"/>
    <s v="Rua Carlos de Campos, s/n - Caixa Postal 20"/>
    <x v="2"/>
    <x v="0"/>
    <x v="0"/>
    <n v="0"/>
    <m/>
    <s v="-"/>
    <s v="-"/>
    <s v="Verificar"/>
    <x v="1"/>
  </r>
  <r>
    <x v="76"/>
    <x v="28"/>
    <x v="0"/>
    <s v="ABEC"/>
    <s v="GM"/>
    <x v="22"/>
    <x v="3"/>
    <x v="37"/>
    <s v="Rua Carlos de Campos, s/n - Caixa Postal 20"/>
    <x v="2"/>
    <x v="0"/>
    <x v="0"/>
    <n v="0"/>
    <m/>
    <s v="-"/>
    <s v="-"/>
    <s v="Verificar"/>
    <x v="1"/>
  </r>
  <r>
    <x v="77"/>
    <x v="28"/>
    <x v="0"/>
    <s v="ABEC"/>
    <s v="GM"/>
    <x v="22"/>
    <x v="3"/>
    <x v="37"/>
    <s v="Rua Carlos de Campos, s/n - Caixa Postal 20"/>
    <x v="2"/>
    <x v="0"/>
    <x v="0"/>
    <n v="0"/>
    <m/>
    <s v="-"/>
    <s v="-"/>
    <s v="Verificar"/>
    <x v="1"/>
  </r>
  <r>
    <x v="78"/>
    <x v="28"/>
    <x v="0"/>
    <s v="ABEC"/>
    <s v="GM"/>
    <x v="22"/>
    <x v="3"/>
    <x v="37"/>
    <s v="Rua Carlos de Campos, s/n - Caixa Postal 20"/>
    <x v="2"/>
    <x v="0"/>
    <x v="0"/>
    <n v="0"/>
    <m/>
    <s v="-"/>
    <s v="-"/>
    <s v="Verificar"/>
    <x v="1"/>
  </r>
  <r>
    <x v="79"/>
    <x v="28"/>
    <x v="0"/>
    <s v="ABEC"/>
    <s v="GM"/>
    <x v="22"/>
    <x v="3"/>
    <x v="37"/>
    <s v="Rua Carlos de Campos, s/n - Caixa Postal 20"/>
    <x v="2"/>
    <x v="0"/>
    <x v="0"/>
    <n v="0"/>
    <m/>
    <s v="-"/>
    <s v="-"/>
    <s v="Verificar"/>
    <x v="1"/>
  </r>
  <r>
    <x v="80"/>
    <x v="28"/>
    <x v="0"/>
    <s v="ABEC"/>
    <s v="GM"/>
    <x v="22"/>
    <x v="3"/>
    <x v="37"/>
    <s v="Rua Carlos de Campos, s/n - Caixa Postal 20"/>
    <x v="2"/>
    <x v="0"/>
    <x v="0"/>
    <n v="0"/>
    <m/>
    <s v="-"/>
    <s v="-"/>
    <s v="Verificar"/>
    <x v="1"/>
  </r>
  <r>
    <x v="81"/>
    <x v="28"/>
    <x v="0"/>
    <s v="ABEC"/>
    <s v="GM"/>
    <x v="22"/>
    <x v="3"/>
    <x v="37"/>
    <s v="Rua Carlos de Campos, s/n - Caixa Postal 20"/>
    <x v="2"/>
    <x v="0"/>
    <x v="0"/>
    <n v="0"/>
    <m/>
    <s v="-"/>
    <s v="-"/>
    <s v="Verificar"/>
    <x v="1"/>
  </r>
  <r>
    <x v="82"/>
    <x v="29"/>
    <x v="0"/>
    <s v="ABEC"/>
    <s v="GM"/>
    <x v="26"/>
    <x v="0"/>
    <x v="44"/>
    <s v="-"/>
    <x v="2"/>
    <x v="0"/>
    <x v="0"/>
    <n v="0"/>
    <m/>
    <s v="O apontamento de regularização para agosto de 2019 diz respeito ao trabalho realizado pelo escritório Gobbo e Guimarães, todavia restava o comparecimento in loco, para certificação. O qual foi realizado pelo Anderson, do setor de facilities, comparecendo no imóvel mediante os elementos para localização do imóvel apontada por GPI, identificando o imóvel como sendo de fato da ABEC porém ocupado por terceiros. Houve contato telefônico com o ocupante e ficamos de retomar contato pessoal, tendo em vista que o mesmo limitou-se a falar por telefone."/>
    <s v="-"/>
    <s v="Jurídico Externo"/>
    <x v="8"/>
  </r>
  <r>
    <x v="83"/>
    <x v="6"/>
    <x v="0"/>
    <s v="ABEC"/>
    <s v="PMBCS"/>
    <x v="1"/>
    <x v="0"/>
    <x v="16"/>
    <s v="Rua Prof. Joaquim de Matos Barreto, nº 98 - São Lourenço."/>
    <x v="1"/>
    <x v="2"/>
    <x v="22"/>
    <n v="1"/>
    <d v="2019-11-27T00:00:00"/>
    <s v="Prefeitura informou que os lotes solicitados para aquisição deveriam ser alienados separadamente para evitar que os lotes de IF 71.066.024 e 71.080.001 ficassem encravados. Sendo compromissado a oferta de algum lote para permuta. Ofertado o imóvel da Nilo Peçanha e em análise pela Gerência de regularização patrimonial."/>
    <s v="-"/>
    <s v="Jurídico Externo"/>
    <x v="1"/>
  </r>
  <r>
    <x v="83"/>
    <x v="6"/>
    <x v="0"/>
    <s v="ABEC"/>
    <s v="PMBCS"/>
    <x v="1"/>
    <x v="0"/>
    <x v="16"/>
    <s v="Rua Prof. Joaquim de Matos Barreto, nº 98 - São Lourenço."/>
    <x v="1"/>
    <x v="2"/>
    <x v="22"/>
    <n v="1"/>
    <d v="2019-12-09T00:00:00"/>
    <s v="Manifestação da prefeitura &quot;tendo em vista o pedido de permuta de áreas, solicitamos parecer com relação ao interesse público nas áreas indicadas na cor vermelha, às fls.43, indicações fiscais n.ºs 71.080.001 e 71.080.016, de propriedade do Município, e na área indicada em na cor verde, Indicação Fiscal IF Nº 71.066.043, de propriedade do requerente e ofertada pelo mesmo._x000a__x000a_1- Ao SMMA4,_x000a_Implantação de unidade de conservação/ equipamento de lazer;_x000a__x000a_2- Ao IPPUCDPR,_x000a_Implantação de equipamento social, de melhorias no sistema viário da região ou de outros projetos.&quot;"/>
    <s v="-"/>
    <s v="Jurídico Externo"/>
    <x v="1"/>
  </r>
  <r>
    <x v="83"/>
    <x v="6"/>
    <x v="0"/>
    <s v="ABEC"/>
    <s v="PMBCS"/>
    <x v="1"/>
    <x v="0"/>
    <x v="16"/>
    <s v="Rua Prof. Joaquim de Matos Barreto, nº 98 - São Lourenço."/>
    <x v="1"/>
    <x v="2"/>
    <x v="22"/>
    <n v="1"/>
    <d v="2020-01-18T00:00:00"/>
    <s v="Secretaria de Meio Ambiente e IPPUC ainda não se manifestaram."/>
    <s v="-"/>
    <s v="Jurídico Externo"/>
    <x v="1"/>
  </r>
  <r>
    <x v="83"/>
    <x v="6"/>
    <x v="0"/>
    <s v="ABEC"/>
    <s v="PMBCS"/>
    <x v="1"/>
    <x v="0"/>
    <x v="16"/>
    <s v="Rua Prof. Joaquim de Matos Barreto, nº 98 - São Lourenço."/>
    <x v="1"/>
    <x v="2"/>
    <x v="22"/>
    <n v="1"/>
    <d v="2020-02-18T00:00:00"/>
    <s v="Secretaria de Meio Ambiente e IPPUC ainda não se manifestaram."/>
    <s v="-"/>
    <s v="Jurídico Externo"/>
    <x v="1"/>
  </r>
  <r>
    <x v="83"/>
    <x v="6"/>
    <x v="0"/>
    <s v="ABEC"/>
    <s v="PMBCS"/>
    <x v="1"/>
    <x v="0"/>
    <x v="16"/>
    <s v="Rua Prof. Joaquim de Matos Barreto, nº 98 - São Lourenço."/>
    <x v="1"/>
    <x v="2"/>
    <x v="22"/>
    <n v="1"/>
    <d v="2020-03-16T00:00:00"/>
    <s v="Secretaria de Meio Ambiente e IPPUC ainda não se manifestaram."/>
    <s v="-"/>
    <s v="Jurídico Externo"/>
    <x v="1"/>
  </r>
  <r>
    <x v="83"/>
    <x v="6"/>
    <x v="0"/>
    <s v="ABEC"/>
    <s v="PMBCS"/>
    <x v="1"/>
    <x v="0"/>
    <x v="16"/>
    <s v="Rua Prof. Joaquim de Matos Barreto, nº 98 - São Lourenço."/>
    <x v="1"/>
    <x v="2"/>
    <x v="22"/>
    <n v="1"/>
    <d v="2020-04-17T00:00:00"/>
    <s v="Secretaria de Meio Ambiente e IPPUC ainda não se manifestaram. Escritório Gobbo e Guimarães também não sinalizou ou comunicou para o Patrimônio Imobiliário providências no sentido de cobrança."/>
    <s v="-"/>
    <s v="Jurídico Externo"/>
    <x v="1"/>
  </r>
  <r>
    <x v="83"/>
    <x v="6"/>
    <x v="0"/>
    <s v="ABEC"/>
    <s v="PMBCS"/>
    <x v="1"/>
    <x v="0"/>
    <x v="16"/>
    <s v="Rua Prof. Joaquim de Matos Barreto, nº 98 - São Lourenço."/>
    <x v="1"/>
    <x v="2"/>
    <x v="22"/>
    <n v="1"/>
    <d v="2020-06-16T00:00:00"/>
    <s v="Município ainda não se manifestou, escritório informou que tem entrado em contato com a Prefeitura com frequência para saber o andamento e em contato mais recente foram informados que o processo está sendo analisado pelo setor de Parques e Praças. Informaram que a responsável pela análise voltou de licença a pouco mais de dois meses e não teve conhecimento desse processo. A mesma ficou de verificar com a pessoa qual a substituiu para dar andamento a nossa solicitação._x000a_Ficou de me posicionar essa semana quanto a isso. "/>
    <s v="-"/>
    <s v="Jurídico Externo"/>
    <x v="1"/>
  </r>
  <r>
    <x v="83"/>
    <x v="6"/>
    <x v="0"/>
    <s v="ABEC"/>
    <s v="PMBCS"/>
    <x v="1"/>
    <x v="0"/>
    <x v="16"/>
    <s v="Rua Prof. Joaquim de Matos Barreto, nº 98 - São Lourenço."/>
    <x v="1"/>
    <x v="2"/>
    <x v="22"/>
    <n v="1"/>
    <d v="2020-07-16T00:00:00"/>
    <s v="Aguardando manifestação do município. "/>
    <s v="-"/>
    <s v="Jurídico Externo"/>
    <x v="1"/>
  </r>
  <r>
    <x v="84"/>
    <x v="30"/>
    <x v="0"/>
    <s v="APC"/>
    <s v="GM"/>
    <x v="20"/>
    <x v="0"/>
    <x v="33"/>
    <s v="Rua Ferreira Lopes, s/n (Beira Mar) - Centro."/>
    <x v="1"/>
    <x v="2"/>
    <x v="23"/>
    <n v="1"/>
    <d v="2019-09-16T00:00:00"/>
    <s v="Tendo em vista pertencer a SPU, transformar de ocupação para aforamento."/>
    <s v="-"/>
    <s v="Jurídico Externo"/>
    <x v="1"/>
  </r>
  <r>
    <x v="84"/>
    <x v="30"/>
    <x v="0"/>
    <s v="APC"/>
    <s v="GM"/>
    <x v="20"/>
    <x v="0"/>
    <x v="33"/>
    <s v="Rua Ferreira Lopes, s/n (Beira Mar) - Centro."/>
    <x v="1"/>
    <x v="2"/>
    <x v="23"/>
    <n v="1"/>
    <d v="2019-11-18T00:00:00"/>
    <s v="Aguardando análise do protocolo do pedido de Aforamento não oneroso junto ao SPU."/>
    <s v="-"/>
    <s v="Jurídico Externo"/>
    <x v="1"/>
  </r>
  <r>
    <x v="84"/>
    <x v="30"/>
    <x v="0"/>
    <s v="APC"/>
    <s v="GM"/>
    <x v="20"/>
    <x v="0"/>
    <x v="33"/>
    <s v="Rua Ferreira Lopes, s/n (Beira Mar) - Centro."/>
    <x v="1"/>
    <x v="2"/>
    <x v="23"/>
    <n v="1"/>
    <d v="2019-12-15T00:00:00"/>
    <s v="Permanecem no aguardo da análise do protocolo do pedido de Aforamento não oneroso junto ao SPU."/>
    <s v="-"/>
    <s v="Jurídico Externo"/>
    <x v="1"/>
  </r>
  <r>
    <x v="84"/>
    <x v="30"/>
    <x v="0"/>
    <s v="APC"/>
    <s v="GM"/>
    <x v="20"/>
    <x v="0"/>
    <x v="33"/>
    <s v="Rua Ferreira Lopes, s/n (Beira Mar) - Centro."/>
    <x v="1"/>
    <x v="2"/>
    <x v="23"/>
    <n v="1"/>
    <d v="2020-01-17T00:00:00"/>
    <s v="Permanecem no aguardo da análise do protocolo do pedido de Aforamento não oneroso junto ao SPU."/>
    <s v="-"/>
    <s v="Jurídico Externo"/>
    <x v="1"/>
  </r>
  <r>
    <x v="84"/>
    <x v="30"/>
    <x v="0"/>
    <s v="APC"/>
    <s v="GM"/>
    <x v="20"/>
    <x v="0"/>
    <x v="33"/>
    <s v="Rua Ferreira Lopes, s/n (Beira Mar) - Centro."/>
    <x v="1"/>
    <x v="2"/>
    <x v="23"/>
    <n v="1"/>
    <d v="2020-02-17T00:00:00"/>
    <s v="Permanecem no aguardo da análise do protocolo do pedido de Aforamento não oneroso junto ao SPU."/>
    <s v="-"/>
    <s v="Jurídico Externo"/>
    <x v="1"/>
  </r>
  <r>
    <x v="84"/>
    <x v="30"/>
    <x v="0"/>
    <s v="APC"/>
    <s v="GM"/>
    <x v="20"/>
    <x v="0"/>
    <x v="33"/>
    <s v="Rua Ferreira Lopes, s/n (Beira Mar) - Centro."/>
    <x v="1"/>
    <x v="2"/>
    <x v="23"/>
    <n v="1"/>
    <d v="2020-03-16T00:00:00"/>
    <s v="Permanecem no aguardo da análise do protocolo do pedido de Aforamento não oneroso junto ao SPU."/>
    <s v="-"/>
    <s v="Jurídico Externo"/>
    <x v="1"/>
  </r>
  <r>
    <x v="84"/>
    <x v="30"/>
    <x v="0"/>
    <s v="APC"/>
    <s v="GM"/>
    <x v="20"/>
    <x v="0"/>
    <x v="33"/>
    <s v="Rua Ferreira Lopes, s/n (Beira Mar) - Centro."/>
    <x v="1"/>
    <x v="2"/>
    <x v="23"/>
    <n v="1"/>
    <d v="2020-04-17T00:00:00"/>
    <s v="Permanecem no aguardo da análise do protocolo do pedido de Aforamento não oneroso junto ao SPU."/>
    <s v="-"/>
    <s v="Jurídico Externo"/>
    <x v="1"/>
  </r>
  <r>
    <x v="84"/>
    <x v="30"/>
    <x v="0"/>
    <s v="APC"/>
    <s v="GM"/>
    <x v="20"/>
    <x v="0"/>
    <x v="33"/>
    <s v="Rua Ferreira Lopes, s/n (Beira Mar) - Centro."/>
    <x v="1"/>
    <x v="2"/>
    <x v="23"/>
    <n v="1"/>
    <d v="2020-05-11T00:00:00"/>
    <s v="Permanecem no aguardo da análise do protocolo do pedido de Aforamento não oneroso junto ao SPU."/>
    <s v="-"/>
    <s v="Jurídico Externo"/>
    <x v="1"/>
  </r>
  <r>
    <x v="84"/>
    <x v="30"/>
    <x v="0"/>
    <s v="APC"/>
    <s v="GM"/>
    <x v="20"/>
    <x v="0"/>
    <x v="33"/>
    <s v="Rua Ferreira Lopes, s/n (Beira Mar) - Centro."/>
    <x v="1"/>
    <x v="2"/>
    <x v="23"/>
    <n v="1"/>
    <d v="2020-06-16T00:00:00"/>
    <s v="Permanecem no aguardo da análise do protocolo do pedido de Aforamento não oneroso junto ao SPU."/>
    <s v="-"/>
    <s v="Jurídico Externo"/>
    <x v="1"/>
  </r>
  <r>
    <x v="84"/>
    <x v="30"/>
    <x v="0"/>
    <s v="APC"/>
    <s v="GM"/>
    <x v="20"/>
    <x v="0"/>
    <x v="33"/>
    <s v="Rua Ferreira Lopes, s/n (Beira Mar) - Centro."/>
    <x v="1"/>
    <x v="2"/>
    <x v="23"/>
    <n v="1"/>
    <d v="2020-07-16T00:00:00"/>
    <s v="Permanecem no aguardo da análise do protocolo do pedido de Aforamento não oneroso junto ao SPU."/>
    <s v="-"/>
    <s v="Jurídico Externo"/>
    <x v="1"/>
  </r>
  <r>
    <x v="85"/>
    <x v="30"/>
    <x v="0"/>
    <s v="APC"/>
    <s v="GM"/>
    <x v="27"/>
    <x v="0"/>
    <x v="45"/>
    <s v="Rua General Carneiro - Prado Velho."/>
    <x v="1"/>
    <x v="2"/>
    <x v="24"/>
    <n v="1"/>
    <m/>
    <s v="-"/>
    <s v="-"/>
    <s v="GPI"/>
    <x v="1"/>
  </r>
  <r>
    <x v="86"/>
    <x v="20"/>
    <x v="0"/>
    <s v="ABEC"/>
    <s v="PMBCS"/>
    <x v="18"/>
    <x v="0"/>
    <x v="46"/>
    <s v="Rua Presidente Kennedy - Centro."/>
    <x v="1"/>
    <x v="1"/>
    <x v="8"/>
    <n v="1"/>
    <d v="2020-07-16T00:00:00"/>
    <s v="Processo de alteração de titularidade ainda não realizado."/>
    <s v="-"/>
    <s v="Jurídico Externo"/>
    <x v="1"/>
  </r>
  <r>
    <x v="87"/>
    <x v="1"/>
    <x v="0"/>
    <s v="ABEC"/>
    <s v="PMBCS"/>
    <x v="1"/>
    <x v="0"/>
    <x v="47"/>
    <s v="Rua João Negrao, nº 2.720 - Prado Velho."/>
    <x v="2"/>
    <x v="0"/>
    <x v="0"/>
    <n v="0"/>
    <d v="2020-07-31T00:00:00"/>
    <s v="Processo de alteração de titularidade realizado"/>
    <s v="-"/>
    <s v="Jurídico Externo"/>
    <x v="9"/>
  </r>
  <r>
    <x v="88"/>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89"/>
    <x v="1"/>
    <x v="0"/>
    <s v="ABEC"/>
    <s v="PMBCS"/>
    <x v="1"/>
    <x v="0"/>
    <x v="32"/>
    <s v="Rua Iapó, 861 - Prado Velho."/>
    <x v="1"/>
    <x v="6"/>
    <x v="18"/>
    <n v="1"/>
    <d v="2019-12-15T00:00:00"/>
    <s v="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
    <n v="80866"/>
    <s v="Jurídico Externo"/>
    <x v="1"/>
  </r>
  <r>
    <x v="89"/>
    <x v="1"/>
    <x v="0"/>
    <s v="ABEC"/>
    <s v="PMBCS"/>
    <x v="1"/>
    <x v="0"/>
    <x v="32"/>
    <s v="Rua Iapó, 861 - Prado Velho."/>
    <x v="0"/>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89"/>
    <x v="1"/>
    <x v="0"/>
    <s v="ABEC"/>
    <s v="PMBCS"/>
    <x v="1"/>
    <x v="0"/>
    <x v="32"/>
    <s v="Rua Iapó, 861 - Prado Velho."/>
    <x v="1"/>
    <x v="6"/>
    <x v="18"/>
    <n v="1"/>
    <d v="2020-01-17T00:00:00"/>
    <s v="O processo passou a tramitar na 05ª Vara Cível, todavia aguardamos despacho inicial concedendo pedido liminar para o cancelamento das averbações."/>
    <s v="-"/>
    <s v="Jurídico Externo"/>
    <x v="1"/>
  </r>
  <r>
    <x v="89"/>
    <x v="1"/>
    <x v="0"/>
    <s v="ABEC"/>
    <s v="PMBCS"/>
    <x v="1"/>
    <x v="0"/>
    <x v="32"/>
    <s v="Rua Iapó, 861 - Prado Velho."/>
    <x v="1"/>
    <x v="6"/>
    <x v="18"/>
    <n v="1"/>
    <d v="2020-04-17T00:00:00"/>
    <s v="Foi indeferida a Tutela Antecipada, com o fundamento de que o protesto já está averbado a algum tempo, assim não há periculum in mora ao aguardar a decisão final do processo._x000a_Apresentado Embargos de Declaração do Indeferimento da Tutela Antecipada."/>
    <s v="-"/>
    <s v="Jurídico Externo"/>
    <x v="1"/>
  </r>
  <r>
    <x v="89"/>
    <x v="1"/>
    <x v="0"/>
    <s v="ABEC"/>
    <s v="PMBCS"/>
    <x v="1"/>
    <x v="0"/>
    <x v="32"/>
    <s v="Rua Iapó, 861 - Prado Velho."/>
    <x v="1"/>
    <x v="6"/>
    <x v="18"/>
    <n v="1"/>
    <d v="2020-05-11T00:00:00"/>
    <s v="Apresentado embargos de declaração do indeferimento da tutela antecipada. Juntado o comprovante de custas de citação e aguardando expedição de citação."/>
    <s v="-"/>
    <s v="Jurídico Externo"/>
    <x v="1"/>
  </r>
  <r>
    <x v="89"/>
    <x v="1"/>
    <x v="0"/>
    <s v="ABEC"/>
    <s v="PMBCS"/>
    <x v="1"/>
    <x v="0"/>
    <x v="32"/>
    <s v="Rua Iapó, 861 - Prado Velho."/>
    <x v="1"/>
    <x v="6"/>
    <x v="18"/>
    <n v="1"/>
    <d v="2020-02-17T00:00:00"/>
    <s v="O juiz, determinou a apresentação de emenda constando o valor do imóvel em discussão, com o devido recolhimento de custas iniciais complementar."/>
    <s v="-"/>
    <s v="Jurídico Externo"/>
    <x v="1"/>
  </r>
  <r>
    <x v="89"/>
    <x v="1"/>
    <x v="0"/>
    <s v="ABEC"/>
    <s v="PMBCS"/>
    <x v="1"/>
    <x v="0"/>
    <x v="32"/>
    <s v="Rua Iapó, 861 - Prado Velho."/>
    <x v="1"/>
    <x v="6"/>
    <x v="18"/>
    <n v="1"/>
    <d v="2020-03-17T00:00:00"/>
    <s v="Aguardando a decisão preliminar concedendo a liminar."/>
    <s v="-"/>
    <s v="Jurídico Externo"/>
    <x v="1"/>
  </r>
  <r>
    <x v="89"/>
    <x v="1"/>
    <x v="0"/>
    <s v="ABEC"/>
    <s v="PMBCS"/>
    <x v="1"/>
    <x v="0"/>
    <x v="32"/>
    <s v="Rua Iapó, 861 - Prado Velho."/>
    <x v="1"/>
    <x v="6"/>
    <x v="18"/>
    <n v="1"/>
    <d v="2020-06-16T00:00:00"/>
    <s v="Permanecendo no aguardo da decisão dos embargos e citação do requerido."/>
    <s v="-"/>
    <s v="Jurídico Externo"/>
    <x v="1"/>
  </r>
  <r>
    <x v="89"/>
    <x v="1"/>
    <x v="0"/>
    <s v="ABEC"/>
    <s v="PMBCS"/>
    <x v="1"/>
    <x v="0"/>
    <x v="32"/>
    <s v="Rua Iapó, 861 - Prado Velho."/>
    <x v="1"/>
    <x v="6"/>
    <x v="18"/>
    <n v="1"/>
    <d v="2020-07-15T00:00:00"/>
    <s v="Permanecendo no aguardo da decisão dos embargos e citação do requerido."/>
    <s v="-"/>
    <s v="Jurídico Externo"/>
    <x v="1"/>
  </r>
  <r>
    <x v="90"/>
    <x v="1"/>
    <x v="0"/>
    <s v="ABEC"/>
    <s v="PMBCS"/>
    <x v="1"/>
    <x v="0"/>
    <x v="32"/>
    <s v="Rua Iapó, 861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n v="80866"/>
    <s v="Jurídico Interno"/>
    <x v="5"/>
  </r>
  <r>
    <x v="91"/>
    <x v="1"/>
    <x v="0"/>
    <s v="ABEC"/>
    <s v="PMBCS"/>
    <x v="1"/>
    <x v="0"/>
    <x v="32"/>
    <s v="Rua Iapó, 861 - Prado Velho."/>
    <x v="1"/>
    <x v="6"/>
    <x v="18"/>
    <n v="1"/>
    <d v="2019-12-15T00:00:00"/>
    <s v="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
    <n v="80866"/>
    <s v="Jurídico Externo"/>
    <x v="1"/>
  </r>
  <r>
    <x v="91"/>
    <x v="1"/>
    <x v="0"/>
    <s v="ABEC"/>
    <s v="PMBCS"/>
    <x v="1"/>
    <x v="0"/>
    <x v="32"/>
    <s v="Rua Iapó, 861 - Prado Velho."/>
    <x v="0"/>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91"/>
    <x v="1"/>
    <x v="0"/>
    <s v="ABEC"/>
    <s v="PMBCS"/>
    <x v="1"/>
    <x v="0"/>
    <x v="32"/>
    <s v="Rua Iapó, 861 - Prado Velho."/>
    <x v="1"/>
    <x v="6"/>
    <x v="18"/>
    <n v="1"/>
    <d v="2020-01-17T00:00:00"/>
    <s v="O processo passou a tramitar na 05ª Vara Cível, todavia aguardamos despacho inicial concedendo pedido liminar para o cancelamento das averbações."/>
    <s v="-"/>
    <s v="Jurídico Externo"/>
    <x v="1"/>
  </r>
  <r>
    <x v="91"/>
    <x v="1"/>
    <x v="0"/>
    <s v="ABEC"/>
    <s v="PMBCS"/>
    <x v="1"/>
    <x v="0"/>
    <x v="32"/>
    <s v="Rua Iapó, 861 - Prado Velho."/>
    <x v="1"/>
    <x v="6"/>
    <x v="18"/>
    <n v="1"/>
    <d v="2020-02-17T00:00:00"/>
    <s v="O juiz, determinou a apresentação de emenda constando o valor do imóvel em discussão, com o devido recolhimento de custas iniciais complementar."/>
    <s v="-"/>
    <s v="Jurídico Externo"/>
    <x v="1"/>
  </r>
  <r>
    <x v="91"/>
    <x v="1"/>
    <x v="0"/>
    <s v="ABEC"/>
    <s v="PMBCS"/>
    <x v="1"/>
    <x v="0"/>
    <x v="32"/>
    <s v="Rua Iapó, 861 - Prado Velho."/>
    <x v="1"/>
    <x v="6"/>
    <x v="18"/>
    <n v="1"/>
    <d v="2020-03-17T00:00:00"/>
    <s v="Aguardando a decisão preliminar concedendo a liminar."/>
    <s v="-"/>
    <s v="Jurídico Externo"/>
    <x v="1"/>
  </r>
  <r>
    <x v="91"/>
    <x v="1"/>
    <x v="0"/>
    <s v="ABEC"/>
    <s v="PMBCS"/>
    <x v="1"/>
    <x v="0"/>
    <x v="32"/>
    <s v="Rua Iapó, 861 - Prado Velho."/>
    <x v="1"/>
    <x v="6"/>
    <x v="18"/>
    <n v="1"/>
    <d v="2020-04-17T00:00:00"/>
    <s v="Foi indeferida a Tutela Antecipada, com o fundamento de que o protesto já está averbado a algum tempo, assim não há periculum in mora ao aguardar a decisão final do processo. Apresentado Embargos de Declaração do Indeferimento da Tutela Antecipada."/>
    <s v="-"/>
    <s v="Jurídico Externo"/>
    <x v="1"/>
  </r>
  <r>
    <x v="91"/>
    <x v="1"/>
    <x v="0"/>
    <s v="ABEC"/>
    <s v="PMBCS"/>
    <x v="1"/>
    <x v="0"/>
    <x v="32"/>
    <s v="Rua Iapó, 861 - Prado Velho."/>
    <x v="1"/>
    <x v="6"/>
    <x v="18"/>
    <n v="1"/>
    <d v="2020-05-11T00:00:00"/>
    <s v="Apresentado embargos de declaração do indeferimento da tutela antecipada. Juntado o comprovante de custas de citação e aguardando expedição de citação."/>
    <s v="-"/>
    <s v="Jurídico Externo"/>
    <x v="1"/>
  </r>
  <r>
    <x v="91"/>
    <x v="1"/>
    <x v="0"/>
    <s v="ABEC"/>
    <s v="PMBCS"/>
    <x v="1"/>
    <x v="0"/>
    <x v="32"/>
    <s v="Rua Iapó, 861 - Prado Velho."/>
    <x v="1"/>
    <x v="6"/>
    <x v="18"/>
    <n v="1"/>
    <d v="2020-06-16T00:00:00"/>
    <s v="Permanecendo no aguardo da decisão dos embargos e citação do requerido."/>
    <s v="-"/>
    <s v="Jurídico Externo"/>
    <x v="1"/>
  </r>
  <r>
    <x v="91"/>
    <x v="1"/>
    <x v="0"/>
    <s v="ABEC"/>
    <s v="PMBCS"/>
    <x v="1"/>
    <x v="0"/>
    <x v="32"/>
    <s v="Rua Iapó, 861 - Prado Velho."/>
    <x v="1"/>
    <x v="6"/>
    <x v="18"/>
    <n v="1"/>
    <d v="2020-07-15T00:00:00"/>
    <s v="Permanecendo no aguardo da decisão dos embargos e citação do requerido."/>
    <s v="-"/>
    <s v="Jurídico Externo"/>
    <x v="1"/>
  </r>
  <r>
    <x v="92"/>
    <x v="27"/>
    <x v="0"/>
    <s v="UCE"/>
    <s v="PMBCS"/>
    <x v="25"/>
    <x v="1"/>
    <x v="43"/>
    <s v="-"/>
    <x v="1"/>
    <x v="2"/>
    <x v="21"/>
    <n v="1"/>
    <d v="2020-03-12T00:00:00"/>
    <s v="A unificação deste imóvel juntamente aos imóveis das matrículas de n.º 9.469 e 35.291 é uma obrigação contratual da Loteadora D´Agostini. Nesta data o núcleo de regularizações pede informações a gestora do patrimônio imobiliário acerca do assunto. Gestora do Patrimônio Imobiliário informa que no dia 13/03/2020 fará uma reunião com a Loteadora D´Agostini e a Projur - Marista. Pedindo para que ficasse no aguardo de novas informações."/>
    <s v="-"/>
    <s v="GPI"/>
    <x v="1"/>
  </r>
  <r>
    <x v="92"/>
    <x v="27"/>
    <x v="0"/>
    <s v="UCE"/>
    <s v="PMBCS"/>
    <x v="25"/>
    <x v="1"/>
    <x v="43"/>
    <s v="-"/>
    <x v="1"/>
    <x v="2"/>
    <x v="21"/>
    <n v="1"/>
    <d v="2020-07-02T00:00:00"/>
    <s v="Núcleo de regularizações retoma a solicitação de informações junto a gestora do patrimônio imobiliário."/>
    <s v="-"/>
    <s v="GPI"/>
    <x v="1"/>
  </r>
  <r>
    <x v="92"/>
    <x v="27"/>
    <x v="0"/>
    <s v="UCE"/>
    <s v="PMBCS"/>
    <x v="25"/>
    <x v="1"/>
    <x v="43"/>
    <s v="-"/>
    <x v="1"/>
    <x v="5"/>
    <x v="8"/>
    <n v="1"/>
    <d v="2020-03-05T00:00:00"/>
    <s v="Este caso integra a cisão II, conforme e-mail encaminhado pela gestora de Patrimônio Imobiliário ao núcleo de regularizações."/>
    <s v="-"/>
    <s v="GPI"/>
    <x v="1"/>
  </r>
  <r>
    <x v="92"/>
    <x v="27"/>
    <x v="0"/>
    <s v="UCE"/>
    <s v="PMBCS"/>
    <x v="25"/>
    <x v="1"/>
    <x v="43"/>
    <s v="-"/>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GPI"/>
    <x v="1"/>
  </r>
  <r>
    <x v="92"/>
    <x v="27"/>
    <x v="0"/>
    <s v="UCE"/>
    <s v="PMBCS"/>
    <x v="25"/>
    <x v="1"/>
    <x v="43"/>
    <s v="-"/>
    <x v="1"/>
    <x v="5"/>
    <x v="8"/>
    <n v="1"/>
    <d v="2020-06-10T00:00:00"/>
    <s v="Núcleo de regularizações retoma a solicitação de informações a gestora de patrimônio imobiliário, quanto a Ata."/>
    <s v="-"/>
    <s v="GPI"/>
    <x v="1"/>
  </r>
  <r>
    <x v="92"/>
    <x v="27"/>
    <x v="0"/>
    <s v="UCE"/>
    <s v="PMBCS"/>
    <x v="25"/>
    <x v="1"/>
    <x v="43"/>
    <s v="-"/>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GPI"/>
    <x v="1"/>
  </r>
  <r>
    <x v="92"/>
    <x v="27"/>
    <x v="0"/>
    <s v="UCE"/>
    <s v="PMBCS"/>
    <x v="25"/>
    <x v="1"/>
    <x v="43"/>
    <s v="-"/>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GPI"/>
    <x v="1"/>
  </r>
  <r>
    <x v="92"/>
    <x v="27"/>
    <x v="0"/>
    <s v="UCE"/>
    <s v="PMBCS"/>
    <x v="25"/>
    <x v="1"/>
    <x v="43"/>
    <s v="-"/>
    <x v="1"/>
    <x v="5"/>
    <x v="8"/>
    <n v="1"/>
    <d v="2020-07-02T00:00:00"/>
    <s v="Núcleo de regularizações retoma a solicitação de informações junto a PROJUR, na pessoa da Sra. Crislei."/>
    <s v="-"/>
    <s v="GPI"/>
    <x v="1"/>
  </r>
  <r>
    <x v="93"/>
    <x v="6"/>
    <x v="0"/>
    <s v="APC"/>
    <s v="PMBCS"/>
    <x v="1"/>
    <x v="0"/>
    <x v="48"/>
    <s v="Rua Doutor Muricy, 926 - Centro."/>
    <x v="1"/>
    <x v="2"/>
    <x v="25"/>
    <n v="1"/>
    <d v="2020-03-13T00:00:00"/>
    <s v="Estabelecido contato com Dr. Umberto e Giceli coordenadora da Ação Social do Paraná. Expondo a necessidade de providenciar a escritura de renúncia. A devolutiva foi no sentido de disposição quanto a assinatura. Demandado a Natasha do Cartório Leão. Solicitou documentos (estatuto, ata de eleição e RG e CPF) para elaboração da minuta da escritura. "/>
    <s v="-"/>
    <s v="GPI"/>
    <x v="1"/>
  </r>
  <r>
    <x v="93"/>
    <x v="6"/>
    <x v="0"/>
    <s v="APC"/>
    <s v="PMBCS"/>
    <x v="1"/>
    <x v="0"/>
    <x v="48"/>
    <s v="Rua Doutor Muricy, 926 - Centro."/>
    <x v="1"/>
    <x v="2"/>
    <x v="25"/>
    <n v="1"/>
    <d v="2020-03-18T00:00:00"/>
    <s v="Ação Social do Paraná, encaminha a documentação."/>
    <s v="-"/>
    <s v="GPI"/>
    <x v="1"/>
  </r>
  <r>
    <x v="93"/>
    <x v="6"/>
    <x v="0"/>
    <s v="APC"/>
    <s v="PMBCS"/>
    <x v="1"/>
    <x v="0"/>
    <x v="48"/>
    <s v="Rua Doutor Muricy, 926 - Centro."/>
    <x v="1"/>
    <x v="1"/>
    <x v="8"/>
    <n v="1"/>
    <d v="2020-07-16T00:00:00"/>
    <s v="Processo de alteração de titularidade ainda não realizado."/>
    <s v="-"/>
    <s v="GPI"/>
    <x v="1"/>
  </r>
  <r>
    <x v="93"/>
    <x v="6"/>
    <x v="0"/>
    <s v="APC"/>
    <s v="PMBCS"/>
    <x v="1"/>
    <x v="0"/>
    <x v="48"/>
    <s v="Rua Doutor Muricy, 926 - Centro."/>
    <x v="1"/>
    <x v="2"/>
    <x v="25"/>
    <n v="1"/>
    <d v="2020-06-09T00:00:00"/>
    <s v="Tabelionato de notas informou que a procuração encaminhada pela Ação Social, não outorga poderes para o fim da lavratura da escritura. Segundo a pessoa em contato da Ação Social, o representante legal está em viagem retornando somente no mês de Julho."/>
    <s v="-"/>
    <s v="GPI"/>
    <x v="1"/>
  </r>
  <r>
    <x v="93"/>
    <x v="6"/>
    <x v="0"/>
    <s v="APC"/>
    <s v="PMBCS"/>
    <x v="1"/>
    <x v="0"/>
    <x v="48"/>
    <s v="Rua Doutor Muricy, 926 - Centro."/>
    <x v="1"/>
    <x v="2"/>
    <x v="25"/>
    <n v="1"/>
    <d v="2020-07-03T00:00:00"/>
    <s v="Tendo em vista a virada do mês, e-mail encaminhado a Natasha para verificar como seria tomado os próximos passos. Se o contato com a Ação Social do Paraná, seria estabelecido pela Natasha ou por mim. Retorno da Sra. Natasha, informando que a Ação Social do Paraná, não havia retornado. E-mail encaminhado para Ação Social do Paraná. Retorno informaram que foi solicitado a Sra. Natasha, para que verificasse a possibilidade da vice presidente assinar o documento, enviada a solicitação no dia 10.06.2020 sem retorno até a presente data. Entrariam em contato novamente a Sra. Natasha."/>
    <s v="-"/>
    <s v="GPI"/>
    <x v="1"/>
  </r>
  <r>
    <x v="94"/>
    <x v="1"/>
    <x v="0"/>
    <s v="APC"/>
    <s v="PMBCS"/>
    <x v="1"/>
    <x v="0"/>
    <x v="49"/>
    <s v="Rua Imaculada Conceição, 1062 - Prado Velho."/>
    <x v="1"/>
    <x v="1"/>
    <x v="8"/>
    <n v="1"/>
    <d v="2020-07-16T00:00:00"/>
    <s v="Processo de alteração de titularidade ainda não realizado."/>
    <s v="-"/>
    <s v="Jurídico Externo"/>
    <x v="1"/>
  </r>
  <r>
    <x v="95"/>
    <x v="1"/>
    <x v="0"/>
    <s v="ABEC"/>
    <s v="PMBCS"/>
    <x v="1"/>
    <x v="0"/>
    <x v="29"/>
    <s v="Rua Iapó, 956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96"/>
    <x v="1"/>
    <x v="0"/>
    <s v="ABEC"/>
    <s v="PMBCS"/>
    <x v="1"/>
    <x v="0"/>
    <x v="35"/>
    <s v="Rua Iapó"/>
    <x v="2"/>
    <x v="0"/>
    <x v="0"/>
    <n v="0"/>
    <m/>
    <s v="Em 13/12/2019, ocorreu o registro da transferência de propriedade da ABEC para a UCE, perante o Registro de Imóveis. Em 19/02/2020, consultando a certidão imobiliária ocorreu a transferência da titularidade perante a prefeitura da ABEC para a UCE."/>
    <n v="80866"/>
    <s v="Jurídico Interno"/>
    <x v="5"/>
  </r>
  <r>
    <x v="97"/>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Verificar"/>
    <x v="5"/>
  </r>
  <r>
    <x v="98"/>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99"/>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Verificar"/>
    <x v="5"/>
  </r>
  <r>
    <x v="100"/>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Verificar"/>
    <x v="5"/>
  </r>
  <r>
    <x v="101"/>
    <x v="1"/>
    <x v="0"/>
    <s v="ABEC"/>
    <s v="PMBCS"/>
    <x v="1"/>
    <x v="0"/>
    <x v="35"/>
    <s v="Rua Iapó, 1252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102"/>
    <x v="6"/>
    <x v="0"/>
    <s v="ABEC"/>
    <s v="PMBCS"/>
    <x v="1"/>
    <x v="0"/>
    <x v="16"/>
    <s v="Rua Prof. Joaquim de Matos Barreto, nº 98 - São Lourenço."/>
    <x v="1"/>
    <x v="1"/>
    <x v="8"/>
    <n v="1"/>
    <d v="2020-07-16T00:00:00"/>
    <s v="Processo de alteração de titularidade ainda não realizado."/>
    <s v="-"/>
    <s v="Jurídico Externo"/>
    <x v="1"/>
  </r>
  <r>
    <x v="103"/>
    <x v="1"/>
    <x v="0"/>
    <s v="ABEC"/>
    <s v="PMBCS"/>
    <x v="1"/>
    <x v="0"/>
    <x v="32"/>
    <s v="Rua Iapó, 861 - Prado Velho."/>
    <x v="0"/>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103"/>
    <x v="1"/>
    <x v="0"/>
    <s v="ABEC"/>
    <s v="PMBCS"/>
    <x v="1"/>
    <x v="0"/>
    <x v="32"/>
    <s v="Rua Iapó, 861 - Prado Velho."/>
    <x v="1"/>
    <x v="6"/>
    <x v="18"/>
    <n v="1"/>
    <d v="2019-12-15T00:00:00"/>
    <s v="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
    <s v="-"/>
    <s v="Jurídico Externo"/>
    <x v="1"/>
  </r>
  <r>
    <x v="103"/>
    <x v="1"/>
    <x v="0"/>
    <s v="ABEC"/>
    <s v="PMBCS"/>
    <x v="1"/>
    <x v="0"/>
    <x v="32"/>
    <s v="Rua Iapó, 861 - Prado Velho."/>
    <x v="1"/>
    <x v="6"/>
    <x v="18"/>
    <n v="1"/>
    <d v="2020-01-17T00:00:00"/>
    <s v="O processo passou a tramitar na 05ª Vara Cível, todavia aguardamos despacho inicial concedendo pedido liminar para o cancelamento das averbações."/>
    <s v="-"/>
    <s v="Jurídico Externo"/>
    <x v="1"/>
  </r>
  <r>
    <x v="103"/>
    <x v="1"/>
    <x v="0"/>
    <s v="ABEC"/>
    <s v="PMBCS"/>
    <x v="1"/>
    <x v="0"/>
    <x v="32"/>
    <s v="Rua Iapó, 861 - Prado Velho."/>
    <x v="1"/>
    <x v="6"/>
    <x v="18"/>
    <n v="1"/>
    <d v="2020-04-17T00:00:00"/>
    <s v="Foi indeferida a Tutela Antecipada, com o fundamento de que o protesto já está averbado a algum tempo, assim não há periculum in mora ao aguardar a decisão final do processo. Apresentado Embargos de Declaração do Indeferimento da Tutela Antecipada."/>
    <s v="-"/>
    <s v="Jurídico Externo"/>
    <x v="1"/>
  </r>
  <r>
    <x v="103"/>
    <x v="1"/>
    <x v="0"/>
    <s v="ABEC"/>
    <s v="PMBCS"/>
    <x v="1"/>
    <x v="0"/>
    <x v="32"/>
    <s v="Rua Iapó, 861 - Prado Velho."/>
    <x v="1"/>
    <x v="6"/>
    <x v="18"/>
    <n v="1"/>
    <d v="2020-05-11T00:00:00"/>
    <s v="Apresentado embargos de declaração do indeferimento da tutela antecipada. Juntado o comprovante de custas de citação e aguardando expedição de citação."/>
    <s v="-"/>
    <s v="Jurídico Externo"/>
    <x v="1"/>
  </r>
  <r>
    <x v="103"/>
    <x v="1"/>
    <x v="0"/>
    <s v="ABEC"/>
    <s v="PMBCS"/>
    <x v="1"/>
    <x v="0"/>
    <x v="32"/>
    <s v="Rua Iapó, 861 - Prado Velho."/>
    <x v="1"/>
    <x v="6"/>
    <x v="18"/>
    <n v="1"/>
    <d v="2020-02-17T00:00:00"/>
    <s v="O juiz, determinou a apresentação de emenda constando o valor do imóvel em discussão, com o devido recolhimento de custas iniciais complementar."/>
    <s v="-"/>
    <s v="Jurídico Externo"/>
    <x v="1"/>
  </r>
  <r>
    <x v="103"/>
    <x v="1"/>
    <x v="0"/>
    <s v="ABEC"/>
    <s v="PMBCS"/>
    <x v="1"/>
    <x v="0"/>
    <x v="32"/>
    <s v="Rua Iapó, 861 - Prado Velho."/>
    <x v="1"/>
    <x v="6"/>
    <x v="18"/>
    <n v="1"/>
    <d v="2020-03-17T00:00:00"/>
    <s v="Aguardando a decisão preliminar concedendo a liminar."/>
    <s v="-"/>
    <s v="Jurídico Externo"/>
    <x v="1"/>
  </r>
  <r>
    <x v="103"/>
    <x v="1"/>
    <x v="0"/>
    <s v="ABEC"/>
    <s v="PMBCS"/>
    <x v="1"/>
    <x v="0"/>
    <x v="32"/>
    <s v="Rua Iapó, 861 - Prado Velho."/>
    <x v="1"/>
    <x v="6"/>
    <x v="18"/>
    <n v="1"/>
    <d v="2020-06-16T00:00:00"/>
    <s v="Permanecendo no aguardo da decisão dos embargos e citação do requerido."/>
    <s v="-"/>
    <s v="Jurídico Externo"/>
    <x v="1"/>
  </r>
  <r>
    <x v="103"/>
    <x v="1"/>
    <x v="0"/>
    <s v="ABEC"/>
    <s v="PMBCS"/>
    <x v="1"/>
    <x v="0"/>
    <x v="32"/>
    <s v="Rua Iapó, 861 - Prado Velho."/>
    <x v="1"/>
    <x v="6"/>
    <x v="18"/>
    <n v="1"/>
    <d v="2020-07-15T00:00:00"/>
    <s v="Permanecendo no aguardo da decisão dos embargos e citação do requerido."/>
    <s v="-"/>
    <s v="Jurídico Externo"/>
    <x v="1"/>
  </r>
  <r>
    <x v="104"/>
    <x v="1"/>
    <x v="0"/>
    <s v="ABEC"/>
    <s v="PMBCS"/>
    <x v="1"/>
    <x v="0"/>
    <x v="32"/>
    <s v="Rua Iapó, 861 - Prado Velho."/>
    <x v="1"/>
    <x v="6"/>
    <x v="18"/>
    <n v="1"/>
    <d v="2019-12-15T00:00:00"/>
    <s v="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
    <n v="80866"/>
    <s v="Jurídico Externo"/>
    <x v="1"/>
  </r>
  <r>
    <x v="104"/>
    <x v="1"/>
    <x v="0"/>
    <s v="ABEC"/>
    <s v="PMBCS"/>
    <x v="1"/>
    <x v="0"/>
    <x v="32"/>
    <s v="Rua Iapó, 861 - Prado Velho."/>
    <x v="0"/>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104"/>
    <x v="1"/>
    <x v="0"/>
    <s v="ABEC"/>
    <s v="PMBCS"/>
    <x v="1"/>
    <x v="0"/>
    <x v="32"/>
    <s v="Rua Iapó, 861 - Prado Velho."/>
    <x v="1"/>
    <x v="2"/>
    <x v="26"/>
    <n v="1"/>
    <m/>
    <s v="-"/>
    <s v="-"/>
    <s v="Jurídico Interno"/>
    <x v="1"/>
  </r>
  <r>
    <x v="104"/>
    <x v="1"/>
    <x v="0"/>
    <s v="ABEC"/>
    <s v="PMBCS"/>
    <x v="1"/>
    <x v="0"/>
    <x v="32"/>
    <s v="Rua Iapó, 861 - Prado Velho."/>
    <x v="1"/>
    <x v="2"/>
    <x v="26"/>
    <n v="1"/>
    <d v="2020-01-17T00:00:00"/>
    <s v="O processo passou a tramitar na 05ª Vara Cível, todavia aguardamos despacho inicial concedendo pedido liminar para o cancelamento das averbações."/>
    <s v="-"/>
    <s v="Jurídico Interno"/>
    <x v="1"/>
  </r>
  <r>
    <x v="104"/>
    <x v="1"/>
    <x v="0"/>
    <s v="ABEC"/>
    <s v="PMBCS"/>
    <x v="1"/>
    <x v="0"/>
    <x v="32"/>
    <s v="Rua Iapó, 861 - Prado Velho."/>
    <x v="1"/>
    <x v="6"/>
    <x v="18"/>
    <n v="1"/>
    <d v="2020-04-17T00:00:00"/>
    <s v="Foi indeferida a Tutela Antecipada, com o fundamento de que o protesto já está averbado a algum tempo, assim não há periculum in mora ao aguardar a decisão final do processo. Apresentado Embargos de Declaração do Indeferimento da Tutela Antecipada."/>
    <s v="-"/>
    <s v="Jurídico Externo"/>
    <x v="1"/>
  </r>
  <r>
    <x v="104"/>
    <x v="1"/>
    <x v="0"/>
    <s v="ABEC"/>
    <s v="PMBCS"/>
    <x v="1"/>
    <x v="0"/>
    <x v="32"/>
    <s v="Rua Iapó, 861 - Prado Velho."/>
    <x v="1"/>
    <x v="6"/>
    <x v="18"/>
    <n v="1"/>
    <d v="2020-05-11T00:00:00"/>
    <s v="Apresentado embargos de declaração do indeferimento da tutela antecipada. Juntado o comprovante de custas de citação e aguardando expedição de citação."/>
    <s v="-"/>
    <s v="Jurídico Externo"/>
    <x v="1"/>
  </r>
  <r>
    <x v="104"/>
    <x v="1"/>
    <x v="0"/>
    <s v="ABEC"/>
    <s v="PMBCS"/>
    <x v="1"/>
    <x v="0"/>
    <x v="32"/>
    <s v="Rua Iapó, 861 - Prado Velho."/>
    <x v="1"/>
    <x v="6"/>
    <x v="18"/>
    <n v="1"/>
    <d v="2020-02-17T00:00:00"/>
    <s v="O juiz, determinou a apresentação de emenda constando o valor do imóvel em discussão, com o devido recolhimento de custas iniciais complementar."/>
    <s v="-"/>
    <s v="Jurídico Externo"/>
    <x v="1"/>
  </r>
  <r>
    <x v="104"/>
    <x v="1"/>
    <x v="0"/>
    <s v="ABEC"/>
    <s v="PMBCS"/>
    <x v="1"/>
    <x v="0"/>
    <x v="32"/>
    <s v="Rua Iapó, 861 - Prado Velho."/>
    <x v="1"/>
    <x v="6"/>
    <x v="18"/>
    <n v="1"/>
    <d v="2020-03-17T00:00:00"/>
    <s v="Aguardando a decisão preliminar concedendo a liminar."/>
    <s v="-"/>
    <s v="Jurídico Externo"/>
    <x v="1"/>
  </r>
  <r>
    <x v="104"/>
    <x v="1"/>
    <x v="0"/>
    <s v="ABEC"/>
    <s v="PMBCS"/>
    <x v="1"/>
    <x v="0"/>
    <x v="32"/>
    <s v="Rua Iapó, 861 - Prado Velho."/>
    <x v="1"/>
    <x v="6"/>
    <x v="18"/>
    <n v="1"/>
    <d v="2020-06-16T00:00:00"/>
    <s v="Permanecendo no aguardo da decisão dos embargos e citação do requerido."/>
    <s v="-"/>
    <s v="Jurídico Externo"/>
    <x v="1"/>
  </r>
  <r>
    <x v="104"/>
    <x v="1"/>
    <x v="0"/>
    <s v="ABEC"/>
    <s v="PMBCS"/>
    <x v="1"/>
    <x v="0"/>
    <x v="32"/>
    <s v="Rua Iapó, 861 - Prado Velho."/>
    <x v="1"/>
    <x v="6"/>
    <x v="18"/>
    <n v="1"/>
    <d v="2020-07-15T00:00:00"/>
    <s v="Permanecendo no aguardo da decisão dos embargos e citação do requerido."/>
    <s v="-"/>
    <s v="Jurídico Externo"/>
    <x v="1"/>
  </r>
  <r>
    <x v="105"/>
    <x v="1"/>
    <x v="0"/>
    <s v="ABEC"/>
    <s v="PMBCS"/>
    <x v="1"/>
    <x v="0"/>
    <x v="32"/>
    <s v="Rua Iapó, 861 - Prado Velho."/>
    <x v="1"/>
    <x v="6"/>
    <x v="18"/>
    <n v="1"/>
    <d v="2019-12-15T00:00:00"/>
    <s v="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
    <n v="80866"/>
    <s v="Jurídico Externo"/>
    <x v="1"/>
  </r>
  <r>
    <x v="105"/>
    <x v="1"/>
    <x v="0"/>
    <s v="ABEC"/>
    <s v="PMBCS"/>
    <x v="1"/>
    <x v="0"/>
    <x v="32"/>
    <s v="Rua Iapó, 861 - Prado Velho."/>
    <x v="0"/>
    <x v="0"/>
    <x v="0"/>
    <n v="0"/>
    <m/>
    <m/>
    <s v="-"/>
    <s v="Jurídico Externo"/>
    <x v="12"/>
  </r>
  <r>
    <x v="105"/>
    <x v="1"/>
    <x v="0"/>
    <s v="ABEC"/>
    <s v="PMBCS"/>
    <x v="1"/>
    <x v="0"/>
    <x v="32"/>
    <s v="Rua Iapó, 861 - Prado Velho."/>
    <x v="1"/>
    <x v="6"/>
    <x v="18"/>
    <n v="1"/>
    <d v="2020-01-17T00:00:00"/>
    <s v="O processo passou a tramitar na 05ª Vara Cível, todavia aguardamos despacho inicial concedendo pedido liminar para o cancelamento das averbações."/>
    <s v="-"/>
    <s v="Jurídico Externo"/>
    <x v="1"/>
  </r>
  <r>
    <x v="105"/>
    <x v="1"/>
    <x v="0"/>
    <s v="ABEC"/>
    <s v="PMBCS"/>
    <x v="1"/>
    <x v="0"/>
    <x v="32"/>
    <s v="Rua Iapó, 861 - Prado Velho."/>
    <x v="1"/>
    <x v="6"/>
    <x v="18"/>
    <n v="1"/>
    <d v="2020-04-17T00:00:00"/>
    <s v="Foi indeferida a Tutela Antecipada, com o fundamento de que o protesto já está averbado a algum tempo, assim não há periculum in mora ao aguardar a decisão final do processo. Apresentado Embargos de Declaração do Indeferimento da Tutela Antecipada."/>
    <s v="-"/>
    <s v="Jurídico Externo"/>
    <x v="1"/>
  </r>
  <r>
    <x v="105"/>
    <x v="1"/>
    <x v="0"/>
    <s v="ABEC"/>
    <s v="PMBCS"/>
    <x v="1"/>
    <x v="0"/>
    <x v="32"/>
    <s v="Rua Iapó, 861 - Prado Velho."/>
    <x v="1"/>
    <x v="6"/>
    <x v="18"/>
    <n v="1"/>
    <d v="2020-05-11T00:00:00"/>
    <s v="Apresentado embargos de declaração do indeferimento da tutela antecipada. Juntado o comprovante de custas de citação e aguardando expedição de citação."/>
    <s v="-"/>
    <s v="Jurídico Externo"/>
    <x v="1"/>
  </r>
  <r>
    <x v="105"/>
    <x v="1"/>
    <x v="0"/>
    <s v="ABEC"/>
    <s v="PMBCS"/>
    <x v="1"/>
    <x v="0"/>
    <x v="32"/>
    <s v="Rua Iapó, 861 - Prado Velho."/>
    <x v="1"/>
    <x v="6"/>
    <x v="18"/>
    <n v="1"/>
    <d v="2020-02-17T00:00:00"/>
    <s v="O juiz, determinou a apresentação de emenda constando o valor do imóvel em discussão, com o devido recolhimento de custas iniciais complementar."/>
    <s v="-"/>
    <s v="Jurídico Externo"/>
    <x v="1"/>
  </r>
  <r>
    <x v="105"/>
    <x v="1"/>
    <x v="0"/>
    <s v="ABEC"/>
    <s v="PMBCS"/>
    <x v="1"/>
    <x v="0"/>
    <x v="32"/>
    <s v="Rua Iapó, 861 - Prado Velho."/>
    <x v="1"/>
    <x v="6"/>
    <x v="18"/>
    <n v="1"/>
    <d v="2020-03-17T00:00:00"/>
    <s v="Aguardando a decisão preliminar concedendo a liminar."/>
    <s v="-"/>
    <s v="Jurídico Externo"/>
    <x v="1"/>
  </r>
  <r>
    <x v="105"/>
    <x v="1"/>
    <x v="0"/>
    <s v="ABEC"/>
    <s v="PMBCS"/>
    <x v="1"/>
    <x v="0"/>
    <x v="32"/>
    <s v="Rua Iapó, 861 - Prado Velho."/>
    <x v="1"/>
    <x v="6"/>
    <x v="18"/>
    <n v="1"/>
    <d v="2020-06-16T00:00:00"/>
    <s v="Permanecendo no aguardo da decisão dos embargos e citação do requerido."/>
    <s v="-"/>
    <s v="Jurídico Externo"/>
    <x v="1"/>
  </r>
  <r>
    <x v="105"/>
    <x v="1"/>
    <x v="0"/>
    <s v="ABEC"/>
    <s v="PMBCS"/>
    <x v="1"/>
    <x v="0"/>
    <x v="32"/>
    <s v="Rua Iapó, 861 - Prado Velho."/>
    <x v="1"/>
    <x v="6"/>
    <x v="18"/>
    <n v="1"/>
    <d v="2020-07-15T00:00:00"/>
    <s v="Permanecendo no aguardo da decisão dos embargos e citação do requerido."/>
    <s v="-"/>
    <s v="Jurídico Externo"/>
    <x v="1"/>
  </r>
  <r>
    <x v="106"/>
    <x v="1"/>
    <x v="0"/>
    <s v="ABEC"/>
    <s v="PMBCS"/>
    <x v="1"/>
    <x v="0"/>
    <x v="32"/>
    <s v="Rua Iapó, 861 - Prado Velho."/>
    <x v="0"/>
    <x v="0"/>
    <x v="0"/>
    <n v="0"/>
    <m/>
    <s v="Em 13/12/2019, ocorreu o registro da transferência de propriedade da ABEC para a UCE, perante o Registro de Imóveis. Em 19/02/2020, consultando a certidão imobiliária ocorreu a transferência da titularidade perante a prefeitura da ABEC para a UCE."/>
    <s v="-"/>
    <s v="Jurídico Externo"/>
    <x v="5"/>
  </r>
  <r>
    <x v="106"/>
    <x v="1"/>
    <x v="0"/>
    <s v="ABEC"/>
    <s v="PMBCS"/>
    <x v="1"/>
    <x v="0"/>
    <x v="32"/>
    <s v="Rua Iapó, 861 - Prado Velho."/>
    <x v="1"/>
    <x v="6"/>
    <x v="18"/>
    <n v="1"/>
    <d v="2019-12-15T00:00:00"/>
    <s v="Juntada de petição inicial. Posteriormente foi declarada a incompetência material deste juízo para a apreciação e julgamento da causa e, por conseguinte, determinada a redistribuição dos autos a uma das Varas Cíveis do Foro Central da Comarca da Região Metropolitana de Curitiba. Ocorreu diligência para que a parte autora emende petição inicial no prazo de 15 dias."/>
    <s v="-"/>
    <s v="Jurídico Externo"/>
    <x v="1"/>
  </r>
  <r>
    <x v="106"/>
    <x v="1"/>
    <x v="0"/>
    <s v="ABEC"/>
    <s v="PMBCS"/>
    <x v="1"/>
    <x v="0"/>
    <x v="32"/>
    <s v="Rua Iapó, 861 - Prado Velho."/>
    <x v="1"/>
    <x v="6"/>
    <x v="18"/>
    <n v="1"/>
    <d v="2020-01-17T00:00:00"/>
    <s v="O processo passou a tramitar na 05ª Vara Cível, todavia aguardamos despacho inicial concedendo pedido liminar para o cancelamento das averbações."/>
    <s v="-"/>
    <s v="Jurídico Externo"/>
    <x v="1"/>
  </r>
  <r>
    <x v="106"/>
    <x v="1"/>
    <x v="0"/>
    <s v="ABEC"/>
    <s v="PMBCS"/>
    <x v="1"/>
    <x v="0"/>
    <x v="32"/>
    <s v="Rua Iapó, 861 - Prado Velho."/>
    <x v="1"/>
    <x v="6"/>
    <x v="18"/>
    <n v="1"/>
    <d v="2020-04-17T00:00:00"/>
    <s v="Foi indeferida a Tutela Antecipada, com o fundamento de que o protesto já está averbado a algum tempo, assim não há periculum in mora ao aguardar a decisão final do processo. Apresentado Embargos de Declaração do Indeferimento da Tutela Antecipada."/>
    <s v="-"/>
    <s v="Jurídico Externo"/>
    <x v="1"/>
  </r>
  <r>
    <x v="106"/>
    <x v="1"/>
    <x v="0"/>
    <s v="ABEC"/>
    <s v="PMBCS"/>
    <x v="1"/>
    <x v="0"/>
    <x v="32"/>
    <s v="Rua Iapó, 861 - Prado Velho."/>
    <x v="1"/>
    <x v="6"/>
    <x v="18"/>
    <n v="1"/>
    <d v="2020-05-11T00:00:00"/>
    <s v="Apresentado embargos de declaração do indeferimento da tutela antecipada. Juntado o comprovante de custas de citação e aguardando expedição de citação."/>
    <s v="-"/>
    <s v="Jurídico Externo"/>
    <x v="1"/>
  </r>
  <r>
    <x v="106"/>
    <x v="1"/>
    <x v="0"/>
    <s v="ABEC"/>
    <s v="PMBCS"/>
    <x v="1"/>
    <x v="0"/>
    <x v="32"/>
    <s v="Rua Iapó, 861 - Prado Velho."/>
    <x v="1"/>
    <x v="6"/>
    <x v="18"/>
    <n v="1"/>
    <d v="2020-02-17T00:00:00"/>
    <s v="O juiz, determinou a apresentação de emenda constando o valor do imóvel em discussão, com o devido recolhimento de custas iniciais complementar."/>
    <s v="-"/>
    <s v="Jurídico Externo"/>
    <x v="1"/>
  </r>
  <r>
    <x v="106"/>
    <x v="1"/>
    <x v="0"/>
    <s v="ABEC"/>
    <s v="PMBCS"/>
    <x v="1"/>
    <x v="0"/>
    <x v="32"/>
    <s v="Rua Iapó, 861 - Prado Velho."/>
    <x v="1"/>
    <x v="6"/>
    <x v="18"/>
    <n v="1"/>
    <d v="2020-03-17T00:00:00"/>
    <s v="Aguardando a decisão preliminar concedendo a liminar."/>
    <s v="-"/>
    <s v="Jurídico Externo"/>
    <x v="1"/>
  </r>
  <r>
    <x v="106"/>
    <x v="1"/>
    <x v="0"/>
    <s v="ABEC"/>
    <s v="PMBCS"/>
    <x v="1"/>
    <x v="0"/>
    <x v="32"/>
    <s v="Rua Iapó, 861 - Prado Velho."/>
    <x v="1"/>
    <x v="6"/>
    <x v="18"/>
    <n v="1"/>
    <d v="2020-06-16T00:00:00"/>
    <s v="Permanecendo no aguardo da decisão dos embargos e citação do requerido."/>
    <s v="-"/>
    <s v="Jurídico Externo"/>
    <x v="1"/>
  </r>
  <r>
    <x v="106"/>
    <x v="1"/>
    <x v="0"/>
    <s v="ABEC"/>
    <s v="PMBCS"/>
    <x v="1"/>
    <x v="0"/>
    <x v="32"/>
    <s v="Rua Iapó, 861 - Prado Velho."/>
    <x v="1"/>
    <x v="6"/>
    <x v="18"/>
    <n v="1"/>
    <d v="2020-07-15T00:00:00"/>
    <s v="Permanecendo no aguardo da decisão dos embargos e citação do requerido."/>
    <s v="-"/>
    <s v="Jurídico Externo"/>
    <x v="1"/>
  </r>
  <r>
    <x v="107"/>
    <x v="1"/>
    <x v="0"/>
    <s v="ABEC"/>
    <s v="PMBCS"/>
    <x v="1"/>
    <x v="0"/>
    <x v="32"/>
    <s v="Rua Iapó, 861 - Prado Velho."/>
    <x v="2"/>
    <x v="0"/>
    <x v="0"/>
    <n v="0"/>
    <m/>
    <s v="Em 13/12/2019, ocorreu o registro da transferência de propriedade da ABEC para a UCE, perante o Registro de Imóveis. Em 19/02/2020, consultando a certidão imobiliária ocorreu a transferência da titularidade perante a prefeitura da ABEC para a UCE."/>
    <s v="-"/>
    <s v="Verificar"/>
    <x v="5"/>
  </r>
  <r>
    <x v="108"/>
    <x v="6"/>
    <x v="0"/>
    <s v="ABEC"/>
    <s v="PMBCS"/>
    <x v="1"/>
    <x v="0"/>
    <x v="16"/>
    <s v="Rua Prof. Joaquim de Matos Barreto, nº 98 - São Lourenço."/>
    <x v="1"/>
    <x v="1"/>
    <x v="8"/>
    <n v="1"/>
    <d v="2020-07-16T00:00:00"/>
    <s v="Processo de alteração de titularidade ainda não realizado."/>
    <s v="-"/>
    <s v="Jurídico Externo"/>
    <x v="1"/>
  </r>
  <r>
    <x v="108"/>
    <x v="6"/>
    <x v="0"/>
    <s v="ABEC"/>
    <s v="PMBCS"/>
    <x v="1"/>
    <x v="0"/>
    <x v="16"/>
    <s v="Rua Prof. Joaquim de Matos Barreto, nº 98 - São Lourenço."/>
    <x v="1"/>
    <x v="1"/>
    <x v="8"/>
    <n v="1"/>
    <m/>
    <s v="Protocolado junto ao Municipio interesse de permuta, oferecendo o imóvel referente a matrícula de n.º 15.171. Aguradando manfestação do município."/>
    <s v="-"/>
    <s v="Jurídico Externo"/>
    <x v="1"/>
  </r>
  <r>
    <x v="108"/>
    <x v="6"/>
    <x v="0"/>
    <s v="ABEC"/>
    <s v="PMBCS"/>
    <x v="1"/>
    <x v="0"/>
    <x v="16"/>
    <s v="Rua Prof. Joaquim de Matos Barreto, nº 98 - São Lourenço."/>
    <x v="1"/>
    <x v="2"/>
    <x v="22"/>
    <n v="1"/>
    <m/>
    <s v="-"/>
    <s v="-"/>
    <s v="Jurídico Externo"/>
    <x v="1"/>
  </r>
  <r>
    <x v="109"/>
    <x v="6"/>
    <x v="0"/>
    <s v="ABEC"/>
    <s v="PMBCS"/>
    <x v="1"/>
    <x v="0"/>
    <x v="50"/>
    <s v="Rua Nilo Peçanha, nº 3.640 / 3.660 - Pilarzinho / São Lourenço."/>
    <x v="1"/>
    <x v="3"/>
    <x v="9"/>
    <n v="1"/>
    <d v="2019-09-17T00:00:00"/>
    <s v="Cumprindo exigência do R.I."/>
    <s v="-"/>
    <s v="Jurídico Externo"/>
    <x v="1"/>
  </r>
  <r>
    <x v="109"/>
    <x v="6"/>
    <x v="0"/>
    <s v="ABEC"/>
    <s v="PMBCS"/>
    <x v="1"/>
    <x v="0"/>
    <x v="50"/>
    <s v="Rua Nilo Peçanha, nº 3.640 / 3.660 - Pilarzinho / São Lourenço."/>
    <x v="1"/>
    <x v="3"/>
    <x v="9"/>
    <n v="1"/>
    <d v="2019-12-15T00:00:00"/>
    <s v="Tendo em vista a oferta do imóvel para permuta com o imóvel da prefeitura, limítrofe ao colégio Santa Maria, a retificação deste lote ficou temporariamente suspensa."/>
    <s v="-"/>
    <s v="Jurídico Externo"/>
    <x v="1"/>
  </r>
  <r>
    <x v="109"/>
    <x v="6"/>
    <x v="0"/>
    <s v="ABEC"/>
    <s v="PMBCS"/>
    <x v="1"/>
    <x v="0"/>
    <x v="50"/>
    <s v="Rua Nilo Peçanha, nº 3.640 / 3.660 - Pilarzinho / São Lourenço."/>
    <x v="1"/>
    <x v="3"/>
    <x v="9"/>
    <n v="1"/>
    <d v="2020-01-17T00:00:00"/>
    <s v="Regularização suspensa temporariamente, tendo em vista a oferta do imóvel em permuta ao do município estar em andamento."/>
    <s v="-"/>
    <s v="Jurídico Externo"/>
    <x v="1"/>
  </r>
  <r>
    <x v="109"/>
    <x v="6"/>
    <x v="0"/>
    <s v="ABEC"/>
    <s v="PMBCS"/>
    <x v="1"/>
    <x v="0"/>
    <x v="50"/>
    <s v="Rua Nilo Peçanha, nº 3.640 / 3.660 - Pilarzinho / São Lourenço."/>
    <x v="1"/>
    <x v="3"/>
    <x v="9"/>
    <n v="1"/>
    <d v="2020-02-18T00:00:00"/>
    <s v="Alinhamento para retomada da regularização. Todavia o responsável técnico encontra-se hospitalizado."/>
    <s v="-"/>
    <s v="Jurídico Externo"/>
    <x v="1"/>
  </r>
  <r>
    <x v="109"/>
    <x v="6"/>
    <x v="0"/>
    <s v="ABEC"/>
    <s v="PMBCS"/>
    <x v="1"/>
    <x v="0"/>
    <x v="50"/>
    <s v="Rua Nilo Peçanha, nº 3.640 / 3.660 - Pilarzinho / São Lourenço."/>
    <x v="1"/>
    <x v="1"/>
    <x v="8"/>
    <n v="1"/>
    <d v="2020-07-16T00:00:00"/>
    <s v="Processo de alteração de titularidade ainda não realizado."/>
    <s v="-"/>
    <s v="Jurídico Externo"/>
    <x v="1"/>
  </r>
  <r>
    <x v="109"/>
    <x v="6"/>
    <x v="0"/>
    <s v="ABEC"/>
    <s v="PMBCS"/>
    <x v="1"/>
    <x v="0"/>
    <x v="50"/>
    <s v="Rua Nilo Peçanha, nº 3.640 / 3.660 - Pilarzinho / São Lourenço."/>
    <x v="1"/>
    <x v="1"/>
    <x v="8"/>
    <n v="1"/>
    <d v="2020-03-16T00:00:00"/>
    <s v="Projetos elaborados, coletada a assinatura do representante legal da ABEC e encaminhado para o escritório Gobbo e Guimarães protocolizar na prefeitura."/>
    <s v="-"/>
    <s v="Jurídico Externo"/>
    <x v="1"/>
  </r>
  <r>
    <x v="109"/>
    <x v="6"/>
    <x v="0"/>
    <s v="ABEC"/>
    <s v="PMBCS"/>
    <x v="1"/>
    <x v="0"/>
    <x v="50"/>
    <s v="Rua Nilo Peçanha, nº 3.640 / 3.660 - Pilarzinho / São Lourenço."/>
    <x v="1"/>
    <x v="3"/>
    <x v="9"/>
    <n v="1"/>
    <d v="2020-05-11T00:00:00"/>
    <s v="Aguardando conferência pelo RI. "/>
    <s v="-"/>
    <s v="Jurídico Externo"/>
    <x v="1"/>
  </r>
  <r>
    <x v="109"/>
    <x v="6"/>
    <x v="0"/>
    <s v="ABEC"/>
    <s v="PMBCS"/>
    <x v="1"/>
    <x v="0"/>
    <x v="50"/>
    <s v="Rua Nilo Peçanha, nº 3.640 / 3.660 - Pilarzinho / São Lourenço."/>
    <x v="1"/>
    <x v="3"/>
    <x v="9"/>
    <n v="1"/>
    <d v="2020-06-16T00:00:00"/>
    <s v="Aguardando ART do engenheiro Luciano atualizada com a metragem corrigida. ART solicitada ao Rubens. Rubens informou que a ART está à disposição para retirada."/>
    <s v="-"/>
    <s v="Jurídico Externo"/>
    <x v="1"/>
  </r>
  <r>
    <x v="109"/>
    <x v="6"/>
    <x v="0"/>
    <s v="ABEC"/>
    <s v="PMBCS"/>
    <x v="1"/>
    <x v="0"/>
    <x v="50"/>
    <s v="Rua Nilo Peçanha, nº 3.640 / 3.660 - Pilarzinho / São Lourenço."/>
    <x v="1"/>
    <x v="3"/>
    <x v="9"/>
    <n v="1"/>
    <d v="2020-07-16T00:00:00"/>
    <s v="Documento protocolado no RI, aguardando conferência."/>
    <s v="-"/>
    <s v="Jurídico Externo"/>
    <x v="1"/>
  </r>
  <r>
    <x v="110"/>
    <x v="1"/>
    <x v="0"/>
    <s v="ABEC"/>
    <s v="PMBCS"/>
    <x v="1"/>
    <x v="0"/>
    <x v="29"/>
    <s v="Rua Iapó, 956 - Prado Velho."/>
    <x v="2"/>
    <x v="0"/>
    <x v="0"/>
    <n v="0"/>
    <m/>
    <s v="Em 13/12/2019, ocorreu o registro da transferência de propriedade da ABEC para a UCE, perante o Registro de Imóveis. Em 18/06/2020, consultando a certidão imobiliária ocorreu a transferência da titularidade perante a prefeitura da ABEC para a UCE."/>
    <s v="-"/>
    <s v="Jurídico Externo"/>
    <x v="13"/>
  </r>
  <r>
    <x v="111"/>
    <x v="4"/>
    <x v="0"/>
    <s v="ABEC"/>
    <s v="PMBCS"/>
    <x v="4"/>
    <x v="2"/>
    <x v="51"/>
    <s v="SGAS 609 - Conjunto A - Asa Sul - Módulos 62/63 30.000m2 - Cidade Nova."/>
    <x v="1"/>
    <x v="1"/>
    <x v="8"/>
    <n v="1"/>
    <d v="2020-07-16T00:00:00"/>
    <s v="Processo de alteração de titularidade ainda não realizado."/>
    <s v="-"/>
    <s v="Jurídico Externo"/>
    <x v="1"/>
  </r>
  <r>
    <x v="112"/>
    <x v="31"/>
    <x v="0"/>
    <s v="UCE"/>
    <s v="GM"/>
    <x v="28"/>
    <x v="6"/>
    <x v="52"/>
    <s v="Rua Rio Jamari"/>
    <x v="1"/>
    <x v="2"/>
    <x v="27"/>
    <n v="1"/>
    <m/>
    <s v="-"/>
    <s v="-"/>
    <s v="GPI"/>
    <x v="1"/>
  </r>
  <r>
    <x v="113"/>
    <x v="31"/>
    <x v="0"/>
    <s v="UCE"/>
    <s v="GM"/>
    <x v="28"/>
    <x v="6"/>
    <x v="53"/>
    <s v="Rua Rio Jamari"/>
    <x v="1"/>
    <x v="2"/>
    <x v="27"/>
    <n v="1"/>
    <m/>
    <s v="-"/>
    <s v="-"/>
    <s v="GPI"/>
    <x v="1"/>
  </r>
  <r>
    <x v="114"/>
    <x v="31"/>
    <x v="0"/>
    <s v="UCE"/>
    <s v="GM"/>
    <x v="28"/>
    <x v="6"/>
    <x v="54"/>
    <s v="Rua Rio Jamari"/>
    <x v="1"/>
    <x v="2"/>
    <x v="27"/>
    <n v="1"/>
    <m/>
    <s v="-"/>
    <s v="-"/>
    <s v="GPI"/>
    <x v="1"/>
  </r>
  <r>
    <x v="115"/>
    <x v="31"/>
    <x v="0"/>
    <s v="UCE"/>
    <s v="GM"/>
    <x v="28"/>
    <x v="6"/>
    <x v="55"/>
    <s v="Rua Rio Jamari"/>
    <x v="1"/>
    <x v="2"/>
    <x v="27"/>
    <n v="1"/>
    <m/>
    <s v="-"/>
    <s v="-"/>
    <s v="GPI"/>
    <x v="1"/>
  </r>
  <r>
    <x v="116"/>
    <x v="31"/>
    <x v="0"/>
    <s v="UCE"/>
    <s v="GM"/>
    <x v="28"/>
    <x v="6"/>
    <x v="56"/>
    <s v="Rua Rio Jamari"/>
    <x v="1"/>
    <x v="2"/>
    <x v="27"/>
    <n v="1"/>
    <m/>
    <s v="-"/>
    <s v="-"/>
    <s v="GPI"/>
    <x v="1"/>
  </r>
  <r>
    <x v="117"/>
    <x v="31"/>
    <x v="0"/>
    <s v="UCE"/>
    <s v="GM"/>
    <x v="28"/>
    <x v="6"/>
    <x v="57"/>
    <s v="Rua Rio Jamari"/>
    <x v="1"/>
    <x v="2"/>
    <x v="27"/>
    <n v="1"/>
    <m/>
    <s v="-"/>
    <s v="-"/>
    <s v="GPI"/>
    <x v="1"/>
  </r>
  <r>
    <x v="118"/>
    <x v="31"/>
    <x v="0"/>
    <s v="UCE"/>
    <s v="GM"/>
    <x v="28"/>
    <x v="6"/>
    <x v="58"/>
    <s v="Rua Rio Aripoanã"/>
    <x v="1"/>
    <x v="2"/>
    <x v="27"/>
    <n v="1"/>
    <m/>
    <s v="-"/>
    <s v="-"/>
    <s v="GPI"/>
    <x v="1"/>
  </r>
  <r>
    <x v="119"/>
    <x v="31"/>
    <x v="0"/>
    <s v="UCE"/>
    <s v="GM"/>
    <x v="28"/>
    <x v="6"/>
    <x v="59"/>
    <s v="Rua Rio Aripoanã"/>
    <x v="1"/>
    <x v="2"/>
    <x v="27"/>
    <n v="1"/>
    <m/>
    <s v="-"/>
    <s v="-"/>
    <s v="GPI"/>
    <x v="1"/>
  </r>
  <r>
    <x v="120"/>
    <x v="31"/>
    <x v="0"/>
    <s v="UCE"/>
    <s v="GM"/>
    <x v="28"/>
    <x v="6"/>
    <x v="60"/>
    <s v="Rua Rio Aripoanã"/>
    <x v="1"/>
    <x v="2"/>
    <x v="27"/>
    <n v="1"/>
    <m/>
    <s v="-"/>
    <s v="-"/>
    <s v="GPI"/>
    <x v="1"/>
  </r>
  <r>
    <x v="121"/>
    <x v="31"/>
    <x v="0"/>
    <s v="UCE"/>
    <s v="GM"/>
    <x v="28"/>
    <x v="6"/>
    <x v="61"/>
    <s v="Rua Rio Aripoanã"/>
    <x v="1"/>
    <x v="2"/>
    <x v="27"/>
    <n v="1"/>
    <m/>
    <s v="-"/>
    <s v="-"/>
    <s v="GPI"/>
    <x v="1"/>
  </r>
  <r>
    <x v="122"/>
    <x v="31"/>
    <x v="0"/>
    <s v="UCE"/>
    <s v="GM"/>
    <x v="28"/>
    <x v="6"/>
    <x v="62"/>
    <s v="Rua Rio Aripoanã"/>
    <x v="1"/>
    <x v="2"/>
    <x v="27"/>
    <n v="1"/>
    <m/>
    <s v="-"/>
    <s v="-"/>
    <s v="GPI"/>
    <x v="1"/>
  </r>
  <r>
    <x v="123"/>
    <x v="31"/>
    <x v="0"/>
    <s v="UCE"/>
    <s v="GM"/>
    <x v="28"/>
    <x v="6"/>
    <x v="63"/>
    <s v="Rua Rio Aripoanã"/>
    <x v="1"/>
    <x v="2"/>
    <x v="27"/>
    <n v="1"/>
    <m/>
    <s v="-"/>
    <s v="-"/>
    <s v="GPI"/>
    <x v="1"/>
  </r>
  <r>
    <x v="124"/>
    <x v="1"/>
    <x v="0"/>
    <s v="APC"/>
    <s v="GM"/>
    <x v="1"/>
    <x v="0"/>
    <x v="64"/>
    <s v="Rua Imaculada Conceição, 1155 - Prado Velho."/>
    <x v="2"/>
    <x v="0"/>
    <x v="0"/>
    <n v="0"/>
    <m/>
    <s v="-"/>
    <s v="-"/>
    <s v="Jurídico Externo"/>
    <x v="8"/>
  </r>
  <r>
    <x v="125"/>
    <x v="32"/>
    <x v="0"/>
    <s v="ABEC"/>
    <s v="GM"/>
    <x v="22"/>
    <x v="3"/>
    <x v="37"/>
    <s v="Rua Carlos de Campos, s/n - Caixa Postal 20."/>
    <x v="2"/>
    <x v="0"/>
    <x v="0"/>
    <n v="0"/>
    <m/>
    <s v="-"/>
    <s v="-"/>
    <s v="Verificar"/>
    <x v="1"/>
  </r>
  <r>
    <x v="126"/>
    <x v="3"/>
    <x v="0"/>
    <s v="UCE"/>
    <s v="PMBCS"/>
    <x v="3"/>
    <x v="1"/>
    <x v="3"/>
    <s v="Rua Irmãos Maristas, nº 513 - Centro."/>
    <x v="2"/>
    <x v="0"/>
    <x v="0"/>
    <n v="0"/>
    <m/>
    <s v="-"/>
    <s v="-"/>
    <s v="Verificar"/>
    <x v="1"/>
  </r>
  <r>
    <x v="127"/>
    <x v="33"/>
    <x v="0"/>
    <s v="UCE"/>
    <s v="PMBCS"/>
    <x v="29"/>
    <x v="1"/>
    <x v="65"/>
    <s v="Rua Frei Rogério, nº 596 - Centro."/>
    <x v="1"/>
    <x v="1"/>
    <x v="8"/>
    <n v="1"/>
    <m/>
    <s v="-"/>
    <s v="-"/>
    <s v="Jurídico Externo"/>
    <x v="1"/>
  </r>
  <r>
    <x v="128"/>
    <x v="34"/>
    <x v="0"/>
    <s v="ABEC"/>
    <s v="PMBCS"/>
    <x v="30"/>
    <x v="3"/>
    <x v="66"/>
    <s v="Estrada da Biquinha, ref. Rodovia Presidente Dutra, Km 190,5 - Cachoeirinha."/>
    <x v="1"/>
    <x v="1"/>
    <x v="8"/>
    <n v="1"/>
    <m/>
    <s v="-"/>
    <s v="-"/>
    <s v="Jurídico Externo"/>
    <x v="1"/>
  </r>
  <r>
    <x v="128"/>
    <x v="34"/>
    <x v="0"/>
    <s v="ABEC"/>
    <s v="PMBCS"/>
    <x v="30"/>
    <x v="3"/>
    <x v="66"/>
    <s v="Estrada da Biquinha, ref. Rodovia Presidente Dutra, Km 190,5 - Cachoeirinha."/>
    <x v="1"/>
    <x v="2"/>
    <x v="8"/>
    <n v="1"/>
    <d v="2020-03-13T00:00:00"/>
    <s v="Contato com Dr. Orly, requerendo diligência na Sefaz. Tendo em vista a dúvida quanto ao procedimento a ser adotado sobre a Guia de ITCMD."/>
    <s v="-"/>
    <s v="GPI"/>
    <x v="1"/>
  </r>
  <r>
    <x v="128"/>
    <x v="34"/>
    <x v="0"/>
    <s v="ABEC"/>
    <s v="PMBCS"/>
    <x v="30"/>
    <x v="3"/>
    <x v="66"/>
    <s v="Estrada da Biquinha, ref. Rodovia Presidente Dutra, Km 190,5 - Cachoeirinha."/>
    <x v="1"/>
    <x v="2"/>
    <x v="8"/>
    <n v="1"/>
    <d v="2020-05-11T00:00:00"/>
    <s v="Encaminhar a procuração para o Dr. Orly."/>
    <s v="-"/>
    <s v="GPI"/>
    <x v="1"/>
  </r>
  <r>
    <x v="128"/>
    <x v="34"/>
    <x v="0"/>
    <s v="ABEC"/>
    <s v="PMBCS"/>
    <x v="30"/>
    <x v="3"/>
    <x v="66"/>
    <s v="Estrada da Biquinha, ref. Rodovia Presidente Dutra, Km 190,5 - Cachoeirinha."/>
    <x v="1"/>
    <x v="2"/>
    <x v="8"/>
    <n v="1"/>
    <d v="2020-05-15T00:00:00"/>
    <s v="Tendo em vista a situação de teletrabalho a minuta foi disponibilizada via e-mail para a Fabiana (secretaria) que estava trabalhando no prédio administrativo, para que ela pudesse coletar assinatura do representante legal da ABEC."/>
    <s v="-"/>
    <s v="GPI"/>
    <x v="1"/>
  </r>
  <r>
    <x v="128"/>
    <x v="34"/>
    <x v="0"/>
    <s v="ABEC"/>
    <s v="PMBCS"/>
    <x v="30"/>
    <x v="3"/>
    <x v="66"/>
    <s v="Estrada da Biquinha, ref. Rodovia Presidente Dutra, Km 190,5 - Cachoeirinha."/>
    <x v="1"/>
    <x v="2"/>
    <x v="8"/>
    <n v="1"/>
    <d v="2020-06-10T00:00:00"/>
    <s v="Consulta realizada junto a gestora do patrimônio imobiliário se por ventura a secretaria havia retornado com o documento. Sem retorno."/>
    <s v="-"/>
    <s v="GPI"/>
    <x v="1"/>
  </r>
  <r>
    <x v="128"/>
    <x v="34"/>
    <x v="0"/>
    <s v="ABEC"/>
    <s v="PMBCS"/>
    <x v="30"/>
    <x v="3"/>
    <x v="66"/>
    <s v="Estrada da Biquinha, ref. Rodovia Presidente Dutra, Km 190,5 - Cachoeirinha."/>
    <x v="1"/>
    <x v="2"/>
    <x v="5"/>
    <n v="1"/>
    <d v="2020-06-15T00:00:00"/>
    <s v="O apontamento em relatório da empresa Ecco Ambiental é de que durante o último mês, não ocorreu nenhuma movimentação por parte do órgão no sentido de análise do cadastro."/>
    <s v="-"/>
    <s v="GPI"/>
    <x v="1"/>
  </r>
  <r>
    <x v="128"/>
    <x v="34"/>
    <x v="0"/>
    <s v="ABEC"/>
    <s v="PMBCS"/>
    <x v="30"/>
    <x v="3"/>
    <x v="66"/>
    <s v="Estrada da Biquinha, ref. Rodovia Presidente Dutra, Km 190,5 - Cachoeirinha."/>
    <x v="1"/>
    <x v="2"/>
    <x v="8"/>
    <n v="1"/>
    <d v="2020-07-02T00:00:00"/>
    <s v="Gustavo Loesch, gerente de serviços da PMBCS formaliza/registra a Grasiela Silveira, gerente de patrimônio imobiliário, autorização para pagamento do ITCMD."/>
    <s v="-"/>
    <s v="GPI"/>
    <x v="1"/>
  </r>
  <r>
    <x v="128"/>
    <x v="34"/>
    <x v="0"/>
    <s v="ABEC"/>
    <s v="PMBCS"/>
    <x v="30"/>
    <x v="3"/>
    <x v="66"/>
    <s v="Estrada da Biquinha, ref. Rodovia Presidente Dutra, Km 190,5 - Cachoeirinha."/>
    <x v="1"/>
    <x v="2"/>
    <x v="8"/>
    <n v="1"/>
    <d v="2020-07-06T00:00:00"/>
    <s v="Emitida a guia do ITCMD e encaminhada a Grasiela, em cópia Josiane, Leandro, Manoel e Gustavo. Aguardando comprovante de pagamento, para continuidade no processo."/>
    <s v="-"/>
    <s v="GPI"/>
    <x v="1"/>
  </r>
  <r>
    <x v="128"/>
    <x v="34"/>
    <x v="0"/>
    <s v="ABEC"/>
    <s v="PMBCS"/>
    <x v="30"/>
    <x v="3"/>
    <x v="66"/>
    <s v="Estrada da Biquinha, ref. Rodovia Presidente Dutra, Km 190,5 - Cachoeirinha."/>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128"/>
    <x v="34"/>
    <x v="0"/>
    <s v="ABEC"/>
    <s v="PMBCS"/>
    <x v="30"/>
    <x v="3"/>
    <x v="66"/>
    <s v="Estrada da Biquinha, ref. Rodovia Presidente Dutra, Km 190,5 - Cachoeirinha."/>
    <x v="1"/>
    <x v="2"/>
    <x v="8"/>
    <n v="1"/>
    <d v="2020-07-17T00:00:00"/>
    <s v="Tendo em vista o vencimento da guia encaminhada anteriormente sem o respectivo pagamento, nesta data foi reemitida a guia e encaminhada para pagamento."/>
    <s v="-"/>
    <s v="GPI"/>
    <x v="1"/>
  </r>
  <r>
    <x v="128"/>
    <x v="34"/>
    <x v="0"/>
    <s v="ABEC"/>
    <s v="PMBCS"/>
    <x v="30"/>
    <x v="3"/>
    <x v="66"/>
    <s v="Estrada da Biquinha, ref. Rodovia Presidente Dutra, Km 190,5 - Cachoeirinha."/>
    <x v="1"/>
    <x v="2"/>
    <x v="8"/>
    <n v="1"/>
    <d v="2020-07-24T00:00:00"/>
    <s v="Questionado a Josiane sobre a programação de pagamento."/>
    <s v="-"/>
    <s v="GPI"/>
    <x v="1"/>
  </r>
  <r>
    <x v="129"/>
    <x v="23"/>
    <x v="0"/>
    <s v="ABEC"/>
    <s v="PMBCS"/>
    <x v="21"/>
    <x v="0"/>
    <x v="67"/>
    <s v="Rua Francisco Alves, 377 - Jardim Jóquei Club."/>
    <x v="1"/>
    <x v="1"/>
    <x v="8"/>
    <n v="1"/>
    <m/>
    <s v="-"/>
    <s v="-"/>
    <s v="Jurídico Externo"/>
    <x v="1"/>
  </r>
  <r>
    <x v="130"/>
    <x v="23"/>
    <x v="0"/>
    <s v="ABEC"/>
    <s v="PMBCS"/>
    <x v="21"/>
    <x v="0"/>
    <x v="68"/>
    <s v="Rua Francisco Alves, 377 - Jardim Jóquei Club."/>
    <x v="1"/>
    <x v="1"/>
    <x v="8"/>
    <n v="1"/>
    <m/>
    <s v="-"/>
    <s v="-"/>
    <s v="Jurídico Externo"/>
    <x v="1"/>
  </r>
  <r>
    <x v="131"/>
    <x v="23"/>
    <x v="0"/>
    <s v="ABEC"/>
    <s v="PMBCS"/>
    <x v="21"/>
    <x v="0"/>
    <x v="68"/>
    <s v="Rua Francisco Alves, 377 - Jardim Jóquei Club."/>
    <x v="1"/>
    <x v="1"/>
    <x v="8"/>
    <n v="1"/>
    <m/>
    <s v="-"/>
    <s v="-"/>
    <s v="Jurídico Externo"/>
    <x v="1"/>
  </r>
  <r>
    <x v="132"/>
    <x v="23"/>
    <x v="0"/>
    <s v="ABEC"/>
    <s v="PMBCS"/>
    <x v="21"/>
    <x v="0"/>
    <x v="68"/>
    <s v="Rua Francisco Alves, 377 - Jardim Jóquei Club."/>
    <x v="1"/>
    <x v="1"/>
    <x v="8"/>
    <n v="1"/>
    <m/>
    <s v="-"/>
    <s v="-"/>
    <s v="Jurídico Externo"/>
    <x v="1"/>
  </r>
  <r>
    <x v="133"/>
    <x v="23"/>
    <x v="0"/>
    <s v="ABEC"/>
    <s v="PMBCS"/>
    <x v="21"/>
    <x v="0"/>
    <x v="68"/>
    <s v="Rua Francisco Alves, 377 - Jardim Jóquei Club."/>
    <x v="1"/>
    <x v="1"/>
    <x v="8"/>
    <n v="1"/>
    <m/>
    <s v="-"/>
    <s v="-"/>
    <s v="Jurídico Externo"/>
    <x v="1"/>
  </r>
  <r>
    <x v="134"/>
    <x v="23"/>
    <x v="0"/>
    <s v="ABEC"/>
    <s v="PMBCS"/>
    <x v="21"/>
    <x v="0"/>
    <x v="68"/>
    <s v="Rua Francisco Alves, 377 - Jardim Jóquei Club."/>
    <x v="1"/>
    <x v="1"/>
    <x v="8"/>
    <n v="1"/>
    <m/>
    <s v="-"/>
    <s v="-"/>
    <s v="Jurídico Externo"/>
    <x v="1"/>
  </r>
  <r>
    <x v="135"/>
    <x v="1"/>
    <x v="0"/>
    <s v="ABEC"/>
    <s v="PMBCS"/>
    <x v="1"/>
    <x v="0"/>
    <x v="29"/>
    <s v="Rua Iapó, 956 - Prado Velho."/>
    <x v="2"/>
    <x v="0"/>
    <x v="0"/>
    <n v="0"/>
    <m/>
    <s v="Em 13/12/2019, ocorreu o registro da transferência de propriedade da ABEC para a UCE, perante o Registro de Imóveis. Em 18/06/2020, consultando a certidão imobiliária ocorreu a transferência da titularidade perante a prefeitura da ABEC para a UCE."/>
    <s v="-"/>
    <s v="Jurídico Externo"/>
    <x v="13"/>
  </r>
  <r>
    <x v="136"/>
    <x v="1"/>
    <x v="0"/>
    <s v="ABEC"/>
    <s v="PMBCS"/>
    <x v="1"/>
    <x v="0"/>
    <x v="69"/>
    <s v="Rua Antônio Grocoske, 45 - Prado Velho."/>
    <x v="2"/>
    <x v="0"/>
    <x v="0"/>
    <n v="0"/>
    <m/>
    <s v="Em 13/12/2019, ocorreu o registro da transferência de propriedade da ABEC para a UCE, perante o Registro de Imóveis. Em 18/06/2020, consultando a certidão imobiliária ocorreu a transferência da titularidade perante a prefeitura da ABEC para a UCE."/>
    <s v="-"/>
    <s v="Verificar"/>
    <x v="13"/>
  </r>
  <r>
    <x v="137"/>
    <x v="35"/>
    <x v="0"/>
    <s v="ABEC"/>
    <s v="PMBCS"/>
    <x v="31"/>
    <x v="1"/>
    <x v="70"/>
    <s v="Rua João Ritter - Edif Valfiori"/>
    <x v="2"/>
    <x v="0"/>
    <x v="0"/>
    <n v="0"/>
    <d v="2020-03-13T00:00:00"/>
    <s v="Escritório de advocacia Gobbo e Guimarães encaminha a certidão com o registro da cisão concretizado."/>
    <s v="-"/>
    <s v="Jurídico Externo"/>
    <x v="14"/>
  </r>
  <r>
    <x v="138"/>
    <x v="35"/>
    <x v="0"/>
    <s v="ABEC"/>
    <s v="PMBCS"/>
    <x v="31"/>
    <x v="1"/>
    <x v="71"/>
    <s v="Rua João Ritter - Edif Valfiori"/>
    <x v="2"/>
    <x v="0"/>
    <x v="0"/>
    <n v="0"/>
    <m/>
    <s v="Escritório de advocacia Gobbo e Guimarães encaminha a certidão com o registro da cisão concretizado."/>
    <s v="-"/>
    <s v="Jurídico Externo"/>
    <x v="14"/>
  </r>
  <r>
    <x v="139"/>
    <x v="33"/>
    <x v="0"/>
    <s v="UCE"/>
    <s v="PMBCS"/>
    <x v="29"/>
    <x v="1"/>
    <x v="72"/>
    <s v="Colônia Erval - Lageado Leãozinho - Linha Duas Casas - Glória."/>
    <x v="1"/>
    <x v="1"/>
    <x v="8"/>
    <n v="1"/>
    <m/>
    <s v="-"/>
    <s v="-"/>
    <s v="Jurídico Externo"/>
    <x v="1"/>
  </r>
  <r>
    <x v="139"/>
    <x v="33"/>
    <x v="0"/>
    <s v="UCE"/>
    <s v="PMBCS"/>
    <x v="29"/>
    <x v="1"/>
    <x v="72"/>
    <s v="Colônia Erval - Lageado Leãozinho - Linha Duas Casas - Glória."/>
    <x v="1"/>
    <x v="2"/>
    <x v="5"/>
    <n v="1"/>
    <d v="2020-06-15T00:00:00"/>
    <s v="O apontamento em relatório da empresa Ecco Ambiental é de que durante o último mês, não ocorreu nenhuma movimentação por parte do órgão no sentido de análise do cadastro."/>
    <s v="-"/>
    <s v="GPI"/>
    <x v="1"/>
  </r>
  <r>
    <x v="139"/>
    <x v="33"/>
    <x v="0"/>
    <s v="UCE"/>
    <s v="PMBCS"/>
    <x v="29"/>
    <x v="1"/>
    <x v="72"/>
    <s v="Colônia Erval - Lageado Leãozinho - Linha Duas Casas - Glória."/>
    <x v="1"/>
    <x v="2"/>
    <x v="28"/>
    <n v="1"/>
    <d v="2020-06-15T00:00:00"/>
    <s v="Elaboração de material gráfico preliminar baseado na matrícula, para facilitar levantamento de campo. Confecção dos marcos e chapas para demarcação a campo. Em processo de finalização, programada conclusão para junho de 2020."/>
    <s v="-"/>
    <s v="GPI"/>
    <x v="1"/>
  </r>
  <r>
    <x v="139"/>
    <x v="33"/>
    <x v="0"/>
    <s v="UCE"/>
    <s v="PMBCS"/>
    <x v="29"/>
    <x v="1"/>
    <x v="72"/>
    <s v="Colônia Erval - Lageado Leãozinho - Linha Duas Casas - Glória."/>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140"/>
    <x v="36"/>
    <x v="0"/>
    <s v="ABEC"/>
    <s v="PMBCS"/>
    <x v="16"/>
    <x v="0"/>
    <x v="73"/>
    <s v="Rua Cinfrônio de Andrade, nº 200 - Botiatuba"/>
    <x v="2"/>
    <x v="0"/>
    <x v="0"/>
    <n v="0"/>
    <d v="2020-02-20T00:00:00"/>
    <s v="Em 20/02/2020 ocorreu o registro da cisão. Todavia a certidão foi encaminhada somente em 17/03/2020. Como o número de fevereiro já estava consolidado. A regularização foi computada em março."/>
    <s v="-"/>
    <s v="Jurídico Externo"/>
    <x v="15"/>
  </r>
  <r>
    <x v="141"/>
    <x v="1"/>
    <x v="0"/>
    <s v="ABEC"/>
    <s v="GM"/>
    <x v="1"/>
    <x v="0"/>
    <x v="74"/>
    <s v="Rua Rockefeller, 1679 - Rebouças."/>
    <x v="1"/>
    <x v="2"/>
    <x v="29"/>
    <n v="1"/>
    <m/>
    <s v="-"/>
    <s v="-"/>
    <s v="Jurídico Interno"/>
    <x v="1"/>
  </r>
  <r>
    <x v="142"/>
    <x v="3"/>
    <x v="0"/>
    <s v="UCE"/>
    <s v="PMBCS"/>
    <x v="3"/>
    <x v="1"/>
    <x v="75"/>
    <s v="Rua Ir. Celestino Delpine e Rua Ir. Leão Magno - Amizade"/>
    <x v="1"/>
    <x v="1"/>
    <x v="8"/>
    <n v="1"/>
    <m/>
    <s v="-"/>
    <s v="-"/>
    <s v="Jurídico Externo"/>
    <x v="1"/>
  </r>
  <r>
    <x v="143"/>
    <x v="23"/>
    <x v="0"/>
    <s v="APC"/>
    <s v="GM"/>
    <x v="21"/>
    <x v="0"/>
    <x v="76"/>
    <s v="Rua Serra Verde, 250 - Bandeirantes."/>
    <x v="2"/>
    <x v="0"/>
    <x v="0"/>
    <n v="0"/>
    <m/>
    <s v="-"/>
    <s v="-"/>
    <s v="Verificar"/>
    <x v="1"/>
  </r>
  <r>
    <x v="144"/>
    <x v="23"/>
    <x v="0"/>
    <s v="APC"/>
    <s v="GM"/>
    <x v="21"/>
    <x v="0"/>
    <x v="76"/>
    <s v="Rua Serra Verde, 250 - Bandeirantes."/>
    <x v="2"/>
    <x v="0"/>
    <x v="0"/>
    <n v="0"/>
    <m/>
    <s v="-"/>
    <s v="-"/>
    <s v="Verificar"/>
    <x v="1"/>
  </r>
  <r>
    <x v="145"/>
    <x v="23"/>
    <x v="0"/>
    <s v="APC"/>
    <s v="GM"/>
    <x v="21"/>
    <x v="0"/>
    <x v="76"/>
    <s v="Rua Serra Verde, 250 - Bandeirantes."/>
    <x v="2"/>
    <x v="0"/>
    <x v="0"/>
    <n v="0"/>
    <m/>
    <s v="-"/>
    <s v="-"/>
    <s v="Verificar"/>
    <x v="1"/>
  </r>
  <r>
    <x v="146"/>
    <x v="23"/>
    <x v="0"/>
    <s v="APC"/>
    <s v="GM"/>
    <x v="21"/>
    <x v="0"/>
    <x v="76"/>
    <s v="Rua Serra Verde, 250 - Bandeirantes."/>
    <x v="2"/>
    <x v="0"/>
    <x v="0"/>
    <n v="0"/>
    <m/>
    <s v="-"/>
    <s v="-"/>
    <s v="Verificar"/>
    <x v="1"/>
  </r>
  <r>
    <x v="147"/>
    <x v="1"/>
    <x v="0"/>
    <s v="ABEC"/>
    <s v="GM"/>
    <x v="1"/>
    <x v="0"/>
    <x v="29"/>
    <s v="-"/>
    <x v="1"/>
    <x v="2"/>
    <x v="12"/>
    <n v="1"/>
    <m/>
    <s v="Documentos com o tabelionato para conslusão da Ata Notarial. Tabelionato pede que seja efetuado registro fotográfico com devidas demarcações. Promovido o registro fotográfico, tendo em vista a demarcação. Aguardando análise do tabelionato. "/>
    <s v="-"/>
    <s v="Jurídico Externo"/>
    <x v="1"/>
  </r>
  <r>
    <x v="147"/>
    <x v="1"/>
    <x v="0"/>
    <s v="ABEC"/>
    <s v="GM"/>
    <x v="1"/>
    <x v="0"/>
    <x v="29"/>
    <s v="-"/>
    <x v="1"/>
    <x v="2"/>
    <x v="12"/>
    <n v="1"/>
    <d v="2019-12-15T00:00:00"/>
    <s v="Tabelionato efetuou novo registro fotográfico. Escritório está fazendo busca das matrículas dos confrontantes (apenas o dos fundos)."/>
    <s v="-"/>
    <s v="Jurídico Externo"/>
    <x v="1"/>
  </r>
  <r>
    <x v="147"/>
    <x v="1"/>
    <x v="0"/>
    <s v="ABEC"/>
    <s v="GM"/>
    <x v="1"/>
    <x v="0"/>
    <x v="29"/>
    <s v="-"/>
    <x v="1"/>
    <x v="2"/>
    <x v="12"/>
    <n v="1"/>
    <d v="2020-01-17T00:00:00"/>
    <s v="Escritório solicitou 02 testemunhas para participação no processo e por conseguinte finalização da Ata Notarial. Sugestionado pela gestora do patrimônio a Dra. Indiuara. Todavia ainda falta uma pessoa."/>
    <s v="-"/>
    <s v="Jurídico Externo"/>
    <x v="1"/>
  </r>
  <r>
    <x v="147"/>
    <x v="1"/>
    <x v="0"/>
    <s v="ABEC"/>
    <s v="GM"/>
    <x v="1"/>
    <x v="0"/>
    <x v="29"/>
    <s v="-"/>
    <x v="1"/>
    <x v="2"/>
    <x v="12"/>
    <n v="1"/>
    <d v="2020-02-18T00:00:00"/>
    <s v="No aguardo da indicação de outra pessoa para testemunhar no caso."/>
    <s v="-"/>
    <s v="Jurídico Externo"/>
    <x v="1"/>
  </r>
  <r>
    <x v="147"/>
    <x v="1"/>
    <x v="0"/>
    <s v="ABEC"/>
    <s v="GM"/>
    <x v="1"/>
    <x v="0"/>
    <x v="29"/>
    <s v="-"/>
    <x v="1"/>
    <x v="2"/>
    <x v="12"/>
    <n v="1"/>
    <d v="2020-04-18T00:00:00"/>
    <s v="Conforme posição de andamentos anteriores, a advogada do Grupo Marista, Dra. Indiuara, já havia se prontificado em ser uma das testemunhas, porém até o presente momento não foi indicada outra pessoa que possa ser testemunha."/>
    <s v="-"/>
    <s v="Jurídico Externo"/>
    <x v="1"/>
  </r>
  <r>
    <x v="147"/>
    <x v="1"/>
    <x v="0"/>
    <s v="ABEC"/>
    <s v="GM"/>
    <x v="1"/>
    <x v="0"/>
    <x v="29"/>
    <s v="-"/>
    <x v="1"/>
    <x v="2"/>
    <x v="12"/>
    <n v="1"/>
    <d v="2020-05-11T00:00:00"/>
    <s v="Escritório verificou e alinhou junto ao tabelionato a possibilidade de a outra testemunha ser um confrontante. Escritório estará promovendo aproximação no intuito de convencer o confrontante a testemunhar."/>
    <s v="-"/>
    <s v="Jurídico Externo"/>
    <x v="1"/>
  </r>
  <r>
    <x v="147"/>
    <x v="1"/>
    <x v="0"/>
    <s v="ABEC"/>
    <s v="GM"/>
    <x v="1"/>
    <x v="0"/>
    <x v="29"/>
    <s v="-"/>
    <x v="1"/>
    <x v="2"/>
    <x v="12"/>
    <n v="1"/>
    <d v="2020-06-10T00:00:00"/>
    <s v="Encaminhado e-mail ao escritório no intuito de verificar evolução quanto ao assunto, pois até o presente momento não havia ocorrido nenhum retorno."/>
    <s v="-"/>
    <s v="Jurídico Externo"/>
    <x v="1"/>
  </r>
  <r>
    <x v="147"/>
    <x v="1"/>
    <x v="0"/>
    <s v="ABEC"/>
    <s v="GM"/>
    <x v="1"/>
    <x v="0"/>
    <x v="29"/>
    <s v="-"/>
    <x v="1"/>
    <x v="2"/>
    <x v="12"/>
    <n v="1"/>
    <d v="2020-06-16T00:00:00"/>
    <s v="Informação em relatório é de que está sendo tentado contato com o confrontante para coleta de dados como testemunha. Todavia por e-mail a informação é de que não estão conseguindo contato e estão buscando alternativa com o tabelionato. "/>
    <s v="-"/>
    <s v="Jurídico Externo"/>
    <x v="1"/>
  </r>
  <r>
    <x v="147"/>
    <x v="1"/>
    <x v="0"/>
    <s v="ABEC"/>
    <s v="GM"/>
    <x v="1"/>
    <x v="0"/>
    <x v="29"/>
    <s v="-"/>
    <x v="1"/>
    <x v="2"/>
    <x v="12"/>
    <n v="1"/>
    <d v="2020-06-18T00:00:00"/>
    <s v="Tabelionato informou que será possível indicar um funcionário com menos tempo de casa e que nesse caso, apenas declara-se o tempo em que este funcionário está na empresa e que nesse período o funcionário tem conhecimento do uso do imóvel pelo Grupo. O escritório passa a ficar no aguardo quanto a indicação de mais uma testemunha para o processo."/>
    <s v="-"/>
    <s v="Jurídico Externo"/>
    <x v="1"/>
  </r>
  <r>
    <x v="147"/>
    <x v="1"/>
    <x v="0"/>
    <s v="ABEC"/>
    <s v="GM"/>
    <x v="1"/>
    <x v="0"/>
    <x v="29"/>
    <s v="-"/>
    <x v="1"/>
    <x v="2"/>
    <x v="12"/>
    <n v="1"/>
    <d v="2020-07-16T00:00:00"/>
    <s v="Escritório está no aguardo da manifestação da testemunha (Sr. Guilherme Matyniak). O qual já havia se colocado à disposição."/>
    <s v="-"/>
    <s v="Jurídico Externo"/>
    <x v="1"/>
  </r>
  <r>
    <x v="148"/>
    <x v="11"/>
    <x v="0"/>
    <s v="ABEC"/>
    <s v="PMBCS"/>
    <x v="10"/>
    <x v="0"/>
    <x v="77"/>
    <s v="Rua Rodrigues Albes, nº 701 - Jd. Carvalho"/>
    <x v="1"/>
    <x v="1"/>
    <x v="8"/>
    <n v="1"/>
    <d v="2020-07-16T00:00:00"/>
    <s v="Processo de alteração de titularidade ainda não realizado."/>
    <s v="-"/>
    <s v="Jurídico Externo"/>
    <x v="1"/>
  </r>
  <r>
    <x v="149"/>
    <x v="1"/>
    <x v="0"/>
    <s v="APC"/>
    <s v="GM"/>
    <x v="1"/>
    <x v="0"/>
    <x v="78"/>
    <s v="Rua Imaculada Conceição, 1155 - Prado Velho."/>
    <x v="1"/>
    <x v="2"/>
    <x v="30"/>
    <n v="1"/>
    <m/>
    <s v="Última parcela do pagamento é em 20/12/2021."/>
    <s v="-"/>
    <s v="GPI"/>
    <x v="1"/>
  </r>
  <r>
    <x v="150"/>
    <x v="1"/>
    <x v="0"/>
    <s v="APC"/>
    <s v="GM"/>
    <x v="1"/>
    <x v="0"/>
    <x v="79"/>
    <s v="Rua Imaculada Conceição, 1.430 - Prado Velho."/>
    <x v="1"/>
    <x v="2"/>
    <x v="29"/>
    <n v="1"/>
    <m/>
    <s v="-"/>
    <s v="-"/>
    <s v="Jurídico Interno"/>
    <x v="1"/>
  </r>
  <r>
    <x v="151"/>
    <x v="1"/>
    <x v="0"/>
    <s v="APC"/>
    <s v="PMBCS"/>
    <x v="1"/>
    <x v="0"/>
    <x v="80"/>
    <s v="Rua Salgado Filho, 519 - Prado Velho."/>
    <x v="1"/>
    <x v="1"/>
    <x v="8"/>
    <n v="1"/>
    <d v="2020-07-16T00:00:00"/>
    <s v="Processo de alteração de titularidade ainda não realizado."/>
    <n v="80866"/>
    <s v="Jurídico Externo"/>
    <x v="1"/>
  </r>
  <r>
    <x v="152"/>
    <x v="37"/>
    <x v="0"/>
    <s v="UCE"/>
    <s v="PMBCS"/>
    <x v="32"/>
    <x v="1"/>
    <x v="81"/>
    <s v="Rua Antonio de Lucca, nº 334 - Pio Corrêa."/>
    <x v="2"/>
    <x v="0"/>
    <x v="0"/>
    <n v="0"/>
    <d v="2020-06-17T00:00:00"/>
    <s v="Mediante o de acordo da gerente de Patrimônio Imobiliário, considerando que não há mais o que ser feito neste caso, o mesmo foi considerado como regularizado."/>
    <s v="-"/>
    <s v="GPI"/>
    <x v="6"/>
  </r>
  <r>
    <x v="153"/>
    <x v="6"/>
    <x v="0"/>
    <s v="FC"/>
    <s v="GM"/>
    <x v="1"/>
    <x v="0"/>
    <x v="6"/>
    <s v="Rua Leonor Castellano, 525"/>
    <x v="2"/>
    <x v="0"/>
    <x v="0"/>
    <n v="0"/>
    <m/>
    <s v="-"/>
    <s v="-"/>
    <s v="Verificar"/>
    <x v="1"/>
  </r>
  <r>
    <x v="154"/>
    <x v="37"/>
    <x v="0"/>
    <s v="UCE"/>
    <s v="PMBCS"/>
    <x v="32"/>
    <x v="1"/>
    <x v="81"/>
    <s v="Rua Antonio de Lucca, nº 334 - Pio Corrêa."/>
    <x v="2"/>
    <x v="0"/>
    <x v="0"/>
    <n v="0"/>
    <d v="2020-06-17T00:00:00"/>
    <s v="Mediante o de acordo da gerente de Patrimônio Imobiliário, considerando que não há mais o que ser feito neste caso, o mesmo foi considerado como regularizado."/>
    <s v="-"/>
    <s v="GPI"/>
    <x v="6"/>
  </r>
  <r>
    <x v="155"/>
    <x v="38"/>
    <x v="0"/>
    <s v="ABEC"/>
    <s v="PMBCS"/>
    <x v="33"/>
    <x v="3"/>
    <x v="82"/>
    <s v="Rua Justo Azambuja, 121 / 185 / 229 - Cambuci"/>
    <x v="1"/>
    <x v="1"/>
    <x v="8"/>
    <n v="1"/>
    <d v="2020-07-16T00:00:00"/>
    <s v="Processo de alteração de titularidade ainda não realizado."/>
    <s v="-"/>
    <s v="Jurídico Externo"/>
    <x v="1"/>
  </r>
  <r>
    <x v="156"/>
    <x v="39"/>
    <x v="0"/>
    <s v="ABEC"/>
    <s v="PMBCS"/>
    <x v="34"/>
    <x v="0"/>
    <x v="83"/>
    <s v="Rua Corbélia, nº 1.967 - Periolo."/>
    <x v="0"/>
    <x v="0"/>
    <x v="0"/>
    <n v="0"/>
    <m/>
    <s v="Apesar de a data da regularização ser considerada em Março, pois a certidão foi disponibilizada pelo escritório Gobbo e Guimarães em 17/03/2020. A regularização ocorreu de fato em 19/02/2020, todavia como o numero de fevereiro já estava consolidado (apresentado inclusive para a Província), por esta razão a contagem ficou em Março."/>
    <s v="-"/>
    <s v="Jurídico Externo"/>
    <x v="16"/>
  </r>
  <r>
    <x v="156"/>
    <x v="39"/>
    <x v="0"/>
    <s v="ABEC"/>
    <s v="PMBCS"/>
    <x v="34"/>
    <x v="0"/>
    <x v="83"/>
    <s v="Rua Corbélia, nº 1.967 - Periolo."/>
    <x v="1"/>
    <x v="3"/>
    <x v="9"/>
    <n v="1"/>
    <d v="2020-07-06T00:00:00"/>
    <s v="Está sendo tomada providência de apuração de área remanescente do imóvel limítrofe denominado Recanto, tendo em vista o processo de desapropriação do DNIT, ocorrido no passado. Entretanto a utilização do imóvel por parte do DNIT, excedeu a área do Recanto, avançando também para a área do Centro Social. Razão pela qual está sendo regularizada neste momento. Foi contratado escritório de arquitetura local para condução do processo. O qual nesta data foi mantido contato para atualização do assunto. Será encaminhado nos próximos dias o mapa, memorial descritivo e ART para coleta de assinatura do representante legal da UCE para protocolo junto ao DNIT, nossa responsabilidade, seja para uma desapropriação amigável ou para uma doação."/>
    <s v="-"/>
    <s v="Jurídico Externo"/>
    <x v="1"/>
  </r>
  <r>
    <x v="157"/>
    <x v="38"/>
    <x v="0"/>
    <s v="ABEC"/>
    <s v="PMBCS"/>
    <x v="33"/>
    <x v="3"/>
    <x v="82"/>
    <s v="Rua Justo Azambuja, 121 / 185 / 229 - Cambuci."/>
    <x v="1"/>
    <x v="1"/>
    <x v="8"/>
    <n v="1"/>
    <d v="2020-07-16T00:00:00"/>
    <s v="Processo de alteração de titularidade ainda não realizado."/>
    <s v="-"/>
    <s v="Jurídico Externo"/>
    <x v="1"/>
  </r>
  <r>
    <x v="158"/>
    <x v="1"/>
    <x v="0"/>
    <s v="ABEC"/>
    <s v="GM"/>
    <x v="1"/>
    <x v="0"/>
    <x v="84"/>
    <s v="Rua Guabirotuba, 325 - Prado Velho."/>
    <x v="2"/>
    <x v="0"/>
    <x v="0"/>
    <n v="0"/>
    <m/>
    <s v="-"/>
    <s v="-"/>
    <s v="Verificar"/>
    <x v="1"/>
  </r>
  <r>
    <x v="159"/>
    <x v="40"/>
    <x v="0"/>
    <s v="ABEC"/>
    <s v="GM"/>
    <x v="35"/>
    <x v="7"/>
    <x v="85"/>
    <s v="Avenida Marcelino Pires, s/n - Centro."/>
    <x v="2"/>
    <x v="0"/>
    <x v="0"/>
    <n v="0"/>
    <m/>
    <s v="-"/>
    <s v="-"/>
    <s v="Verificar"/>
    <x v="1"/>
  </r>
  <r>
    <x v="160"/>
    <x v="19"/>
    <x v="0"/>
    <s v="ABEC"/>
    <s v="GM"/>
    <x v="17"/>
    <x v="3"/>
    <x v="27"/>
    <s v="Rua Henrique Porchat 12/22/24 - Vila Nova."/>
    <x v="2"/>
    <x v="0"/>
    <x v="0"/>
    <n v="0"/>
    <m/>
    <s v="-"/>
    <s v="-"/>
    <s v="Verificar"/>
    <x v="1"/>
  </r>
  <r>
    <x v="161"/>
    <x v="17"/>
    <x v="0"/>
    <s v="APC"/>
    <s v="GM"/>
    <x v="36"/>
    <x v="0"/>
    <x v="86"/>
    <s v="Rua da Papoula - Roseira."/>
    <x v="1"/>
    <x v="2"/>
    <x v="8"/>
    <n v="1"/>
    <d v="2019-06-26T00:00:00"/>
    <s v="Apresentada a especificação de provas, sendo encaminhado a conclusão no dia 29/07/2019. Em decisão o juiz determinou a intimação do município para que se manifeste sobre o interesse no feito, tendo em vista que o imóvel foi objeto de doação. Aguardamos a manifestação do município."/>
    <s v="-"/>
    <s v="Jurídico Externo"/>
    <x v="1"/>
  </r>
  <r>
    <x v="161"/>
    <x v="17"/>
    <x v="0"/>
    <s v="APC"/>
    <s v="GM"/>
    <x v="36"/>
    <x v="0"/>
    <x v="86"/>
    <s v="Rua da Papoula - Roseira."/>
    <x v="1"/>
    <x v="2"/>
    <x v="8"/>
    <n v="1"/>
    <d v="2019-12-15T00:00:00"/>
    <s v="Sem movimentação processual desde a última atualização até o presente momento."/>
    <s v="-"/>
    <s v="Jurídico Externo"/>
    <x v="1"/>
  </r>
  <r>
    <x v="161"/>
    <x v="17"/>
    <x v="0"/>
    <s v="APC"/>
    <s v="GM"/>
    <x v="36"/>
    <x v="0"/>
    <x v="86"/>
    <s v="Rua da Papoula - Roseira."/>
    <x v="1"/>
    <x v="2"/>
    <x v="8"/>
    <n v="1"/>
    <d v="2020-01-17T00:00:00"/>
    <s v="O município se manifestou nos autos informando que não possui interesse no lote em questão, e não se opõe ao pedido de usucapião. Aguardamos a decisão, todavia autos concluso desde 18/12/2019 (recesso forense). "/>
    <s v="-"/>
    <s v="Jurídico Externo"/>
    <x v="1"/>
  </r>
  <r>
    <x v="161"/>
    <x v="17"/>
    <x v="0"/>
    <s v="APC"/>
    <s v="GM"/>
    <x v="36"/>
    <x v="0"/>
    <x v="86"/>
    <s v="Rua da Papoula - Roseira."/>
    <x v="1"/>
    <x v="2"/>
    <x v="8"/>
    <n v="1"/>
    <d v="2020-02-17T00:00:00"/>
    <s v="Sem movimentação processual desde a última atualização até o presente momento."/>
    <s v="-"/>
    <s v="Jurídico Externo"/>
    <x v="1"/>
  </r>
  <r>
    <x v="161"/>
    <x v="17"/>
    <x v="0"/>
    <s v="APC"/>
    <s v="GM"/>
    <x v="36"/>
    <x v="0"/>
    <x v="86"/>
    <s v="Rua da Papoula - Roseira."/>
    <x v="1"/>
    <x v="2"/>
    <x v="8"/>
    <n v="1"/>
    <d v="2020-03-16T00:00:00"/>
    <s v="Sem movimentação processual desde a última atualização até o presente momento."/>
    <s v="-"/>
    <s v="Jurídico Externo"/>
    <x v="1"/>
  </r>
  <r>
    <x v="161"/>
    <x v="17"/>
    <x v="0"/>
    <s v="APC"/>
    <s v="GM"/>
    <x v="36"/>
    <x v="0"/>
    <x v="86"/>
    <s v="Rua da Papoula - Roseira."/>
    <x v="1"/>
    <x v="2"/>
    <x v="8"/>
    <n v="1"/>
    <d v="2020-04-17T00:00:00"/>
    <s v="Decisão saneadora do processo indeferindo a preliminar de impossibilidade jurídica do pedido, no qual informamos que a APC não cumpriu com o encargo da doação e o imóvel reverteu ao Município, assim como o imóvel pertence ao Município incabível a Ação de Usucapião. Recurso de agravo de instrumento, para o tribunal o qual ainda não foi julgado. Caso o recurso não seja favorável a APC, a condenação será no sentido de pagamento de honorários advocatícios e o deferimento do usucapião aos autores. Comcomitante há uma audiência de instrução para o dia 11 de agosto. Podendo haver o entendimento do juiz de julgando improcedente os pedidos dos autores."/>
    <s v="-"/>
    <s v="Jurídico Externo"/>
    <x v="1"/>
  </r>
  <r>
    <x v="161"/>
    <x v="17"/>
    <x v="0"/>
    <s v="APC"/>
    <s v="GM"/>
    <x v="36"/>
    <x v="0"/>
    <x v="86"/>
    <s v="Rua da Papoula - Roseira."/>
    <x v="1"/>
    <x v="2"/>
    <x v="8"/>
    <n v="1"/>
    <d v="2020-05-11T00:00:00"/>
    <s v="Sem movimentação processual desde a última atualização até o presente momento."/>
    <s v="-"/>
    <s v="Jurídico Externo"/>
    <x v="1"/>
  </r>
  <r>
    <x v="161"/>
    <x v="17"/>
    <x v="0"/>
    <s v="APC"/>
    <s v="GM"/>
    <x v="36"/>
    <x v="0"/>
    <x v="86"/>
    <s v="Rua da Papoula - Roseira."/>
    <x v="1"/>
    <x v="2"/>
    <x v="8"/>
    <n v="1"/>
    <d v="2020-06-16T00:00:00"/>
    <s v="Interposto Agravo de Instrumento da rejeição da preliminar de impossibilidade jurídica do pedido. Aguardando julgamento do Agravo de Instrumento."/>
    <s v="-"/>
    <s v="Jurídico Externo"/>
    <x v="1"/>
  </r>
  <r>
    <x v="161"/>
    <x v="17"/>
    <x v="0"/>
    <s v="APC"/>
    <s v="GM"/>
    <x v="36"/>
    <x v="0"/>
    <x v="86"/>
    <s v="Rua da Papoula - Roseira."/>
    <x v="1"/>
    <x v="2"/>
    <x v="8"/>
    <n v="1"/>
    <d v="2020-07-15T00:00:00"/>
    <s v="Protocolado manifestação quanto as taxas de IPTU e outras taxas em aberto, tendo em vista o caráter propter – rem das taxas, no qual as taxas são objeto do imóvel, assim caso haja decretação da usucapião necessária a condenação dos usucapientes ao pagamento de tais taxas em aberto, tendo em vista que a APC nunca tomou posse do imóvel."/>
    <s v="-"/>
    <s v="Jurídico Externo"/>
    <x v="1"/>
  </r>
  <r>
    <x v="162"/>
    <x v="17"/>
    <x v="0"/>
    <s v="APC"/>
    <s v="GM"/>
    <x v="36"/>
    <x v="0"/>
    <x v="87"/>
    <s v="Rua da Papoula - Roseira."/>
    <x v="1"/>
    <x v="2"/>
    <x v="8"/>
    <n v="1"/>
    <m/>
    <s v="O andamento deste imóvel está descrito no andamento da matrícula de n.º 26.006 por se tratar de uma ação judicial que envolve também aquele imóvel."/>
    <s v="-"/>
    <s v="Jurídico Externo"/>
    <x v="1"/>
  </r>
  <r>
    <x v="163"/>
    <x v="17"/>
    <x v="0"/>
    <s v="APC"/>
    <s v="GM"/>
    <x v="36"/>
    <x v="0"/>
    <x v="88"/>
    <s v="Rua da Papoula - Roseira."/>
    <x v="1"/>
    <x v="2"/>
    <x v="8"/>
    <n v="1"/>
    <m/>
    <s v="O andamento deste imóvel está descrito no andamento da matrícula de n.º 26.006 por se tratar de uma ação judicial que envolve também aquele imóvel."/>
    <s v="-"/>
    <s v="Jurídico Externo"/>
    <x v="1"/>
  </r>
  <r>
    <x v="164"/>
    <x v="23"/>
    <x v="0"/>
    <s v="APC"/>
    <s v="PMBCS"/>
    <x v="21"/>
    <x v="0"/>
    <x v="89"/>
    <s v="Rua Serra Japuira, 600 - Messiânico."/>
    <x v="1"/>
    <x v="1"/>
    <x v="8"/>
    <n v="1"/>
    <m/>
    <s v="-"/>
    <s v="-"/>
    <s v="Jurídico Externo"/>
    <x v="1"/>
  </r>
  <r>
    <x v="165"/>
    <x v="41"/>
    <x v="0"/>
    <s v="ABEC"/>
    <s v="PMBCS"/>
    <x v="1"/>
    <x v="0"/>
    <x v="90"/>
    <s v="Avenida Sen. Salgado Filho, nº 1476 / 1474 - Guabirotuba."/>
    <x v="1"/>
    <x v="2"/>
    <x v="30"/>
    <n v="1"/>
    <d v="2020-02-21T00:00:00"/>
    <s v="Gestora do setor de Patrimônio Imobiliário estabelece contato com a Copema Engenharia e Construções Ltda, para tratar da baixa de hipoteca."/>
    <n v="328192"/>
    <s v="GPI"/>
    <x v="1"/>
  </r>
  <r>
    <x v="165"/>
    <x v="41"/>
    <x v="0"/>
    <s v="ABEC"/>
    <s v="PMBCS"/>
    <x v="1"/>
    <x v="0"/>
    <x v="90"/>
    <s v="Avenida Sen. Salgado Filho, nº 1476 / 1474 - Guabirotuba."/>
    <x v="1"/>
    <x v="1"/>
    <x v="8"/>
    <n v="1"/>
    <d v="2020-07-16T00:00:00"/>
    <s v="Processo de alteração de titularidade ainda não realizado."/>
    <s v="-"/>
    <s v="Jurídico Externo"/>
    <x v="1"/>
  </r>
  <r>
    <x v="165"/>
    <x v="41"/>
    <x v="0"/>
    <s v="ABEC"/>
    <s v="PMBCS"/>
    <x v="1"/>
    <x v="0"/>
    <x v="90"/>
    <s v="Avenida Sen. Salgado Filho, nº 1476 / 1474 - Guabirotuba."/>
    <x v="1"/>
    <x v="2"/>
    <x v="30"/>
    <n v="1"/>
    <d v="2020-05-05T00:00:00"/>
    <s v="Gestora do setor de Patrimônio Imobiliário cobra uma posição quanto a evolução da baixa da hipoteca."/>
    <s v="-"/>
    <s v="GPI"/>
    <x v="1"/>
  </r>
  <r>
    <x v="165"/>
    <x v="41"/>
    <x v="0"/>
    <s v="ABEC"/>
    <s v="PMBCS"/>
    <x v="1"/>
    <x v="0"/>
    <x v="90"/>
    <s v="Avenida Sen. Salgado Filho, nº 1476 / 1474 - Guabirotuba."/>
    <x v="1"/>
    <x v="2"/>
    <x v="30"/>
    <n v="1"/>
    <d v="2020-06-12T00:00:00"/>
    <s v="Ainda sem um retorno por parte do escritório encaminhado e-mail no sentido de acompanhamento do assunto."/>
    <s v="-"/>
    <s v="GPI"/>
    <x v="1"/>
  </r>
  <r>
    <x v="166"/>
    <x v="19"/>
    <x v="0"/>
    <s v="ABEC"/>
    <s v="GM"/>
    <x v="17"/>
    <x v="3"/>
    <x v="27"/>
    <s v="Rua Henrique Porchat, 22 - Vila Nova."/>
    <x v="2"/>
    <x v="0"/>
    <x v="0"/>
    <n v="0"/>
    <m/>
    <s v="-"/>
    <s v="-"/>
    <s v="Verificar"/>
    <x v="1"/>
  </r>
  <r>
    <x v="167"/>
    <x v="42"/>
    <x v="0"/>
    <s v="UCE"/>
    <s v="PMBCS"/>
    <x v="37"/>
    <x v="0"/>
    <x v="91"/>
    <s v="Estrada Figueiredo, s/n - Cercadinho."/>
    <x v="1"/>
    <x v="2"/>
    <x v="31"/>
    <n v="1"/>
    <d v="2019-08-30T00:00:00"/>
    <s v="Protocolado recurso para que seja deferida a desafetação das APP´s."/>
    <s v="-"/>
    <s v="Jurídico Externo"/>
    <x v="1"/>
  </r>
  <r>
    <x v="167"/>
    <x v="42"/>
    <x v="0"/>
    <s v="UCE"/>
    <s v="PMBCS"/>
    <x v="37"/>
    <x v="0"/>
    <x v="91"/>
    <s v="Estrada Figueiredo, s/n - Cercadinho."/>
    <x v="0"/>
    <x v="0"/>
    <x v="0"/>
    <n v="0"/>
    <d v="2020-01-17T00:00:00"/>
    <s v="GIT (Grupo Interinstitucional de Trabalho) emitiu parecer em 03/12/2019 deferindo a desafetação de Zona de Preservação de Fundo de Vale. O processo agora será encaminhado para o Conselho Gestor dos Mananciais. Todavia, ainda será preciso encaminhar ao município de Campo Largo, para obtenção da autorização de corte. Cabe ainda pontuar que o processo como um todo será modificado um decreto estadual."/>
    <s v="-"/>
    <s v="Jurídico Externo"/>
    <x v="17"/>
  </r>
  <r>
    <x v="167"/>
    <x v="42"/>
    <x v="0"/>
    <s v="UCE"/>
    <s v="PMBCS"/>
    <x v="37"/>
    <x v="0"/>
    <x v="91"/>
    <s v="Estrada Figueiredo, s/n - Cercadinho."/>
    <x v="1"/>
    <x v="2"/>
    <x v="31"/>
    <n v="1"/>
    <d v="2020-02-18T00:00:00"/>
    <s v="Após deferimento no Conselho Gestor dos Mananciais, Rubens, protocolou com base no referido deferimento novo pedido na prefeitura de Campo Largo. Processo perante a prefeitura foi deferido, estando para ser expedida a certidão."/>
    <s v="-"/>
    <s v="Jurídico Externo"/>
    <x v="1"/>
  </r>
  <r>
    <x v="167"/>
    <x v="42"/>
    <x v="0"/>
    <s v="UCE"/>
    <s v="PMBCS"/>
    <x v="37"/>
    <x v="0"/>
    <x v="91"/>
    <s v="Estrada Figueiredo, s/n - Cercadinho."/>
    <x v="0"/>
    <x v="0"/>
    <x v="0"/>
    <n v="0"/>
    <d v="2020-03-17T00:00:00"/>
    <s v="Apesar de a empresa EccoAmbiental ter encaminhado o parecer do GIT e da prefeitura em 16/01/2020, autorizando o corte e com a desafetação das supostas nascentes. Está sendo computada a regularização no mês de Março. "/>
    <s v="-"/>
    <s v="GPI"/>
    <x v="7"/>
  </r>
  <r>
    <x v="167"/>
    <x v="42"/>
    <x v="0"/>
    <s v="UCE"/>
    <s v="PMBCS"/>
    <x v="37"/>
    <x v="0"/>
    <x v="91"/>
    <s v="Estrada Figueiredo, s/n - Cercadinho."/>
    <x v="1"/>
    <x v="2"/>
    <x v="5"/>
    <n v="1"/>
    <d v="2020-06-15T00:00:00"/>
    <s v="O apontamento em relatório da empresa Ecco Ambiental é de que durante o último mês, não ocorreu nenhuma movimentação por parte do órgão no sentido de análise do cadastro."/>
    <s v="-"/>
    <s v="GPI"/>
    <x v="1"/>
  </r>
  <r>
    <x v="167"/>
    <x v="42"/>
    <x v="0"/>
    <s v="UCE"/>
    <s v="PMBCS"/>
    <x v="37"/>
    <x v="0"/>
    <x v="91"/>
    <s v="Estrada Figueiredo, s/n - Cercadinho."/>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168"/>
    <x v="1"/>
    <x v="0"/>
    <s v="ABEC"/>
    <s v="GM"/>
    <x v="1"/>
    <x v="0"/>
    <x v="92"/>
    <s v="Avenida Marechal Floriano Peixoto, 2.659 - Prado Velho."/>
    <x v="1"/>
    <x v="2"/>
    <x v="32"/>
    <n v="1"/>
    <d v="2019-07-17T00:00:00"/>
    <s v="Retirada do processo, face o pedido da prefeitura para doação de área, tendo em vista o atingimento viário."/>
    <s v="Não se aplica"/>
    <s v="Jurídico Externo"/>
    <x v="1"/>
  </r>
  <r>
    <x v="168"/>
    <x v="1"/>
    <x v="0"/>
    <s v="ABEC"/>
    <s v="GM"/>
    <x v="1"/>
    <x v="0"/>
    <x v="92"/>
    <s v="Avenida Marechal Floriano Peixoto, 2.659 - Prado Velho."/>
    <x v="1"/>
    <x v="2"/>
    <x v="32"/>
    <n v="1"/>
    <d v="2019-08-21T00:00:00"/>
    <s v="Protocolado recurso para que não ocorra a doação."/>
    <s v="Não se aplica"/>
    <s v="Jurídico Externo"/>
    <x v="1"/>
  </r>
  <r>
    <x v="168"/>
    <x v="1"/>
    <x v="0"/>
    <s v="ABEC"/>
    <s v="GM"/>
    <x v="1"/>
    <x v="0"/>
    <x v="92"/>
    <s v="Avenida Marechal Floriano Peixoto, 2.659 - Prado Velho."/>
    <x v="0"/>
    <x v="0"/>
    <x v="0"/>
    <n v="0"/>
    <d v="2019-08-26T00:00:00"/>
    <s v="Notificação à ISCMC do direito de preferência. Com prazo de 15 dias (10.09.2019), para manifestação do interesse ou não de aquisição da parte da APC. Não havendo interesse segue o registro da escritura."/>
    <s v="Não se aplica"/>
    <s v="Jurídico Externo"/>
    <x v="18"/>
  </r>
  <r>
    <x v="168"/>
    <x v="1"/>
    <x v="0"/>
    <s v="ABEC"/>
    <s v="GM"/>
    <x v="1"/>
    <x v="0"/>
    <x v="92"/>
    <s v="Avenida Marechal Floriano Peixoto, 2.659 - Prado Velho."/>
    <x v="1"/>
    <x v="2"/>
    <x v="32"/>
    <n v="1"/>
    <d v="2019-09-13T00:00:00"/>
    <s v="Reunião do Conselho Municipal de Urbanismo, para tratar do recurso. Sendo provido pela liberação da doação, ou seja não será necessário a doação."/>
    <s v="Não se aplica"/>
    <s v="Jurídico Externo"/>
    <x v="1"/>
  </r>
  <r>
    <x v="168"/>
    <x v="1"/>
    <x v="0"/>
    <s v="ABEC"/>
    <s v="GM"/>
    <x v="1"/>
    <x v="0"/>
    <x v="92"/>
    <s v="Avenida Marechal Floriano Peixoto, 2.659 - Prado Velho."/>
    <x v="1"/>
    <x v="2"/>
    <x v="32"/>
    <n v="1"/>
    <d v="2019-09-17T00:00:00"/>
    <s v="Ante a ausência de manifestação da ISCMC, a PROJUR Marista, consentiu em darmos seguimento no registro da escritura. Demandado a Natasha para dar prosseguimento."/>
    <s v="Não se aplica"/>
    <s v="Jurídico Externo"/>
    <x v="1"/>
  </r>
  <r>
    <x v="168"/>
    <x v="1"/>
    <x v="0"/>
    <s v="ABEC"/>
    <s v="GM"/>
    <x v="1"/>
    <x v="0"/>
    <x v="92"/>
    <s v="Avenida Marechal Floriano Peixoto, 2.659 - Prado Velho."/>
    <x v="1"/>
    <x v="2"/>
    <x v="32"/>
    <n v="1"/>
    <d v="2019-10-17T00:00:00"/>
    <s v="Após provimento do CMU, houve novas exigências por parte do setor de análise e parcelamento do solo (revalidar o parecer da CAPC; para esclarecer divergências constatadas na testada da Av. Marechal, entre a matrícula e a planta de retificação; comprovação da representatividade; matrícula atualizada, certidões simplificadas, breve relato)."/>
    <s v="Não se aplica"/>
    <s v="Jurídico Externo"/>
    <x v="1"/>
  </r>
  <r>
    <x v="168"/>
    <x v="1"/>
    <x v="0"/>
    <s v="ABEC"/>
    <s v="GM"/>
    <x v="1"/>
    <x v="0"/>
    <x v="92"/>
    <s v="Avenida Marechal Floriano Peixoto, 2.659 - Prado Velho."/>
    <x v="1"/>
    <x v="2"/>
    <x v="32"/>
    <n v="1"/>
    <d v="2019-11-06T00:00:00"/>
    <s v="CAPC solicita 1- A planta do terreno com a nova metragem, após a aprovação da subdivisão;_x000a__x000a_2- Alvará de Restauro atualizado, com projeto elaborado conforme o estabelecido no Decreto 543/2012, contemplando todas as edificações cadastradas como Unidade de Interesse de Preservação e as ampliações que forem passíveis de aprovação."/>
    <s v="Não se aplica"/>
    <s v="Jurídico Externo"/>
    <x v="1"/>
  </r>
  <r>
    <x v="168"/>
    <x v="1"/>
    <x v="0"/>
    <s v="ABEC"/>
    <s v="GM"/>
    <x v="1"/>
    <x v="0"/>
    <x v="92"/>
    <s v="Avenida Marechal Floriano Peixoto, 2.659 - Prado Velho."/>
    <x v="1"/>
    <x v="2"/>
    <x v="32"/>
    <n v="1"/>
    <d v="2019-11-27T00:00:00"/>
    <s v="Prefeitura identificou erro de digitação na planta, situação já superada e fim da análise prevista para 10/12/2019."/>
    <s v="Não se aplica"/>
    <s v="Jurídico Externo"/>
    <x v="1"/>
  </r>
  <r>
    <x v="168"/>
    <x v="1"/>
    <x v="0"/>
    <s v="ABEC"/>
    <s v="GM"/>
    <x v="1"/>
    <x v="0"/>
    <x v="92"/>
    <s v="Avenida Marechal Floriano Peixoto, 2.659 - Prado Velho."/>
    <x v="1"/>
    <x v="2"/>
    <x v="32"/>
    <n v="1"/>
    <d v="2020-01-09T00:00:00"/>
    <s v="01. Esclarecer quanto a divergência constatada ente prancha contendo a retificação, e respectiva matrícula retificada. Sendo que na planta retificada, a testada para a rua Rockefeller possui 355,02m enquanto que na matrícula está com 346,81m._x000a__x000a_- &quot; Se o registro ou a averbação, for omissa, imprecisa, ou não exprimir a verdade, a retificação será feita pelo Oficial do Registro de Imóveis competente, a requerimento do interessado, por meio do procedimento administrativo previsto no art. 213, facultado ao interessado requerer a retificação por meio de procedimento judicial.&quot;_x000a__x000a_02. Atender integralmente as solicitações efetuadas na prancha vistada em 07/10/2019 ._x000a__x000a_03. Retornar para nova análise."/>
    <s v="Não se aplica"/>
    <s v="Jurídico Externo"/>
    <x v="1"/>
  </r>
  <r>
    <x v="168"/>
    <x v="1"/>
    <x v="0"/>
    <s v="ABEC"/>
    <s v="GM"/>
    <x v="1"/>
    <x v="0"/>
    <x v="92"/>
    <s v="Avenida Marechal Floriano Peixoto, 2.659 - Prado Velho."/>
    <x v="1"/>
    <x v="2"/>
    <x v="32"/>
    <n v="1"/>
    <d v="2020-01-17T00:00:00"/>
    <s v="O protocolo perante a prefeitura teve movimentação, contudo teve novo parecer identificando nova inconsistência nas metragens da planta. Sendo necessária providências corretivas, da parte do responsável técnico.  O mesmo já possui ciência, todavia promoverá a correção em 20/01."/>
    <s v="Não se aplica"/>
    <s v="Jurídico Externo"/>
    <x v="1"/>
  </r>
  <r>
    <x v="168"/>
    <x v="1"/>
    <x v="0"/>
    <s v="ABEC"/>
    <s v="GM"/>
    <x v="1"/>
    <x v="0"/>
    <x v="92"/>
    <s v="Avenida Marechal Floriano Peixoto, 2.659 - Prado Velho."/>
    <x v="1"/>
    <x v="2"/>
    <x v="32"/>
    <n v="1"/>
    <d v="2020-02-17T00:00:00"/>
    <s v="O responsável técnico Rafael Vargas, corrigiu as inconsistências relatadas no relatório apresentado anteriormente e encaminhou para o escritório Gobbo e Guimarães. Também durante este período foram apresentados para pagamento pelo Grupo, o Termo de Responsabilidade Técnica, o documento de arrecadação do ISS e a taxa da prefeitura para desmembramento. Ainda a certidão imobiliária do imóvel não foi expedida com o status negativa, tendo em vista que encontrava-se em aberto a taxa de coleta de lixo. Entretanto quanto a esse aspecto já encontrava-se em andamento o protocolo perante a prefeitura de lançamento indevido da taxa, tendo em vista a existência de contrato de prestação de serviço com particular. Até a data de fechamento deste report referidos pagamentos não haviam sido processados. A priori após superado os pagamentos e apresentados os comprovantes o protocolo encaminhará para a fase de conclusão."/>
    <s v="Não se aplica"/>
    <s v="Jurídico Externo"/>
    <x v="1"/>
  </r>
  <r>
    <x v="168"/>
    <x v="1"/>
    <x v="0"/>
    <s v="ABEC"/>
    <s v="GM"/>
    <x v="1"/>
    <x v="0"/>
    <x v="92"/>
    <s v="Avenida Marechal Floriano Peixoto, 2.659 - Prado Velho."/>
    <x v="1"/>
    <x v="2"/>
    <x v="32"/>
    <n v="1"/>
    <d v="2020-03-13T00:00:00"/>
    <s v="Topógrafo disponibilizada o projeto para assinatura dos proprietários. Documento assinado pelo representante da APC e encaminhado para a procuradoria juridica da Pro-saude em São Paulo. De lá encaminhado para o Rio de Janeiro, local que o provedor despacha. No dia 13/03/2020 o documento estava assinado e a disposição para retirada em Curitiba. Na mesma data o escritório Gobbo e Guimarães retira a documentação da ISCMC e protocola na Prefeitura. Análise  com devolutiva por parte da prefeitura  programado para o dia 14/04/2020."/>
    <s v="Não se aplica"/>
    <s v="Jurídico Externo"/>
    <x v="1"/>
  </r>
  <r>
    <x v="168"/>
    <x v="1"/>
    <x v="0"/>
    <s v="ABEC"/>
    <s v="GM"/>
    <x v="1"/>
    <x v="0"/>
    <x v="92"/>
    <s v="Avenida Marechal Floriano Peixoto, 2.659 - Prado Velho."/>
    <x v="1"/>
    <x v="2"/>
    <x v="32"/>
    <n v="1"/>
    <d v="2020-04-17T00:00:00"/>
    <s v="Prefeitura não deu andamento no processo, tendo em vista a seguinte situação, um dos formulários foi preenchido, erroneamente, ao invés de o proprietário estar preenchido como o nome das empresas APC e ISCMC, foi preenchido com o nome dos representantes legais. Isto posto a documentação foi assinada pelo representante legal da APC e encaminhada para assinatura do representante legal da ISCMC. Documento foi devolvido pela ISCMC, encaminhado para o escritório Gobbo e Guimarães e novamente protocolizado na prefeitura. Aguarda-se a reanálise."/>
    <s v="Não se aplica"/>
    <s v="Jurídico Externo"/>
    <x v="1"/>
  </r>
  <r>
    <x v="168"/>
    <x v="1"/>
    <x v="0"/>
    <s v="ABEC"/>
    <s v="GM"/>
    <x v="1"/>
    <x v="0"/>
    <x v="92"/>
    <s v="Avenida Marechal Floriano Peixoto, 2.659 - Prado Velho."/>
    <x v="1"/>
    <x v="2"/>
    <x v="32"/>
    <n v="1"/>
    <d v="2020-05-11T00:00:00"/>
    <s v="Projeto aprovado. Aguardando liberação da retirada pela PMC para protocolar processo junto ao RI."/>
    <s v="Não se aplica"/>
    <s v="Jurídico Externo"/>
    <x v="1"/>
  </r>
  <r>
    <x v="168"/>
    <x v="1"/>
    <x v="0"/>
    <s v="ABEC"/>
    <s v="GM"/>
    <x v="1"/>
    <x v="0"/>
    <x v="92"/>
    <s v="Avenida Marechal Floriano Peixoto, 2.659 - Prado Velho."/>
    <x v="1"/>
    <x v="2"/>
    <x v="32"/>
    <n v="1"/>
    <d v="2020-06-16T00:00:00"/>
    <s v="Aguardando escritura de divisão amigável para entrada no RI. Ocorreu a definição entre o Dr. Giuliano e a Grasiela que a escritura seria lavrada no tabelionato do Barreirinha. "/>
    <s v="Não se aplica"/>
    <s v="Jurídico Externo"/>
    <x v="1"/>
  </r>
  <r>
    <x v="168"/>
    <x v="1"/>
    <x v="0"/>
    <s v="ABEC"/>
    <s v="GM"/>
    <x v="1"/>
    <x v="0"/>
    <x v="92"/>
    <s v="Avenida Marechal Floriano Peixoto, 2.659 - Prado Velho."/>
    <x v="1"/>
    <x v="2"/>
    <x v="32"/>
    <n v="1"/>
    <d v="2020-06-18T00:00:00"/>
    <s v="Dr. Giuliano, encaminha a minuta da escritura. A ISCMC por sua vez ficou de encaminhar a documentação institucional para complemento da minuta. "/>
    <s v="Não se aplica"/>
    <s v="Jurídico Externo"/>
    <x v="1"/>
  </r>
  <r>
    <x v="168"/>
    <x v="1"/>
    <x v="0"/>
    <s v="ABEC"/>
    <s v="GM"/>
    <x v="1"/>
    <x v="0"/>
    <x v="92"/>
    <s v="Avenida Marechal Floriano Peixoto, 2.659 - Prado Velho."/>
    <x v="1"/>
    <x v="2"/>
    <x v="32"/>
    <n v="1"/>
    <d v="2020-06-22T00:00:00"/>
    <s v="Procuradoria jurídica encaminha ao setor de patrimônio imobiliário, na pessoa de Grasiela a minuta validada, porém com dois apontamentos para eventuais correções. Grasiela, encaminha ao núcleo de regularizações para continuidade."/>
    <s v="Não se aplica"/>
    <s v="Jurídico Externo"/>
    <x v="1"/>
  </r>
  <r>
    <x v="168"/>
    <x v="1"/>
    <x v="0"/>
    <s v="ABEC"/>
    <s v="GM"/>
    <x v="1"/>
    <x v="0"/>
    <x v="92"/>
    <s v="Avenida Marechal Floriano Peixoto, 2.659 - Prado Velho."/>
    <x v="1"/>
    <x v="2"/>
    <x v="32"/>
    <n v="1"/>
    <d v="2020-06-30T00:00:00"/>
    <s v="Núcleo de regularizações encaminha a minuta ao escritório para esclarecimento e providências."/>
    <s v="Não se aplica"/>
    <s v="Jurídico Externo"/>
    <x v="1"/>
  </r>
  <r>
    <x v="168"/>
    <x v="1"/>
    <x v="0"/>
    <s v="ABEC"/>
    <s v="GM"/>
    <x v="1"/>
    <x v="0"/>
    <x v="92"/>
    <s v="Avenida Marechal Floriano Peixoto, 2.659 - Prado Velho."/>
    <x v="1"/>
    <x v="2"/>
    <x v="32"/>
    <n v="1"/>
    <d v="2020-07-16T00:00:00"/>
    <s v="Tabelionato devolveu a minuta da escritura ponderando que o artigo do estatuto informado não outorgava poderes para o representante legal da ABEC assinar isoladamente, razão pela qual estavam inseridos os nomes dos outros irmãos na minuta. Foi informado o artigo adequado, superando a questão. Entretanto ficou pendente a apresentação da ATA de autorização de subdivisão. A qual foi solicitada a PROJUR. "/>
    <s v="Não se aplica"/>
    <s v="Jurídico Externo"/>
    <x v="1"/>
  </r>
  <r>
    <x v="169"/>
    <x v="38"/>
    <x v="0"/>
    <s v="ABEC"/>
    <s v="PMBCS"/>
    <x v="33"/>
    <x v="3"/>
    <x v="82"/>
    <s v="Rua Justo Azambuja, 121 / 185 / 229 - Cambuci."/>
    <x v="1"/>
    <x v="1"/>
    <x v="8"/>
    <n v="1"/>
    <d v="2020-07-16T00:00:00"/>
    <s v="Processo de alteração de titularidade ainda não realizado."/>
    <s v="-"/>
    <s v="Jurídico Externo"/>
    <x v="1"/>
  </r>
  <r>
    <x v="170"/>
    <x v="1"/>
    <x v="0"/>
    <s v="ABEC"/>
    <s v="GM"/>
    <x v="1"/>
    <x v="0"/>
    <x v="93"/>
    <s v="Rua Rockefeller, 1.311, 1.325 e 1.337 - Rebouças."/>
    <x v="2"/>
    <x v="0"/>
    <x v="0"/>
    <n v="0"/>
    <m/>
    <s v="-"/>
    <s v="-"/>
    <s v="Verificar"/>
    <x v="1"/>
  </r>
  <r>
    <x v="171"/>
    <x v="43"/>
    <x v="0"/>
    <s v="ABEC"/>
    <s v="GM"/>
    <x v="38"/>
    <x v="0"/>
    <x v="94"/>
    <s v="Margens Rodovia BR-376 - Cumbica."/>
    <x v="1"/>
    <x v="2"/>
    <x v="32"/>
    <n v="1"/>
    <d v="2019-12-15T00:00:00"/>
    <s v="O autor veio aos autos e informou estar com dificuldade de localizar os coproprietários faltantes, solicitando a dilação de prazo, a fim de encontrar todos os faltantes. O autor novamente compareceu aos autos informando que a citação dos demais proprietários deverá ocorrer em nome dos herdeiros devido ao falecimento, apresentou os dados e endereço. Aguardamos determinação do juiz para a expedição e posterior citação dos coproprietários faltantes, e posterior decisão saneadora. "/>
    <s v="-"/>
    <s v="Jurídico Externo"/>
    <x v="1"/>
  </r>
  <r>
    <x v="171"/>
    <x v="43"/>
    <x v="0"/>
    <s v="ABEC"/>
    <s v="GM"/>
    <x v="38"/>
    <x v="0"/>
    <x v="94"/>
    <s v="Margens Rodovia BR-376 - Cumbica."/>
    <x v="1"/>
    <x v="2"/>
    <x v="32"/>
    <n v="1"/>
    <d v="2020-01-17T00:00:00"/>
    <s v="Ainda aguardando a determinação do juiz. Contudo, foi recebida a informação de licença maternidade da juíza. Sendo assim aguardando a indicação de novo juiz substituto para a vara."/>
    <s v="-"/>
    <s v="Jurídico Externo"/>
    <x v="1"/>
  </r>
  <r>
    <x v="171"/>
    <x v="43"/>
    <x v="0"/>
    <s v="ABEC"/>
    <s v="GM"/>
    <x v="38"/>
    <x v="0"/>
    <x v="94"/>
    <s v="Margens Rodovia BR-376 - Cumbica."/>
    <x v="1"/>
    <x v="2"/>
    <x v="32"/>
    <n v="1"/>
    <d v="2020-02-18T00:00:00"/>
    <s v="Ainda no aguardo da nomeação de novo juiz para a vara."/>
    <s v="-"/>
    <s v="Jurídico Externo"/>
    <x v="1"/>
  </r>
  <r>
    <x v="171"/>
    <x v="43"/>
    <x v="0"/>
    <s v="ABEC"/>
    <s v="GM"/>
    <x v="38"/>
    <x v="0"/>
    <x v="94"/>
    <s v="Margens Rodovia BR-376 - Cumbica."/>
    <x v="1"/>
    <x v="2"/>
    <x v="32"/>
    <n v="1"/>
    <d v="2019-07-22T00:00:00"/>
    <s v="Processo judicial, em que foi reiterado especificação de provas, reforçando a necessidade de prova pericial. Aguardando decisão saneadora. Em decisão o juiz considerou a alegação de ausência de citação de todos os coproprietários, e determinou a intimação do autor para a emenda a inicial com a inclusão de todos os nomeados na matrícula. Aguardamos cumprimento por parte do autor, e posterior citação dos coproprietários faltantes, e posterior decisão saneadora."/>
    <s v="-"/>
    <s v="Jurídico Externo"/>
    <x v="1"/>
  </r>
  <r>
    <x v="171"/>
    <x v="43"/>
    <x v="0"/>
    <s v="ABEC"/>
    <s v="GM"/>
    <x v="38"/>
    <x v="0"/>
    <x v="94"/>
    <s v="Margens Rodovia BR-376 - Cumbica."/>
    <x v="1"/>
    <x v="2"/>
    <x v="32"/>
    <n v="1"/>
    <d v="2020-03-16T00:00:00"/>
    <s v="Ainda no aguardo da nomeação de novo juiz para a vara."/>
    <s v="-"/>
    <s v="Jurídico Externo"/>
    <x v="1"/>
  </r>
  <r>
    <x v="171"/>
    <x v="43"/>
    <x v="0"/>
    <s v="ABEC"/>
    <s v="GM"/>
    <x v="38"/>
    <x v="0"/>
    <x v="94"/>
    <s v="Margens Rodovia BR-376 - Cumbica."/>
    <x v="1"/>
    <x v="2"/>
    <x v="32"/>
    <n v="1"/>
    <d v="2020-05-11T00:00:00"/>
    <s v="Determinado pelo Juiz aos autores a apresentação de certidões de óbito e providenciar a busca de inventário. Aguardando cumprimento do prazo dos autores."/>
    <s v="-"/>
    <s v="Jurídico Externo"/>
    <x v="1"/>
  </r>
  <r>
    <x v="171"/>
    <x v="43"/>
    <x v="0"/>
    <s v="ABEC"/>
    <s v="GM"/>
    <x v="38"/>
    <x v="0"/>
    <x v="94"/>
    <s v="Margens Rodovia BR-376 - Cumbica."/>
    <x v="1"/>
    <x v="2"/>
    <x v="32"/>
    <n v="1"/>
    <d v="2020-06-16T00:00:00"/>
    <s v="Juntada de Certidão de óbito pelos autores, aguardando decisão do Juiz."/>
    <s v="-"/>
    <s v="Jurídico Externo"/>
    <x v="1"/>
  </r>
  <r>
    <x v="171"/>
    <x v="43"/>
    <x v="0"/>
    <s v="ABEC"/>
    <s v="GM"/>
    <x v="38"/>
    <x v="0"/>
    <x v="94"/>
    <s v="Margens Rodovia BR-376 - Cumbica."/>
    <x v="1"/>
    <x v="2"/>
    <x v="32"/>
    <n v="1"/>
    <d v="2020-07-15T00:00:00"/>
    <s v="Sem alteração do último andamento para a data atual."/>
    <s v="-"/>
    <s v="Jurídico Externo"/>
    <x v="1"/>
  </r>
  <r>
    <x v="172"/>
    <x v="19"/>
    <x v="0"/>
    <s v="ABEC"/>
    <s v="PMBCS"/>
    <x v="39"/>
    <x v="3"/>
    <x v="95"/>
    <s v="Rod. Dr. Manoel Hyppolito do Rego - Jd. Indaiá."/>
    <x v="1"/>
    <x v="2"/>
    <x v="8"/>
    <n v="1"/>
    <d v="2019-10-15T00:00:00"/>
    <s v="Tramitando o pedido de atualização cadastral do novo RIP 29650100099-09, bem como enviado requerimento para certidão de emplacamento emitida pela PM Bertioga."/>
    <s v="-"/>
    <s v="Jurídico Externo"/>
    <x v="1"/>
  </r>
  <r>
    <x v="172"/>
    <x v="19"/>
    <x v="0"/>
    <s v="ABEC"/>
    <s v="PMBCS"/>
    <x v="39"/>
    <x v="3"/>
    <x v="95"/>
    <s v="Rod. Dr. Manoel Hyppolito do Rego - Jd. Indaiá."/>
    <x v="1"/>
    <x v="2"/>
    <x v="8"/>
    <n v="1"/>
    <d v="2019-12-15T00:00:00"/>
    <s v="Sem movimentação processual desde a última atualização até o presente momento."/>
    <s v="-"/>
    <s v="Jurídico Externo"/>
    <x v="1"/>
  </r>
  <r>
    <x v="172"/>
    <x v="19"/>
    <x v="0"/>
    <s v="ABEC"/>
    <s v="PMBCS"/>
    <x v="39"/>
    <x v="3"/>
    <x v="95"/>
    <s v="Rod. Dr. Manoel Hyppolito do Rego - Jd. Indaiá."/>
    <x v="1"/>
    <x v="2"/>
    <x v="8"/>
    <n v="1"/>
    <d v="2020-01-17T00:00:00"/>
    <s v="Sem movimentação processual desde a última atualização até o presente momento."/>
    <s v="-"/>
    <s v="Jurídico Externo"/>
    <x v="1"/>
  </r>
  <r>
    <x v="172"/>
    <x v="19"/>
    <x v="0"/>
    <s v="ABEC"/>
    <s v="PMBCS"/>
    <x v="39"/>
    <x v="3"/>
    <x v="95"/>
    <s v="Rod. Dr. Manoel Hyppolito do Rego - Jd. Indaiá."/>
    <x v="1"/>
    <x v="2"/>
    <x v="8"/>
    <n v="1"/>
    <d v="2020-02-17T00:00:00"/>
    <s v="Sem movimentação processual desde a última atualização até o presente momento."/>
    <s v="-"/>
    <s v="Jurídico Externo"/>
    <x v="1"/>
  </r>
  <r>
    <x v="172"/>
    <x v="19"/>
    <x v="0"/>
    <s v="ABEC"/>
    <s v="PMBCS"/>
    <x v="39"/>
    <x v="3"/>
    <x v="95"/>
    <s v="Rod. Dr. Manoel Hyppolito do Rego - Jd. Indaiá."/>
    <x v="1"/>
    <x v="2"/>
    <x v="8"/>
    <n v="1"/>
    <d v="2019-09-05T00:00:00"/>
    <s v="Será realizado o requerimento de aforamento não oneroso junto ao SPU."/>
    <s v="-"/>
    <s v="Jurídico Externo"/>
    <x v="1"/>
  </r>
  <r>
    <x v="172"/>
    <x v="19"/>
    <x v="0"/>
    <s v="ABEC"/>
    <s v="PMBCS"/>
    <x v="39"/>
    <x v="3"/>
    <x v="95"/>
    <s v="Rod. Dr. Manoel Hyppolito do Rego - Jd. Indaiá."/>
    <x v="1"/>
    <x v="2"/>
    <x v="8"/>
    <n v="1"/>
    <d v="2020-03-16T00:00:00"/>
    <s v="Sem movimentação processual desde a última atualização até o presente momento."/>
    <s v="-"/>
    <s v="Jurídico Externo"/>
    <x v="1"/>
  </r>
  <r>
    <x v="172"/>
    <x v="19"/>
    <x v="0"/>
    <s v="ABEC"/>
    <s v="PMBCS"/>
    <x v="39"/>
    <x v="3"/>
    <x v="95"/>
    <s v="Rod. Dr. Manoel Hyppolito do Rego - Jd. Indaiá."/>
    <x v="1"/>
    <x v="2"/>
    <x v="8"/>
    <n v="1"/>
    <d v="2020-04-17T00:00:00"/>
    <s v="Sem movimentação processual desde a última atualização até o presente momento."/>
    <s v="-"/>
    <s v="Jurídico Externo"/>
    <x v="1"/>
  </r>
  <r>
    <x v="172"/>
    <x v="19"/>
    <x v="0"/>
    <s v="ABEC"/>
    <s v="PMBCS"/>
    <x v="39"/>
    <x v="3"/>
    <x v="95"/>
    <s v="Rod. Dr. Manoel Hyppolito do Rego - Jd. Indaiá."/>
    <x v="1"/>
    <x v="2"/>
    <x v="8"/>
    <n v="1"/>
    <d v="2020-05-11T00:00:00"/>
    <s v="Sem movimentação processual desde a última atualização até o presente momento."/>
    <s v="-"/>
    <s v="Jurídico Externo"/>
    <x v="1"/>
  </r>
  <r>
    <x v="172"/>
    <x v="19"/>
    <x v="0"/>
    <s v="ABEC"/>
    <s v="PMBCS"/>
    <x v="39"/>
    <x v="3"/>
    <x v="95"/>
    <s v="Rod. Dr. Manoel Hyppolito do Rego - Jd. Indaiá."/>
    <x v="1"/>
    <x v="2"/>
    <x v="8"/>
    <n v="1"/>
    <d v="2020-06-16T00:00:00"/>
    <s v="Liberado o acesso ao cadastro do novo RIP 29650100099-09, mas devido a pandemia do SARS COV 2 - COVID 19 a Secretaria de Patrimônio da União, continua em trabalho remoto, não sendo possível requerer o interior teor do processo para encaminhamento ao munícipio de Bertioga para requerer a nova certidão de emplacamento. Foram realizados vários contatos por telefone e enviado e-mail, mas ainda sem resposta."/>
    <s v="-"/>
    <s v="Jurídico Externo"/>
    <x v="1"/>
  </r>
  <r>
    <x v="172"/>
    <x v="19"/>
    <x v="0"/>
    <s v="ABEC"/>
    <s v="PMBCS"/>
    <x v="39"/>
    <x v="3"/>
    <x v="95"/>
    <s v="Rod. Dr. Manoel Hyppolito do Rego - Jd. Indaiá."/>
    <x v="1"/>
    <x v="1"/>
    <x v="8"/>
    <n v="1"/>
    <d v="2020-07-16T00:00:00"/>
    <s v="Ainda faltam dados no novo cadastro do RIP ativo RIP 29650100099-09 é preciso o interior teor do processo, para requerer a nova certidão de emplacamento. A SPU continua em trabalho remoto. O último contato com a servidora não tinha acesso a computador na sua residencia."/>
    <s v="-"/>
    <s v="Jurídico Externo"/>
    <x v="1"/>
  </r>
  <r>
    <x v="173"/>
    <x v="7"/>
    <x v="0"/>
    <s v="-"/>
    <s v="GM"/>
    <x v="6"/>
    <x v="0"/>
    <x v="96"/>
    <s v="-"/>
    <x v="1"/>
    <x v="2"/>
    <x v="8"/>
    <n v="1"/>
    <d v="2020-06-23T00:00:00"/>
    <s v="Núcleo de Regularizações, informa a gerente de Patrimônio Imobiliário sobre a irregularidade em aberto. A gerente de Patrimônio Imobiliário, direciona o assunto a gerente da Procuradoria Jurídica, solicitando atualização."/>
    <s v="-"/>
    <s v="GPI"/>
    <x v="1"/>
  </r>
  <r>
    <x v="173"/>
    <x v="7"/>
    <x v="0"/>
    <s v="-"/>
    <s v="GM"/>
    <x v="6"/>
    <x v="0"/>
    <x v="96"/>
    <s v="-"/>
    <x v="1"/>
    <x v="2"/>
    <x v="5"/>
    <n v="1"/>
    <d v="2020-06-15T00:00:00"/>
    <s v="Este caso foi ativado para inserir as providências quanto a situação do cadastro tendo em vista a entrega da obrigação ter sido feita em nome da APC e também para acompanhar o caso da transferência da propriedade, tendo em vista a desapropriação do município de Tijucas do Sul. Razão pela qual foi demandado ao Alaor a emissão de certidão para certificar se por ventura o município havia tomado alguma providência neste sentido."/>
    <s v="-"/>
    <s v="GPI"/>
    <x v="1"/>
  </r>
  <r>
    <x v="173"/>
    <x v="7"/>
    <x v="0"/>
    <s v="-"/>
    <s v="GM"/>
    <x v="6"/>
    <x v="0"/>
    <x v="96"/>
    <s v="-"/>
    <x v="1"/>
    <x v="2"/>
    <x v="8"/>
    <n v="1"/>
    <d v="2020-07-15T00:00:00"/>
    <s v="Tendo em vista ausência de manifestação acerca da atualização. Núcleo de Regularizações, toma providência reforçando o pedido diretamente a gerente da Procuradoría Jurídica."/>
    <s v="-"/>
    <s v="GPI"/>
    <x v="1"/>
  </r>
  <r>
    <x v="173"/>
    <x v="7"/>
    <x v="0"/>
    <s v="-"/>
    <s v="GM"/>
    <x v="6"/>
    <x v="0"/>
    <x v="96"/>
    <s v="-"/>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174"/>
    <x v="34"/>
    <x v="0"/>
    <s v="ABEC"/>
    <s v="PMBCS"/>
    <x v="30"/>
    <x v="3"/>
    <x v="66"/>
    <s v="Estrada da Biquinha, ref. Rodovia Presidente Dutra, Km 190,5 - Cachoeirinha."/>
    <x v="1"/>
    <x v="1"/>
    <x v="8"/>
    <n v="1"/>
    <d v="2020-07-16T00:00:00"/>
    <s v="Processo de alteração de titularidade ainda não realizado."/>
    <s v="-"/>
    <s v="Jurídico Externo"/>
    <x v="1"/>
  </r>
  <r>
    <x v="174"/>
    <x v="34"/>
    <x v="0"/>
    <s v="ABEC"/>
    <s v="PMBCS"/>
    <x v="30"/>
    <x v="3"/>
    <x v="66"/>
    <s v="Estrada da Biquinha, ref. Rodovia Presidente Dutra, Km 190,5 - Cachoeirinha."/>
    <x v="1"/>
    <x v="2"/>
    <x v="5"/>
    <n v="1"/>
    <d v="2020-06-15T00:00:00"/>
    <s v="O apontamento em relatório da empresa Ecco Ambiental é de que durante o último mês, não ocorreu nenhuma movimentação por parte do órgão no sentido de análise do cadastro."/>
    <s v="-"/>
    <s v="GPI"/>
    <x v="1"/>
  </r>
  <r>
    <x v="174"/>
    <x v="34"/>
    <x v="0"/>
    <s v="ABEC"/>
    <s v="PMBCS"/>
    <x v="30"/>
    <x v="3"/>
    <x v="66"/>
    <s v="Estrada da Biquinha, ref. Rodovia Presidente Dutra, Km 190,5 - Cachoeirinha."/>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175"/>
    <x v="6"/>
    <x v="0"/>
    <s v="ABEC"/>
    <s v="PMBCS"/>
    <x v="1"/>
    <x v="0"/>
    <x v="16"/>
    <s v="Rua Prof. Joaquim de Matos Barreto, nº 98 - São Lourenço."/>
    <x v="1"/>
    <x v="1"/>
    <x v="8"/>
    <n v="1"/>
    <d v="2020-07-16T00:00:00"/>
    <s v="Processo de alteração de titularidade ainda não realizado."/>
    <s v="-"/>
    <s v="Jurídico Externo"/>
    <x v="1"/>
  </r>
  <r>
    <x v="176"/>
    <x v="30"/>
    <x v="0"/>
    <s v="APC"/>
    <s v="GM"/>
    <x v="27"/>
    <x v="0"/>
    <x v="45"/>
    <s v="Rua General Carneiro - Prado Velho."/>
    <x v="2"/>
    <x v="0"/>
    <x v="0"/>
    <n v="0"/>
    <d v="2020-03-10T00:00:00"/>
    <s v="Administração de patrimônio da Mitra Diocesana de Paranaguá, autoriza o serviço jurídico da Condovel, empresa responsável pela administração das salas comerciais objeto da permuta. 19/08_ Escritura em fase de análise e aguardando apresentação de CND's"/>
    <s v="-"/>
    <s v="GPI"/>
    <x v="10"/>
  </r>
  <r>
    <x v="176"/>
    <x v="30"/>
    <x v="0"/>
    <s v="APC"/>
    <s v="GM"/>
    <x v="27"/>
    <x v="0"/>
    <x v="45"/>
    <s v="Rua General Carneiro - Prado Velho."/>
    <x v="2"/>
    <x v="2"/>
    <x v="33"/>
    <n v="0"/>
    <d v="2020-05-12T00:00:00"/>
    <s v="Condovel recebe a documentação correta da Mitra para notificação dos locatários, tendo em vista os mesmos não terem desocupado as salas amigavelmente."/>
    <s v="-"/>
    <s v="GPI"/>
    <x v="1"/>
  </r>
  <r>
    <x v="176"/>
    <x v="30"/>
    <x v="0"/>
    <s v="APC"/>
    <s v="GM"/>
    <x v="27"/>
    <x v="0"/>
    <x v="45"/>
    <s v="Rua General Carneiro - Prado Velho."/>
    <x v="2"/>
    <x v="2"/>
    <x v="33"/>
    <n v="0"/>
    <d v="2020-06-10T00:00:00"/>
    <s v="Tendo em vista a ausência de notícias, encaminhado e-mail para a Condovel pedindo informações a respeito de possíveis evoluções."/>
    <s v="-"/>
    <s v="GPI"/>
    <x v="1"/>
  </r>
  <r>
    <x v="176"/>
    <x v="30"/>
    <x v="0"/>
    <s v="APC"/>
    <s v="GM"/>
    <x v="27"/>
    <x v="0"/>
    <x v="45"/>
    <s v="Rua General Carneiro - Prado Velho."/>
    <x v="2"/>
    <x v="2"/>
    <x v="33"/>
    <n v="0"/>
    <d v="2020-07-06T00:00:00"/>
    <s v="Empresa Condovel, reestabelece contato informando que estão de posse das chaves. Questionado a Diocese mediante o avanço do assunto se podemos avançar com a permuta. Encaminhado mensagem a Natasha para verificar quais documentos estavam pendentes para prosseguir com o assunto. "/>
    <s v="-"/>
    <s v="GPI"/>
    <x v="1"/>
  </r>
  <r>
    <x v="176"/>
    <x v="30"/>
    <x v="0"/>
    <s v="APC"/>
    <s v="GM"/>
    <x v="27"/>
    <x v="0"/>
    <x v="45"/>
    <s v="Rua General Carneiro - Prado Velho."/>
    <x v="2"/>
    <x v="2"/>
    <x v="33"/>
    <n v="0"/>
    <d v="2020-08-13T00:00:00"/>
    <s v="Minuta da Escritura de Permuta em andamento e aguardando retorno das CND's das partes, bem como Imunidade de ITBI"/>
    <s v="-"/>
    <s v="GPI"/>
    <x v="1"/>
  </r>
  <r>
    <x v="177"/>
    <x v="44"/>
    <x v="0"/>
    <s v="ABEC"/>
    <s v="GM"/>
    <x v="40"/>
    <x v="3"/>
    <x v="97"/>
    <s v="Estrada Almada, s/n - Almada."/>
    <x v="2"/>
    <x v="0"/>
    <x v="0"/>
    <n v="0"/>
    <m/>
    <s v="-"/>
    <s v="-"/>
    <s v="Verificar"/>
    <x v="1"/>
  </r>
  <r>
    <x v="178"/>
    <x v="44"/>
    <x v="0"/>
    <s v="ABEC"/>
    <s v="GM"/>
    <x v="40"/>
    <x v="3"/>
    <x v="98"/>
    <s v="Estrada Almada, s/n - Almada."/>
    <x v="2"/>
    <x v="0"/>
    <x v="0"/>
    <n v="0"/>
    <m/>
    <s v="-"/>
    <s v="-"/>
    <s v="Verificar"/>
    <x v="1"/>
  </r>
  <r>
    <x v="179"/>
    <x v="11"/>
    <x v="0"/>
    <s v="ABEC"/>
    <s v="PMBCS"/>
    <x v="10"/>
    <x v="0"/>
    <x v="99"/>
    <s v="Avenida Israel, nº 54 - Jd. Santa Mônica."/>
    <x v="1"/>
    <x v="1"/>
    <x v="8"/>
    <n v="1"/>
    <d v="2020-07-16T00:00:00"/>
    <s v="Processo de alteração de titularidade ainda não realizado."/>
    <s v="-"/>
    <s v="Jurídico Externo"/>
    <x v="1"/>
  </r>
  <r>
    <x v="180"/>
    <x v="6"/>
    <x v="0"/>
    <s v="ABEC"/>
    <s v="PMBCS"/>
    <x v="1"/>
    <x v="0"/>
    <x v="16"/>
    <s v="Rua Prof. Joaquim de Matos Barreto, nº 98 - São Lourenço."/>
    <x v="1"/>
    <x v="1"/>
    <x v="8"/>
    <n v="1"/>
    <d v="2020-07-16T00:00:00"/>
    <s v="Processo de alteração de titularidade ainda não realizado."/>
    <s v="-"/>
    <s v="Jurídico Externo"/>
    <x v="1"/>
  </r>
  <r>
    <x v="181"/>
    <x v="27"/>
    <x v="0"/>
    <s v="UCE"/>
    <s v="GM"/>
    <x v="25"/>
    <x v="1"/>
    <x v="100"/>
    <s v="Rua Mal. Deodoro, nº 159 - Centro."/>
    <x v="1"/>
    <x v="2"/>
    <x v="34"/>
    <n v="1"/>
    <d v="2020-06-16T00:00:00"/>
    <s v="O núcleo de regularizações havia se proposto em reestabelecer contato com o Grupo de Escoteiro, tendo em vista o êxito alcançado anteriormente com o assunto  situação fiscal do imóvel, para negociar eventual permuta do imóvel, tendo em vista a cláusula de inalienabilidade gravada na matrícula. Todavia foi informado oralmente pela gerente de Patrimônio Imobiliário, que o representante legal da UCE (Ir. Délcio), conduzirá pessoalmente a negociação."/>
    <s v="-"/>
    <s v="GPI"/>
    <x v="1"/>
  </r>
  <r>
    <x v="181"/>
    <x v="27"/>
    <x v="0"/>
    <s v="UCE"/>
    <s v="GM"/>
    <x v="25"/>
    <x v="1"/>
    <x v="100"/>
    <s v="Rua Mal. Deodoro, nº 159 - Centro."/>
    <x v="1"/>
    <x v="5"/>
    <x v="8"/>
    <n v="1"/>
    <d v="2020-03-05T00:00:00"/>
    <s v="Este caso integra a cisão II, conforme e-mail encaminhado pela gestora de Patrimônio Imobiliário ao núcleo de regularizações."/>
    <s v="-"/>
    <s v="GPI"/>
    <x v="1"/>
  </r>
  <r>
    <x v="181"/>
    <x v="27"/>
    <x v="0"/>
    <s v="UCE"/>
    <s v="GM"/>
    <x v="25"/>
    <x v="1"/>
    <x v="100"/>
    <s v="Rua Mal. Deodoro, nº 159 - Centro."/>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GPI"/>
    <x v="1"/>
  </r>
  <r>
    <x v="181"/>
    <x v="27"/>
    <x v="0"/>
    <s v="UCE"/>
    <s v="GM"/>
    <x v="25"/>
    <x v="1"/>
    <x v="100"/>
    <s v="Rua Mal. Deodoro, nº 159 - Centro."/>
    <x v="1"/>
    <x v="5"/>
    <x v="8"/>
    <n v="1"/>
    <d v="2020-06-10T00:00:00"/>
    <s v="Núcleo de regularizações retoma a solicitação de informações a gestora de patrimônio imobiliário, quanto a Ata."/>
    <s v="-"/>
    <s v="GPI"/>
    <x v="1"/>
  </r>
  <r>
    <x v="181"/>
    <x v="27"/>
    <x v="0"/>
    <s v="UCE"/>
    <s v="GM"/>
    <x v="25"/>
    <x v="1"/>
    <x v="100"/>
    <s v="Rua Mal. Deodoro, nº 159 - Centro."/>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GPI"/>
    <x v="1"/>
  </r>
  <r>
    <x v="181"/>
    <x v="27"/>
    <x v="0"/>
    <s v="UCE"/>
    <s v="GM"/>
    <x v="25"/>
    <x v="1"/>
    <x v="100"/>
    <s v="Rua Mal. Deodoro, nº 159 - Centro."/>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GPI"/>
    <x v="1"/>
  </r>
  <r>
    <x v="181"/>
    <x v="27"/>
    <x v="0"/>
    <s v="UCE"/>
    <s v="GM"/>
    <x v="25"/>
    <x v="1"/>
    <x v="100"/>
    <s v="Rua Mal. Deodoro, nº 159 - Centro."/>
    <x v="1"/>
    <x v="5"/>
    <x v="8"/>
    <n v="1"/>
    <d v="2020-07-02T00:00:00"/>
    <s v="Núcleo de regularizações retoma a solicitação de informações junto a PROJUR, na pessoa da Sra. Crislei."/>
    <s v="-"/>
    <s v="GPI"/>
    <x v="1"/>
  </r>
  <r>
    <x v="182"/>
    <x v="38"/>
    <x v="0"/>
    <s v="ABEC"/>
    <s v="PMBCS"/>
    <x v="33"/>
    <x v="3"/>
    <x v="82"/>
    <s v="Rua Justo Azambuja, 121 / 185 / 229 - Cambuci."/>
    <x v="1"/>
    <x v="1"/>
    <x v="8"/>
    <n v="1"/>
    <m/>
    <s v="-"/>
    <s v="-"/>
    <s v="Jurídico Externo"/>
    <x v="1"/>
  </r>
  <r>
    <x v="182"/>
    <x v="38"/>
    <x v="0"/>
    <s v="ABEC"/>
    <s v="PMBCS"/>
    <x v="33"/>
    <x v="3"/>
    <x v="82"/>
    <s v="Rua Justo Azambuja, 121 / 185 / 229 - Cambuci."/>
    <x v="1"/>
    <x v="2"/>
    <x v="12"/>
    <n v="1"/>
    <m/>
    <s v="-"/>
    <s v="-"/>
    <s v="Jurídico Externo"/>
    <x v="1"/>
  </r>
  <r>
    <x v="183"/>
    <x v="27"/>
    <x v="0"/>
    <s v="UCE"/>
    <s v="PMBCS"/>
    <x v="25"/>
    <x v="1"/>
    <x v="43"/>
    <s v="Rua Herculano Coelho de Souza, 1157 - Reunidas."/>
    <x v="1"/>
    <x v="2"/>
    <x v="21"/>
    <n v="1"/>
    <d v="2020-03-12T00:00:00"/>
    <s v="A unificação deste imóvel juntamente aos imóveis das matrículas de n.º 9.469 e 13.582 é uma obrigação contratual da Loteadora D´Agostini. Nesta data o núcleo de regularizações pede informações a gestora do patrimônio imobiliário acerca do assunto. Gestora do Patrimônio Imobiliário informa que no dia 13/03/2020 fará uma reunião com a Loteadora D´Agostini e a Projur - Marista. Pedindo para que ficasse no aguardo de novas informações."/>
    <s v="-"/>
    <s v="GPI"/>
    <x v="1"/>
  </r>
  <r>
    <x v="183"/>
    <x v="27"/>
    <x v="0"/>
    <s v="UCE"/>
    <s v="PMBCS"/>
    <x v="25"/>
    <x v="1"/>
    <x v="43"/>
    <s v="Rua Herculano Coelho de Souza, 1157 - Reunidas."/>
    <x v="1"/>
    <x v="2"/>
    <x v="21"/>
    <n v="1"/>
    <d v="2020-07-02T00:00:00"/>
    <s v="Núcleo de regularizações retoma a solicitação de informações junto a gestora do patrimônio imobiliário."/>
    <s v="-"/>
    <s v="GPI"/>
    <x v="1"/>
  </r>
  <r>
    <x v="183"/>
    <x v="27"/>
    <x v="0"/>
    <s v="UCE"/>
    <s v="PMBCS"/>
    <x v="25"/>
    <x v="1"/>
    <x v="43"/>
    <s v="Rua Herculano Coelho de Souza, 1157 - Reunidas."/>
    <x v="1"/>
    <x v="5"/>
    <x v="8"/>
    <n v="1"/>
    <d v="2020-03-05T00:00:00"/>
    <s v="Este caso integra a cisão II, conforme e-mail encaminhado pela gestora de Patrimônio Imobiliário ao núcleo de regularizações."/>
    <s v="-"/>
    <s v="GPI"/>
    <x v="1"/>
  </r>
  <r>
    <x v="183"/>
    <x v="27"/>
    <x v="0"/>
    <s v="UCE"/>
    <s v="PMBCS"/>
    <x v="25"/>
    <x v="1"/>
    <x v="43"/>
    <s v="Rua Herculano Coelho de Souza, 1157 - Reunidas."/>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GPI"/>
    <x v="1"/>
  </r>
  <r>
    <x v="183"/>
    <x v="27"/>
    <x v="0"/>
    <s v="UCE"/>
    <s v="PMBCS"/>
    <x v="25"/>
    <x v="1"/>
    <x v="43"/>
    <s v="Rua Herculano Coelho de Souza, 1157 - Reunidas."/>
    <x v="1"/>
    <x v="5"/>
    <x v="8"/>
    <n v="1"/>
    <d v="2020-06-10T00:00:00"/>
    <s v="Núcleo de regularizações retoma a solicitação de informações a gestora de patrimônio imobiliário, quanto a Ata."/>
    <s v="-"/>
    <s v="GPI"/>
    <x v="1"/>
  </r>
  <r>
    <x v="183"/>
    <x v="27"/>
    <x v="0"/>
    <s v="UCE"/>
    <s v="PMBCS"/>
    <x v="25"/>
    <x v="1"/>
    <x v="43"/>
    <s v="Rua Herculano Coelho de Souza, 1157 - Reunidas."/>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GPI"/>
    <x v="1"/>
  </r>
  <r>
    <x v="183"/>
    <x v="27"/>
    <x v="0"/>
    <s v="UCE"/>
    <s v="PMBCS"/>
    <x v="25"/>
    <x v="1"/>
    <x v="43"/>
    <s v="Rua Herculano Coelho de Souza, 1157 - Reunidas."/>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GPI"/>
    <x v="1"/>
  </r>
  <r>
    <x v="183"/>
    <x v="27"/>
    <x v="0"/>
    <s v="UCE"/>
    <s v="PMBCS"/>
    <x v="25"/>
    <x v="1"/>
    <x v="43"/>
    <s v="Rua Herculano Coelho de Souza, 1157 - Reunidas."/>
    <x v="1"/>
    <x v="5"/>
    <x v="8"/>
    <n v="1"/>
    <d v="2020-07-02T00:00:00"/>
    <s v="Núcleo de regularizações retoma a solicitação de informações junto a PROJUR, na pessoa da Sra. Crislei."/>
    <s v="-"/>
    <s v="GPI"/>
    <x v="1"/>
  </r>
  <r>
    <x v="184"/>
    <x v="45"/>
    <x v="0"/>
    <s v="ABEC"/>
    <s v="PMBCS"/>
    <x v="10"/>
    <x v="0"/>
    <x v="77"/>
    <s v="Rua Rodrigues Albes, nº 701 - Jd. Carvalho."/>
    <x v="1"/>
    <x v="1"/>
    <x v="8"/>
    <n v="1"/>
    <d v="2020-07-16T00:00:00"/>
    <s v="Processo de alteração de titularidade ainda não realizado."/>
    <s v="-"/>
    <s v="Jurídico Externo"/>
    <x v="1"/>
  </r>
  <r>
    <x v="185"/>
    <x v="46"/>
    <x v="0"/>
    <s v="APC"/>
    <s v="GM"/>
    <x v="41"/>
    <x v="0"/>
    <x v="101"/>
    <s v="Rua do Campo - Caieiras."/>
    <x v="2"/>
    <x v="0"/>
    <x v="0"/>
    <n v="0"/>
    <m/>
    <s v="-"/>
    <s v="-"/>
    <s v="Verificar"/>
    <x v="1"/>
  </r>
  <r>
    <x v="186"/>
    <x v="47"/>
    <x v="0"/>
    <s v="ABEC"/>
    <s v="PMBCS"/>
    <x v="42"/>
    <x v="8"/>
    <x v="102"/>
    <s v="Rua Barão de Igarassú, nº 35 - Santo Amaro."/>
    <x v="1"/>
    <x v="1"/>
    <x v="8"/>
    <n v="1"/>
    <m/>
    <s v="-"/>
    <s v="-"/>
    <s v="Jurídico Externo"/>
    <x v="1"/>
  </r>
  <r>
    <x v="187"/>
    <x v="47"/>
    <x v="0"/>
    <s v="ABEC"/>
    <s v="PMBCS"/>
    <x v="42"/>
    <x v="8"/>
    <x v="102"/>
    <s v="Rua Barão de Igarassú, nº 35 - Santo Amaro."/>
    <x v="1"/>
    <x v="1"/>
    <x v="8"/>
    <n v="1"/>
    <m/>
    <s v="-"/>
    <s v="-"/>
    <s v="Jurídico Externo"/>
    <x v="1"/>
  </r>
  <r>
    <x v="188"/>
    <x v="47"/>
    <x v="0"/>
    <s v="ABEC"/>
    <s v="PMBCS"/>
    <x v="42"/>
    <x v="8"/>
    <x v="102"/>
    <s v="Rua Barão de Igarassú, nº 35 - Santo Amaro."/>
    <x v="1"/>
    <x v="1"/>
    <x v="8"/>
    <n v="1"/>
    <m/>
    <s v="-"/>
    <s v="-"/>
    <s v="Jurídico Externo"/>
    <x v="1"/>
  </r>
  <r>
    <x v="189"/>
    <x v="47"/>
    <x v="0"/>
    <s v="ABEC"/>
    <s v="PMBCS"/>
    <x v="42"/>
    <x v="8"/>
    <x v="102"/>
    <s v="Rua Barão de Igarassú, nº 35 - Santo Amaro."/>
    <x v="1"/>
    <x v="1"/>
    <x v="8"/>
    <n v="1"/>
    <m/>
    <s v="-"/>
    <s v="-"/>
    <s v="Jurídico Externo"/>
    <x v="1"/>
  </r>
  <r>
    <x v="190"/>
    <x v="47"/>
    <x v="0"/>
    <s v="ABEC"/>
    <s v="PMBCS"/>
    <x v="42"/>
    <x v="8"/>
    <x v="102"/>
    <s v="Rua Barão de Igarassú, nº 35 - Santo Amaro."/>
    <x v="1"/>
    <x v="1"/>
    <x v="8"/>
    <n v="1"/>
    <m/>
    <s v="-"/>
    <s v="-"/>
    <s v="Jurídico Externo"/>
    <x v="1"/>
  </r>
  <r>
    <x v="191"/>
    <x v="47"/>
    <x v="0"/>
    <s v="ABEC"/>
    <s v="PMBCS"/>
    <x v="42"/>
    <x v="8"/>
    <x v="102"/>
    <s v="Rua Barão de Igarassú, nº 35 - Santo Amaro."/>
    <x v="1"/>
    <x v="1"/>
    <x v="8"/>
    <n v="1"/>
    <m/>
    <s v="-"/>
    <s v="-"/>
    <s v="Jurídico Externo"/>
    <x v="1"/>
  </r>
  <r>
    <x v="192"/>
    <x v="20"/>
    <x v="0"/>
    <s v="ABEC"/>
    <s v="PMBCS"/>
    <x v="18"/>
    <x v="0"/>
    <x v="103"/>
    <s v="Rua Marcelino Champagnat, 308 - Centro."/>
    <x v="1"/>
    <x v="2"/>
    <x v="21"/>
    <n v="1"/>
    <d v="2019-12-15T00:00:00"/>
    <s v="Processo sem evolução."/>
    <s v="-"/>
    <s v="Jurídico Externo"/>
    <x v="1"/>
  </r>
  <r>
    <x v="192"/>
    <x v="20"/>
    <x v="0"/>
    <s v="ABEC"/>
    <s v="PMBCS"/>
    <x v="18"/>
    <x v="0"/>
    <x v="103"/>
    <s v="Rua Marcelino Champagnat, 308 - Centro."/>
    <x v="0"/>
    <x v="0"/>
    <x v="0"/>
    <n v="0"/>
    <m/>
    <s v="Registro de imóveis não acolheu a documentação, tendo em vista a necessidade do comparecimento pessoal no cartório. Documentação foi recolhida pela unidade de Itapejara (Lucas), encontra-se disponível para atender as exigências."/>
    <s v="-"/>
    <s v="Jurídico Externo"/>
    <x v="19"/>
  </r>
  <r>
    <x v="193"/>
    <x v="20"/>
    <x v="0"/>
    <s v="ABEC"/>
    <s v="PMBCS"/>
    <x v="18"/>
    <x v="0"/>
    <x v="103"/>
    <s v="Rua Marcelino Champagnat, 308 - Centro."/>
    <x v="0"/>
    <x v="0"/>
    <x v="0"/>
    <n v="0"/>
    <m/>
    <s v="-"/>
    <s v="-"/>
    <s v="Jurídico Externo"/>
    <x v="19"/>
  </r>
  <r>
    <x v="193"/>
    <x v="20"/>
    <x v="0"/>
    <s v="ABEC"/>
    <s v="PMBCS"/>
    <x v="18"/>
    <x v="0"/>
    <x v="103"/>
    <s v="Rua Marcelino Champagnat, 308 - Centro."/>
    <x v="1"/>
    <x v="2"/>
    <x v="21"/>
    <n v="1"/>
    <m/>
    <s v="-"/>
    <s v="-"/>
    <s v="GPI"/>
    <x v="1"/>
  </r>
  <r>
    <x v="194"/>
    <x v="20"/>
    <x v="0"/>
    <s v="ABEC"/>
    <s v="PMBCS"/>
    <x v="18"/>
    <x v="0"/>
    <x v="103"/>
    <s v="Rua Marcelino Champagnat, 308 - Centro."/>
    <x v="0"/>
    <x v="0"/>
    <x v="0"/>
    <n v="0"/>
    <m/>
    <s v="-"/>
    <s v="-"/>
    <s v="Jurídico Externo"/>
    <x v="19"/>
  </r>
  <r>
    <x v="194"/>
    <x v="20"/>
    <x v="0"/>
    <s v="ABEC"/>
    <s v="PMBCS"/>
    <x v="18"/>
    <x v="0"/>
    <x v="103"/>
    <s v="Rua Marcelino Champagnat, 308 - Centro."/>
    <x v="1"/>
    <x v="2"/>
    <x v="21"/>
    <n v="1"/>
    <m/>
    <s v="-"/>
    <s v="-"/>
    <s v="GPI"/>
    <x v="1"/>
  </r>
  <r>
    <x v="195"/>
    <x v="20"/>
    <x v="0"/>
    <s v="ABEC"/>
    <s v="PMBCS"/>
    <x v="18"/>
    <x v="0"/>
    <x v="103"/>
    <s v="Rua Marcelino Champagnat, 308 - Centro."/>
    <x v="0"/>
    <x v="0"/>
    <x v="0"/>
    <n v="0"/>
    <m/>
    <s v="-"/>
    <s v="-"/>
    <s v="Jurídico Externo"/>
    <x v="19"/>
  </r>
  <r>
    <x v="195"/>
    <x v="20"/>
    <x v="0"/>
    <s v="ABEC"/>
    <s v="PMBCS"/>
    <x v="18"/>
    <x v="0"/>
    <x v="103"/>
    <s v="Rua Marcelino Champagnat, 308 - Centro."/>
    <x v="1"/>
    <x v="2"/>
    <x v="21"/>
    <n v="1"/>
    <m/>
    <s v="-"/>
    <s v="-"/>
    <s v="GPI"/>
    <x v="1"/>
  </r>
  <r>
    <x v="196"/>
    <x v="20"/>
    <x v="0"/>
    <s v="ABEC"/>
    <s v="PMBCS"/>
    <x v="18"/>
    <x v="0"/>
    <x v="103"/>
    <s v="Rua Marcelino Champagnat, 308 - Centro."/>
    <x v="0"/>
    <x v="0"/>
    <x v="0"/>
    <n v="0"/>
    <m/>
    <s v="-"/>
    <s v="-"/>
    <s v="Jurídico Externo"/>
    <x v="19"/>
  </r>
  <r>
    <x v="196"/>
    <x v="20"/>
    <x v="0"/>
    <s v="ABEC"/>
    <s v="PMBCS"/>
    <x v="18"/>
    <x v="0"/>
    <x v="103"/>
    <s v="Rua Marcelino Champagnat, 308 - Centro."/>
    <x v="1"/>
    <x v="2"/>
    <x v="21"/>
    <n v="1"/>
    <m/>
    <s v="-"/>
    <s v="-"/>
    <s v="GPI"/>
    <x v="1"/>
  </r>
  <r>
    <x v="197"/>
    <x v="11"/>
    <x v="0"/>
    <s v="ABEC"/>
    <s v="PMBCS"/>
    <x v="10"/>
    <x v="0"/>
    <x v="99"/>
    <s v="Avenida Israel, nº 54 - Jd. Santa Mônica."/>
    <x v="1"/>
    <x v="1"/>
    <x v="8"/>
    <n v="1"/>
    <d v="2020-07-16T00:00:00"/>
    <s v="Processo de alteração de titularidade ainda não realizado."/>
    <s v="-"/>
    <s v="Jurídico Externo"/>
    <x v="1"/>
  </r>
  <r>
    <x v="198"/>
    <x v="11"/>
    <x v="0"/>
    <s v="ABEC"/>
    <s v="PMBCS"/>
    <x v="10"/>
    <x v="0"/>
    <x v="99"/>
    <s v="Avenida Israel, nº 54 - Jd. Santa Mônica."/>
    <x v="1"/>
    <x v="1"/>
    <x v="8"/>
    <n v="1"/>
    <d v="2020-07-16T00:00:00"/>
    <s v="Processo de alteração de titularidade ainda não realizado."/>
    <s v="-"/>
    <s v="Jurídico Externo"/>
    <x v="1"/>
  </r>
  <r>
    <x v="199"/>
    <x v="48"/>
    <x v="0"/>
    <s v="UCE"/>
    <s v="PMBCS"/>
    <x v="43"/>
    <x v="1"/>
    <x v="104"/>
    <s v="Avenida Presidente Kennedy, 698 - Centro."/>
    <x v="1"/>
    <x v="1"/>
    <x v="8"/>
    <n v="1"/>
    <m/>
    <s v="-"/>
    <s v="-"/>
    <s v="Jurídico Externo"/>
    <x v="1"/>
  </r>
  <r>
    <x v="200"/>
    <x v="48"/>
    <x v="0"/>
    <s v="UCE"/>
    <s v="PMBCS"/>
    <x v="43"/>
    <x v="1"/>
    <x v="105"/>
    <s v="Avenida Presidente Kennedy, 698 - Centro."/>
    <x v="1"/>
    <x v="1"/>
    <x v="8"/>
    <n v="1"/>
    <m/>
    <s v="-"/>
    <s v="-"/>
    <s v="Jurídico Externo"/>
    <x v="1"/>
  </r>
  <r>
    <x v="201"/>
    <x v="49"/>
    <x v="0"/>
    <s v="UCE"/>
    <s v="GM"/>
    <x v="44"/>
    <x v="1"/>
    <x v="106"/>
    <s v="Rod. SC 480, Km 4 - Rodeio Chato."/>
    <x v="1"/>
    <x v="3"/>
    <x v="35"/>
    <n v="1"/>
    <m/>
    <s v="Deferido o cancelamento do INCRA, promovendo o cancelamento do CAR, isto em atendimento a exigência do R.I."/>
    <s v="-"/>
    <s v="Jurídico Externo"/>
    <x v="1"/>
  </r>
  <r>
    <x v="201"/>
    <x v="49"/>
    <x v="0"/>
    <s v="UCE"/>
    <s v="GM"/>
    <x v="44"/>
    <x v="1"/>
    <x v="106"/>
    <s v="Rod. SC 480, Km 4 - Rodeio Chato."/>
    <x v="1"/>
    <x v="3"/>
    <x v="35"/>
    <n v="1"/>
    <d v="2019-10-15T00:00:00"/>
    <s v="A Diretoria da Cargill aprovou o Levantamento e o memorial da Retificação enviado, estamos aguardando a anuência formal, bem como as informações do procurador, para finalizar o novo requerimeto de retificação da matrícula 40.125 e na escritura de divisão Amigável, para coletarmos as assinaturas dos proprietário no requerimento completo. Em paralelo já foi protocolizado o requerimento de cancelamento do CAR, aguardando a análise do órgão."/>
    <s v="-"/>
    <s v="Jurídico Externo"/>
    <x v="1"/>
  </r>
  <r>
    <x v="201"/>
    <x v="49"/>
    <x v="0"/>
    <s v="UCE"/>
    <s v="GM"/>
    <x v="44"/>
    <x v="1"/>
    <x v="106"/>
    <s v="Rod. SC 480, Km 4 - Rodeio Chato."/>
    <x v="1"/>
    <x v="3"/>
    <x v="35"/>
    <n v="1"/>
    <d v="2019-12-15T00:00:00"/>
    <s v="Houve solicitação de complementação do Memorial descritivo pela Cargill, o responsável técnico engenheiro Idacir está providenciando, aprovaram o requerimento, informaram que estão providenciando procuração para a Luciana gerente da unidade, asssinar os documentos pela Cargill. A minuta da Escritura de divisão amigável está sendo elaborada, mas ainda precisamos da confirmação sobre o procurador da Cargill. Na sequencia, enviaremos à família Almeida."/>
    <s v="-"/>
    <s v="Jurídico Externo"/>
    <x v="1"/>
  </r>
  <r>
    <x v="201"/>
    <x v="49"/>
    <x v="0"/>
    <s v="UCE"/>
    <s v="GM"/>
    <x v="44"/>
    <x v="1"/>
    <x v="106"/>
    <s v="Rod. SC 480, Km 4 - Rodeio Chato."/>
    <x v="1"/>
    <x v="2"/>
    <x v="36"/>
    <n v="1"/>
    <d v="2020-01-13T00:00:00"/>
    <s v="Ainda no aguardo de retorno da solicitação de cancelamento, já protocolizada."/>
    <s v="-"/>
    <s v="GPI"/>
    <x v="1"/>
  </r>
  <r>
    <x v="201"/>
    <x v="49"/>
    <x v="0"/>
    <s v="UCE"/>
    <s v="GM"/>
    <x v="44"/>
    <x v="1"/>
    <x v="106"/>
    <s v="Rod. SC 480, Km 4 - Rodeio Chato."/>
    <x v="1"/>
    <x v="2"/>
    <x v="36"/>
    <n v="1"/>
    <d v="2020-01-17T00:00:00"/>
    <s v="Processo de aprovação do memorial descritivo junto a Cargill; bem como a elaboração da procuração para a Luciana e a escritura de divisão amigável não tiveram avanço do último relatório para o atual."/>
    <s v="-"/>
    <s v="GPI"/>
    <x v="1"/>
  </r>
  <r>
    <x v="201"/>
    <x v="49"/>
    <x v="0"/>
    <s v="UCE"/>
    <s v="GM"/>
    <x v="44"/>
    <x v="1"/>
    <x v="106"/>
    <s v="Rod. SC 480, Km 4 - Rodeio Chato."/>
    <x v="1"/>
    <x v="2"/>
    <x v="36"/>
    <n v="1"/>
    <d v="2020-02-18T00:00:00"/>
    <s v="Ocorreu reunião com Dr. Bruno Orloski, Grasiela e Ir. Délcio para deliberação quanto ao assunto. Foi decidido pela  notificação extrajudicial, mesmo podendo haver por parte da Cargill, o mal recepcionamento migrando assim o caso para o pólo judicial."/>
    <s v="-"/>
    <s v="GPI"/>
    <x v="1"/>
  </r>
  <r>
    <x v="201"/>
    <x v="49"/>
    <x v="0"/>
    <s v="UCE"/>
    <s v="GM"/>
    <x v="44"/>
    <x v="1"/>
    <x v="106"/>
    <s v="Rod. SC 480, Km 4 - Rodeio Chato."/>
    <x v="1"/>
    <x v="2"/>
    <x v="36"/>
    <n v="1"/>
    <d v="2020-03-16T00:00:00"/>
    <s v="A notificação foi realizada. Na resposta a solicitação de algumas alterações no aditiivo do memorial descritivo e no requerimento. Estamos alinhando com as advogadas da Cargill as alterações para enviarmos à família Almeida."/>
    <s v="-"/>
    <s v="GPI"/>
    <x v="1"/>
  </r>
  <r>
    <x v="201"/>
    <x v="49"/>
    <x v="0"/>
    <s v="UCE"/>
    <s v="GM"/>
    <x v="44"/>
    <x v="1"/>
    <x v="106"/>
    <s v="Rod. SC 480, Km 4 - Rodeio Chato."/>
    <x v="1"/>
    <x v="3"/>
    <x v="35"/>
    <n v="1"/>
    <d v="2020-04-17T00:00:00"/>
    <s v="Realinhamento dos pedidos de alterações no aditiivo do memorial descritivo e no requerimento, após nova aprovação pelas Cargill as alterações para enviarmos à família Almeida."/>
    <s v="-"/>
    <s v="Jurídico Externo"/>
    <x v="1"/>
  </r>
  <r>
    <x v="201"/>
    <x v="49"/>
    <x v="0"/>
    <s v="UCE"/>
    <s v="GM"/>
    <x v="44"/>
    <x v="1"/>
    <x v="106"/>
    <s v="Rod. SC 480, Km 4 - Rodeio Chato."/>
    <x v="1"/>
    <x v="3"/>
    <x v="35"/>
    <n v="1"/>
    <d v="2020-05-11T00:00:00"/>
    <s v="Alinhamos com a Cargill para encerrar as alterações no aditivo do memorial descritivo e no requerimento nesta semana, para envio a família Almeida. "/>
    <s v="-"/>
    <s v="Jurídico Externo"/>
    <x v="1"/>
  </r>
  <r>
    <x v="201"/>
    <x v="49"/>
    <x v="0"/>
    <s v="UCE"/>
    <s v="GM"/>
    <x v="44"/>
    <x v="1"/>
    <x v="106"/>
    <s v="Rod. SC 480, Km 4 - Rodeio Chato."/>
    <x v="1"/>
    <x v="2"/>
    <x v="36"/>
    <n v="1"/>
    <d v="2020-05-11T00:00:00"/>
    <s v="Aguardando retorno da solicitação de cancelamento do CAR, o qual trabalha apenas por e-mail, e que não tem dado retorno, possivelmente em decorrência das restrições promovidas pela pandemia."/>
    <s v="-"/>
    <s v="GPI"/>
    <x v="1"/>
  </r>
  <r>
    <x v="201"/>
    <x v="49"/>
    <x v="0"/>
    <s v="UCE"/>
    <s v="GM"/>
    <x v="44"/>
    <x v="1"/>
    <x v="106"/>
    <s v="Rod. SC 480, Km 4 - Rodeio Chato."/>
    <x v="1"/>
    <x v="3"/>
    <x v="35"/>
    <n v="1"/>
    <d v="2020-06-16T00:00:00"/>
    <s v="Finalizadas as alterações com a Cargill, está sendo alinhado as assinaturas com os herdeiros da família Almeida. Ainda, está sendo verificado com o tabelionato para a escritura de divisão amigável ser realizada de forma eletrônica, porque há herdeiros da família Almeida que moram fora de Chapecó."/>
    <s v="-"/>
    <s v="Jurídico Externo"/>
    <x v="1"/>
  </r>
  <r>
    <x v="201"/>
    <x v="49"/>
    <x v="0"/>
    <s v="UCE"/>
    <s v="GM"/>
    <x v="44"/>
    <x v="1"/>
    <x v="106"/>
    <s v="Rod. SC 480, Km 4 - Rodeio Chato."/>
    <x v="1"/>
    <x v="3"/>
    <x v="35"/>
    <n v="1"/>
    <d v="2020-07-16T00:00:00"/>
    <s v="O Requerimento ainda não foi assinado pelos proprietários da família Almeida estão com dificuldades em razão da Pandemia, há herdeiros que moram em cidade fora de Chapecó. "/>
    <s v="-"/>
    <s v="Jurídico Externo"/>
    <x v="1"/>
  </r>
  <r>
    <x v="201"/>
    <x v="49"/>
    <x v="0"/>
    <s v="UCE"/>
    <s v="GM"/>
    <x v="44"/>
    <x v="1"/>
    <x v="106"/>
    <s v="Rod. SC 480, Km 4 - Rodeio Chato."/>
    <x v="1"/>
    <x v="2"/>
    <x v="36"/>
    <n v="1"/>
    <d v="2020-07-27T00:00:00"/>
    <s v="Segundo informações, toda a equipe foi alterada, inclusive o endereço de e-mail passou por alteração, e somente agora conseguiram redirecionar o endereço antigo para o novo endereço de e-mail. Em contato com integrante da nova equipe, repassou a lista de documentos que precisa para a solicitação de cancelamento. Sendo informado que trata-se de uma solicitação já em andamento e que a solicitação prestava-se para pedido de informações da evolução do pedido. Ainda sem retorno. "/>
    <s v="-"/>
    <s v="GPI"/>
    <x v="1"/>
  </r>
  <r>
    <x v="202"/>
    <x v="50"/>
    <x v="0"/>
    <s v="APC"/>
    <s v="GM"/>
    <x v="45"/>
    <x v="0"/>
    <x v="107"/>
    <s v="Rua Guarani, 4190 - Jardim Coopagro."/>
    <x v="1"/>
    <x v="2"/>
    <x v="8"/>
    <n v="1"/>
    <m/>
    <s v="A pessoa com quem falei, me passou novamente a lista de documentos que precisa para a solicitação de cancelamento. Informei que trata-se de uma solicitação já em andamento, e que eu estava solicitando informações da evolução do pedido. "/>
    <s v="-"/>
    <s v="GPI"/>
    <x v="1"/>
  </r>
  <r>
    <x v="203"/>
    <x v="51"/>
    <x v="0"/>
    <s v="APC"/>
    <s v="GM"/>
    <x v="46"/>
    <x v="0"/>
    <x v="108"/>
    <s v="Rua Índia, S/N (Ref. AFPUC - Rua África, nº 89) - Balneário Albatroz"/>
    <x v="2"/>
    <x v="0"/>
    <x v="0"/>
    <n v="0"/>
    <m/>
    <s v="-"/>
    <s v="-"/>
    <s v="GPI"/>
    <x v="1"/>
  </r>
  <r>
    <x v="204"/>
    <x v="51"/>
    <x v="0"/>
    <s v="APC"/>
    <s v="GM"/>
    <x v="46"/>
    <x v="0"/>
    <x v="108"/>
    <s v="Rua Índia, S/N (Ref. AFPUC - Rua África, nº 89) - Balneário Albatroz"/>
    <x v="2"/>
    <x v="0"/>
    <x v="0"/>
    <n v="0"/>
    <m/>
    <s v="-"/>
    <s v="-"/>
    <s v="Verificar"/>
    <x v="1"/>
  </r>
  <r>
    <x v="205"/>
    <x v="51"/>
    <x v="0"/>
    <s v="APC"/>
    <s v="GM"/>
    <x v="46"/>
    <x v="0"/>
    <x v="108"/>
    <s v="Rua Índia, S/N (Ref. AFPUC - Rua África, nº 89) - Balneário Albatroz."/>
    <x v="2"/>
    <x v="0"/>
    <x v="0"/>
    <n v="0"/>
    <m/>
    <s v="-"/>
    <s v="-"/>
    <s v="Verificar"/>
    <x v="1"/>
  </r>
  <r>
    <x v="206"/>
    <x v="51"/>
    <x v="0"/>
    <s v="APC"/>
    <s v="GM"/>
    <x v="46"/>
    <x v="0"/>
    <x v="108"/>
    <s v="Rua Índia, S/N (Ref. AFPUC - Rua África, nº 89) - Balneário Albatroz."/>
    <x v="2"/>
    <x v="0"/>
    <x v="0"/>
    <n v="0"/>
    <m/>
    <s v="-"/>
    <s v="-"/>
    <s v="Verificar"/>
    <x v="1"/>
  </r>
  <r>
    <x v="207"/>
    <x v="50"/>
    <x v="0"/>
    <s v="APC"/>
    <s v="GM"/>
    <x v="45"/>
    <x v="0"/>
    <x v="107"/>
    <s v="Rua Guarani, 4190 - Jardim Coopagro."/>
    <x v="1"/>
    <x v="2"/>
    <x v="37"/>
    <n v="1"/>
    <m/>
    <s v="Doação de parte do imóvel para a prefeitura. Encaminhado MOU a prefeitura, aguardando retorno. Também foi contratado para entrega um laudo de uso e ocupação de solo cujo prazo a ser entregue será em 15/12."/>
    <s v="-"/>
    <s v="GPI"/>
    <x v="1"/>
  </r>
  <r>
    <x v="208"/>
    <x v="46"/>
    <x v="0"/>
    <s v="ABEC"/>
    <s v="PMBCS"/>
    <x v="41"/>
    <x v="0"/>
    <x v="109"/>
    <s v="Avenida dos Navegantes, 21 - Coroados."/>
    <x v="1"/>
    <x v="1"/>
    <x v="8"/>
    <n v="1"/>
    <m/>
    <s v="Considerando o entendimento da contabilidade e da procuradoria jurídica, aguarda-se o parecer para que seja considerado como regular."/>
    <s v="-"/>
    <s v="Jurídico Externo"/>
    <x v="1"/>
  </r>
  <r>
    <x v="209"/>
    <x v="50"/>
    <x v="0"/>
    <s v="APC"/>
    <s v="GM"/>
    <x v="45"/>
    <x v="0"/>
    <x v="110"/>
    <s v="Avenida Maripá, s/n - Jardim Coopagro."/>
    <x v="2"/>
    <x v="0"/>
    <x v="0"/>
    <n v="0"/>
    <m/>
    <s v="-"/>
    <s v="-"/>
    <s v="Verificar"/>
    <x v="1"/>
  </r>
  <r>
    <x v="210"/>
    <x v="23"/>
    <x v="0"/>
    <s v="APC"/>
    <s v="GM"/>
    <x v="21"/>
    <x v="0"/>
    <x v="76"/>
    <s v="Rua Serra Verde, 250 - Bandeirantes."/>
    <x v="2"/>
    <x v="0"/>
    <x v="0"/>
    <n v="0"/>
    <m/>
    <s v="-"/>
    <s v="-"/>
    <s v="Verificar"/>
    <x v="1"/>
  </r>
  <r>
    <x v="211"/>
    <x v="52"/>
    <x v="0"/>
    <s v="ABEC"/>
    <s v="PMBCS"/>
    <x v="47"/>
    <x v="9"/>
    <x v="111"/>
    <s v="Rua Ilacir Pereira Lima, nº 35 - Cidade Nova."/>
    <x v="1"/>
    <x v="1"/>
    <x v="8"/>
    <n v="1"/>
    <d v="2020-07-16T00:00:00"/>
    <s v="Processo de alteração de titularidade ainda não realizado."/>
    <s v="-"/>
    <s v="Jurídico Externo"/>
    <x v="1"/>
  </r>
  <r>
    <x v="212"/>
    <x v="46"/>
    <x v="0"/>
    <s v="APC"/>
    <s v="GM"/>
    <x v="41"/>
    <x v="0"/>
    <x v="101"/>
    <s v="Rua do Campo - Caieiras"/>
    <x v="2"/>
    <x v="0"/>
    <x v="0"/>
    <n v="0"/>
    <m/>
    <s v="-"/>
    <s v="-"/>
    <s v="Verificar"/>
    <x v="1"/>
  </r>
  <r>
    <x v="213"/>
    <x v="29"/>
    <x v="0"/>
    <s v="ABEC"/>
    <s v="GM"/>
    <x v="21"/>
    <x v="0"/>
    <x v="112"/>
    <s v="-"/>
    <x v="1"/>
    <x v="2"/>
    <x v="20"/>
    <n v="1"/>
    <d v="2020-05-15T00:00:00"/>
    <s v="Procuradoria jurídica encaminha ao setor de patrimônio imobiliário notificação extrajudicial para encaminhamento a prefeitura de Londrina, para que se abstenha de cobrar tributos da ABEC tendo em vista a doação (ainda que sem o ato público)."/>
    <s v="-"/>
    <s v="GPI"/>
    <x v="1"/>
  </r>
  <r>
    <x v="213"/>
    <x v="29"/>
    <x v="0"/>
    <s v="ABEC"/>
    <s v="GM"/>
    <x v="21"/>
    <x v="0"/>
    <x v="112"/>
    <s v="-"/>
    <x v="1"/>
    <x v="2"/>
    <x v="20"/>
    <n v="1"/>
    <d v="2020-05-18T00:00:00"/>
    <s v="Despachante local Alfredo Canezin, protocola a notificação na prefeitura."/>
    <s v="-"/>
    <s v="GPI"/>
    <x v="1"/>
  </r>
  <r>
    <x v="213"/>
    <x v="29"/>
    <x v="0"/>
    <s v="ABEC"/>
    <s v="GM"/>
    <x v="21"/>
    <x v="0"/>
    <x v="112"/>
    <s v="-"/>
    <x v="1"/>
    <x v="2"/>
    <x v="20"/>
    <n v="1"/>
    <d v="2020-06-17T00:00:00"/>
    <s v="Alfredo Canezin encaminha movimentação processual, que teve por despacho a sugestão do encaminhamento do processo a secretaria municipal de educação."/>
    <s v="-"/>
    <s v="GPI"/>
    <x v="1"/>
  </r>
  <r>
    <x v="213"/>
    <x v="29"/>
    <x v="0"/>
    <s v="ABEC"/>
    <s v="GM"/>
    <x v="21"/>
    <x v="0"/>
    <x v="112"/>
    <s v="-"/>
    <x v="1"/>
    <x v="2"/>
    <x v="20"/>
    <n v="1"/>
    <d v="2020-07-03T00:00:00"/>
    <s v="Reestabelecido contato com Sr. Alfredo Canezin, para averiguar se porventura teria ocorrido movimentação processual. Todavia informado que não teve movimentação desde o dia 10/06."/>
    <s v="-"/>
    <s v="GPI"/>
    <x v="1"/>
  </r>
  <r>
    <x v="214"/>
    <x v="49"/>
    <x v="0"/>
    <s v="UCE"/>
    <s v="PMBCS"/>
    <x v="44"/>
    <x v="1"/>
    <x v="113"/>
    <s v="Rua Curitiba, nº 98 - Centro."/>
    <x v="1"/>
    <x v="1"/>
    <x v="8"/>
    <n v="1"/>
    <m/>
    <s v="-"/>
    <s v="-"/>
    <s v="Jurídico Externo"/>
    <x v="1"/>
  </r>
  <r>
    <x v="215"/>
    <x v="7"/>
    <x v="0"/>
    <s v="Terceiro"/>
    <s v="GM"/>
    <x v="6"/>
    <x v="0"/>
    <x v="114"/>
    <s v="-"/>
    <x v="1"/>
    <x v="2"/>
    <x v="8"/>
    <n v="1"/>
    <d v="2020-06-23T00:00:00"/>
    <s v="Núcleo de Regularizações, informa a gerente de Patrimônio Imobiliário sobre a irregularidade em aberto. A gerente de Patrimônio Imobiliário, direciona o assunto a gerente da Procuradoria Jurídica, solicitando atualização."/>
    <s v="-"/>
    <s v="GPI"/>
    <x v="1"/>
  </r>
  <r>
    <x v="215"/>
    <x v="7"/>
    <x v="0"/>
    <s v="Terceiro"/>
    <s v="GM"/>
    <x v="6"/>
    <x v="0"/>
    <x v="114"/>
    <s v="-"/>
    <x v="1"/>
    <x v="2"/>
    <x v="8"/>
    <n v="1"/>
    <d v="2020-07-15T00:00:00"/>
    <s v="Tendo em vista ausência de manifestação acerca da atualização. Núcleo de Regularizações, toma providência reforçando o pedido diretamente a gerente da Procuradoría Jurídica."/>
    <s v="-"/>
    <s v="GPI"/>
    <x v="1"/>
  </r>
  <r>
    <x v="216"/>
    <x v="53"/>
    <x v="0"/>
    <s v="ABEC"/>
    <s v="PMBCS"/>
    <x v="34"/>
    <x v="0"/>
    <x v="115"/>
    <s v="Rua Medianeira, s/nº - Cataratas."/>
    <x v="1"/>
    <x v="1"/>
    <x v="8"/>
    <n v="1"/>
    <m/>
    <s v="-"/>
    <s v="-"/>
    <s v="Jurídico Externo"/>
    <x v="1"/>
  </r>
  <r>
    <x v="216"/>
    <x v="53"/>
    <x v="0"/>
    <s v="ABEC"/>
    <s v="PMBCS"/>
    <x v="34"/>
    <x v="0"/>
    <x v="115"/>
    <s v="Rua Medianeira, s/nº - Cataratas."/>
    <x v="1"/>
    <x v="3"/>
    <x v="9"/>
    <n v="1"/>
    <d v="2020-05-11T00:00:00"/>
    <s v="Tendo em vista a necessidade advinda do Ofício de Registro de Imóveis, o qual prenotou a averbação da cisão, não aceitando os documentos particulares, sendo solicitado a escritura pública de cisão. O tabelionato por sua vez fez objeção pelo fato de não ter sido apurado o remanescente da matrícula em detrimento a desapropriação. Por esta razão foi contratado um escritório local, para o atendimento da demanda. A medição in loco já foi realizada, bem como os trabalhos de escritório."/>
    <s v="-"/>
    <s v="GPI"/>
    <x v="1"/>
  </r>
  <r>
    <x v="216"/>
    <x v="53"/>
    <x v="0"/>
    <s v="ABEC"/>
    <s v="PMBCS"/>
    <x v="34"/>
    <x v="0"/>
    <x v="115"/>
    <s v="Rua Medianeira, s/nº - Cataratas."/>
    <x v="1"/>
    <x v="3"/>
    <x v="9"/>
    <n v="1"/>
    <d v="2020-06-16T00:00:00"/>
    <s v="Está sendo tomada providência por parte do Registro de Imóveis, análise para posteriormente estando tudo em conformidade ser entregue da matrícula corrigida."/>
    <s v="-"/>
    <s v="GPI"/>
    <x v="1"/>
  </r>
  <r>
    <x v="217"/>
    <x v="53"/>
    <x v="0"/>
    <s v="ABEC"/>
    <s v="PMBCS"/>
    <x v="34"/>
    <x v="0"/>
    <x v="116"/>
    <s v="Rua Paraná, nº 2.680 - Centro."/>
    <x v="2"/>
    <x v="0"/>
    <x v="0"/>
    <n v="0"/>
    <m/>
    <s v="-"/>
    <s v="-"/>
    <s v="Jurídico Externo"/>
    <x v="20"/>
  </r>
  <r>
    <x v="218"/>
    <x v="54"/>
    <x v="0"/>
    <s v="UCE"/>
    <s v="PMBCS"/>
    <x v="8"/>
    <x v="1"/>
    <x v="117"/>
    <s v="Rua Presidente Coutinho, nº 311 - Centro."/>
    <x v="2"/>
    <x v="0"/>
    <x v="0"/>
    <n v="0"/>
    <m/>
    <s v="-"/>
    <s v="-"/>
    <s v="Jurídico Externo"/>
    <x v="1"/>
  </r>
  <r>
    <x v="219"/>
    <x v="54"/>
    <x v="0"/>
    <s v="UCE"/>
    <s v="PMBCS"/>
    <x v="8"/>
    <x v="1"/>
    <x v="118"/>
    <s v="Rua Presidente Coutinho, nº 311 - Centro."/>
    <x v="2"/>
    <x v="0"/>
    <x v="0"/>
    <n v="0"/>
    <m/>
    <s v="-"/>
    <s v="-"/>
    <s v="Jurídico Externo"/>
    <x v="1"/>
  </r>
  <r>
    <x v="220"/>
    <x v="54"/>
    <x v="0"/>
    <s v="UCE"/>
    <s v="PMBCS"/>
    <x v="8"/>
    <x v="1"/>
    <x v="119"/>
    <s v="Rua Presidente Coutinho, nº 311 - Centro."/>
    <x v="2"/>
    <x v="0"/>
    <x v="0"/>
    <n v="0"/>
    <m/>
    <s v="-"/>
    <s v="-"/>
    <s v="Jurídico Externo"/>
    <x v="1"/>
  </r>
  <r>
    <x v="221"/>
    <x v="54"/>
    <x v="0"/>
    <s v="UCE"/>
    <s v="PMBCS"/>
    <x v="8"/>
    <x v="1"/>
    <x v="120"/>
    <s v="Rua Presidente Coutinho, nº 311 - Centro."/>
    <x v="2"/>
    <x v="0"/>
    <x v="0"/>
    <n v="0"/>
    <m/>
    <s v="-"/>
    <s v="-"/>
    <s v="Jurídico Externo"/>
    <x v="1"/>
  </r>
  <r>
    <x v="222"/>
    <x v="54"/>
    <x v="0"/>
    <s v="UCE"/>
    <s v="PMBCS"/>
    <x v="8"/>
    <x v="1"/>
    <x v="121"/>
    <s v="Rua Presidente Coutinho, nº 311 - Centro."/>
    <x v="2"/>
    <x v="0"/>
    <x v="0"/>
    <n v="0"/>
    <m/>
    <s v="-"/>
    <s v="-"/>
    <s v="Jurídico Externo"/>
    <x v="1"/>
  </r>
  <r>
    <x v="223"/>
    <x v="54"/>
    <x v="0"/>
    <s v="UCE"/>
    <s v="PMBCS"/>
    <x v="8"/>
    <x v="1"/>
    <x v="122"/>
    <s v="Rua Presidente Coutinho, nº 311 - Centro."/>
    <x v="2"/>
    <x v="0"/>
    <x v="0"/>
    <n v="0"/>
    <m/>
    <s v="-"/>
    <s v="-"/>
    <s v="Jurídico Externo"/>
    <x v="1"/>
  </r>
  <r>
    <x v="224"/>
    <x v="54"/>
    <x v="0"/>
    <s v="UCE"/>
    <s v="PMBCS"/>
    <x v="8"/>
    <x v="1"/>
    <x v="123"/>
    <s v="Rua Presidente Coutinho, nº 311 - Centro."/>
    <x v="2"/>
    <x v="0"/>
    <x v="0"/>
    <n v="0"/>
    <m/>
    <s v="-"/>
    <s v="-"/>
    <s v="Jurídico Externo"/>
    <x v="1"/>
  </r>
  <r>
    <x v="225"/>
    <x v="54"/>
    <x v="0"/>
    <s v="UCE"/>
    <s v="PMBCS"/>
    <x v="8"/>
    <x v="1"/>
    <x v="124"/>
    <s v="Rua Presidente Coutinho, nº 311 - Centro."/>
    <x v="2"/>
    <x v="0"/>
    <x v="0"/>
    <n v="0"/>
    <m/>
    <s v="-"/>
    <s v="-"/>
    <s v="Jurídico Externo"/>
    <x v="1"/>
  </r>
  <r>
    <x v="226"/>
    <x v="54"/>
    <x v="0"/>
    <s v="UCE"/>
    <s v="PMBCS"/>
    <x v="8"/>
    <x v="1"/>
    <x v="125"/>
    <s v="Rua Presidente Coutinho, nº 311 - Centro."/>
    <x v="2"/>
    <x v="0"/>
    <x v="0"/>
    <n v="0"/>
    <m/>
    <s v="-"/>
    <s v="-"/>
    <s v="Jurídico Externo"/>
    <x v="1"/>
  </r>
  <r>
    <x v="227"/>
    <x v="54"/>
    <x v="0"/>
    <s v="UCE"/>
    <s v="PMBCS"/>
    <x v="8"/>
    <x v="1"/>
    <x v="126"/>
    <s v="Rua Presidente Coutinho, nº 311 - Centro."/>
    <x v="2"/>
    <x v="0"/>
    <x v="0"/>
    <n v="0"/>
    <m/>
    <s v="-"/>
    <s v="-"/>
    <s v="Jurídico Externo"/>
    <x v="1"/>
  </r>
  <r>
    <x v="228"/>
    <x v="54"/>
    <x v="0"/>
    <s v="UCE"/>
    <s v="PMBCS"/>
    <x v="8"/>
    <x v="1"/>
    <x v="127"/>
    <s v="Avenida Rio Branco, nº 354 - Centro."/>
    <x v="2"/>
    <x v="0"/>
    <x v="0"/>
    <n v="0"/>
    <m/>
    <s v="-"/>
    <s v="-"/>
    <s v="Jurídico Externo"/>
    <x v="21"/>
  </r>
  <r>
    <x v="229"/>
    <x v="54"/>
    <x v="0"/>
    <s v="UCE"/>
    <s v="PMBCS"/>
    <x v="8"/>
    <x v="1"/>
    <x v="128"/>
    <s v="Avenida Rio Branco, nº 354 - Centro."/>
    <x v="2"/>
    <x v="0"/>
    <x v="0"/>
    <n v="0"/>
    <m/>
    <s v="-"/>
    <s v="-"/>
    <s v="Jurídico Externo"/>
    <x v="1"/>
  </r>
  <r>
    <x v="230"/>
    <x v="54"/>
    <x v="0"/>
    <s v="UCE"/>
    <s v="PMBCS"/>
    <x v="8"/>
    <x v="1"/>
    <x v="129"/>
    <s v="Avenida Rio Branco, nº 354 - Centro."/>
    <x v="2"/>
    <x v="0"/>
    <x v="0"/>
    <n v="0"/>
    <m/>
    <s v="-"/>
    <s v="-"/>
    <s v="Jurídico Externo"/>
    <x v="1"/>
  </r>
  <r>
    <x v="231"/>
    <x v="54"/>
    <x v="0"/>
    <s v="UCE"/>
    <s v="PMBCS"/>
    <x v="8"/>
    <x v="1"/>
    <x v="130"/>
    <s v="Avenida Rio Branco, nº 354 - Centro."/>
    <x v="2"/>
    <x v="0"/>
    <x v="0"/>
    <n v="0"/>
    <m/>
    <s v="-"/>
    <s v="-"/>
    <s v="Jurídico Externo"/>
    <x v="1"/>
  </r>
  <r>
    <x v="232"/>
    <x v="54"/>
    <x v="0"/>
    <s v="UCE"/>
    <s v="PMBCS"/>
    <x v="8"/>
    <x v="1"/>
    <x v="131"/>
    <s v="Avenida Rio Branco, nº 354 - Centro."/>
    <x v="2"/>
    <x v="0"/>
    <x v="0"/>
    <n v="0"/>
    <m/>
    <s v="-"/>
    <s v="-"/>
    <s v="Jurídico Externo"/>
    <x v="1"/>
  </r>
  <r>
    <x v="233"/>
    <x v="54"/>
    <x v="0"/>
    <s v="UCE"/>
    <s v="PMBCS"/>
    <x v="8"/>
    <x v="1"/>
    <x v="132"/>
    <s v="Avenida Rio Branco, nº 354 - Centro."/>
    <x v="2"/>
    <x v="0"/>
    <x v="0"/>
    <n v="0"/>
    <m/>
    <s v="-"/>
    <s v="-"/>
    <s v="Jurídico Externo"/>
    <x v="1"/>
  </r>
  <r>
    <x v="234"/>
    <x v="54"/>
    <x v="0"/>
    <s v="UCE"/>
    <s v="PMBCS"/>
    <x v="8"/>
    <x v="1"/>
    <x v="133"/>
    <s v="Avenida Rio Branco, nº 354 - Centro."/>
    <x v="2"/>
    <x v="0"/>
    <x v="0"/>
    <n v="0"/>
    <m/>
    <s v="-"/>
    <s v="-"/>
    <s v="Jurídico Externo"/>
    <x v="1"/>
  </r>
  <r>
    <x v="235"/>
    <x v="54"/>
    <x v="0"/>
    <s v="UCE"/>
    <s v="PMBCS"/>
    <x v="8"/>
    <x v="1"/>
    <x v="134"/>
    <s v="Avenida Rio Branco, nº 354 - Centro."/>
    <x v="2"/>
    <x v="0"/>
    <x v="0"/>
    <n v="0"/>
    <m/>
    <s v="-"/>
    <s v="-"/>
    <s v="Jurídico Externo"/>
    <x v="1"/>
  </r>
  <r>
    <x v="236"/>
    <x v="54"/>
    <x v="0"/>
    <s v="UCE"/>
    <s v="PMBCS"/>
    <x v="8"/>
    <x v="1"/>
    <x v="135"/>
    <s v="Avenida Rio Branco, nº 354 - Centro."/>
    <x v="2"/>
    <x v="0"/>
    <x v="0"/>
    <n v="0"/>
    <m/>
    <s v="-"/>
    <s v="-"/>
    <s v="Jurídico Externo"/>
    <x v="1"/>
  </r>
  <r>
    <x v="237"/>
    <x v="54"/>
    <x v="0"/>
    <s v="UCE"/>
    <s v="PMBCS"/>
    <x v="8"/>
    <x v="1"/>
    <x v="136"/>
    <s v="Avenida Rio Branco, nº 354 - Centro."/>
    <x v="2"/>
    <x v="0"/>
    <x v="0"/>
    <n v="0"/>
    <m/>
    <s v="-"/>
    <s v="-"/>
    <s v="Jurídico Externo"/>
    <x v="1"/>
  </r>
  <r>
    <x v="238"/>
    <x v="54"/>
    <x v="0"/>
    <s v="UCE"/>
    <s v="PMBCS"/>
    <x v="8"/>
    <x v="1"/>
    <x v="137"/>
    <s v="Avenida Rio Branco, nº 354 - Centro."/>
    <x v="2"/>
    <x v="0"/>
    <x v="0"/>
    <n v="0"/>
    <m/>
    <s v="-"/>
    <s v="-"/>
    <s v="Jurídico Externo"/>
    <x v="1"/>
  </r>
  <r>
    <x v="239"/>
    <x v="54"/>
    <x v="0"/>
    <s v="UCE"/>
    <s v="PMBCS"/>
    <x v="8"/>
    <x v="1"/>
    <x v="138"/>
    <s v="Avenida Rio Branco, nº 354 - Centro."/>
    <x v="2"/>
    <x v="0"/>
    <x v="0"/>
    <n v="0"/>
    <m/>
    <s v="-"/>
    <s v="-"/>
    <s v="Jurídico Externo"/>
    <x v="1"/>
  </r>
  <r>
    <x v="240"/>
    <x v="54"/>
    <x v="0"/>
    <s v="UCE"/>
    <s v="PMBCS"/>
    <x v="8"/>
    <x v="1"/>
    <x v="139"/>
    <s v="Avenida Rio Branco, nº 354 - Centro."/>
    <x v="2"/>
    <x v="0"/>
    <x v="0"/>
    <n v="0"/>
    <m/>
    <s v="-"/>
    <s v="-"/>
    <s v="Jurídico Externo"/>
    <x v="1"/>
  </r>
  <r>
    <x v="241"/>
    <x v="54"/>
    <x v="0"/>
    <s v="UCE"/>
    <s v="PMBCS"/>
    <x v="8"/>
    <x v="1"/>
    <x v="140"/>
    <s v="Avenida Rio Branco, nº 354 - Centro."/>
    <x v="2"/>
    <x v="0"/>
    <x v="0"/>
    <n v="0"/>
    <m/>
    <s v="-"/>
    <s v="-"/>
    <s v="Jurídico Externo"/>
    <x v="1"/>
  </r>
  <r>
    <x v="242"/>
    <x v="54"/>
    <x v="0"/>
    <s v="UCE"/>
    <s v="PMBCS"/>
    <x v="8"/>
    <x v="1"/>
    <x v="141"/>
    <s v="Avenida Rio Branco, nº 354 - Centro."/>
    <x v="2"/>
    <x v="0"/>
    <x v="0"/>
    <n v="0"/>
    <m/>
    <s v="-"/>
    <s v="-"/>
    <s v="Jurídico Externo"/>
    <x v="1"/>
  </r>
  <r>
    <x v="243"/>
    <x v="54"/>
    <x v="0"/>
    <s v="UCE"/>
    <s v="PMBCS"/>
    <x v="8"/>
    <x v="1"/>
    <x v="142"/>
    <s v="Avenida Rio Branco, nº 354 - Centro."/>
    <x v="2"/>
    <x v="0"/>
    <x v="0"/>
    <n v="0"/>
    <m/>
    <s v="-"/>
    <s v="-"/>
    <s v="Jurídico Externo"/>
    <x v="1"/>
  </r>
  <r>
    <x v="244"/>
    <x v="54"/>
    <x v="0"/>
    <s v="UCE"/>
    <s v="PMBCS"/>
    <x v="8"/>
    <x v="1"/>
    <x v="143"/>
    <s v="Avenida Rio Branco, nº 354 - Centro."/>
    <x v="2"/>
    <x v="0"/>
    <x v="0"/>
    <n v="0"/>
    <m/>
    <s v="-"/>
    <s v="-"/>
    <s v="Jurídico Externo"/>
    <x v="1"/>
  </r>
  <r>
    <x v="245"/>
    <x v="54"/>
    <x v="0"/>
    <s v="UCE"/>
    <s v="PMBCS"/>
    <x v="8"/>
    <x v="1"/>
    <x v="144"/>
    <s v="Avenida Rio Branco, nº 354 - Centro."/>
    <x v="2"/>
    <x v="0"/>
    <x v="0"/>
    <n v="0"/>
    <m/>
    <s v="-"/>
    <s v="-"/>
    <s v="Jurídico Externo"/>
    <x v="1"/>
  </r>
  <r>
    <x v="246"/>
    <x v="54"/>
    <x v="0"/>
    <s v="UCE"/>
    <s v="PMBCS"/>
    <x v="8"/>
    <x v="1"/>
    <x v="145"/>
    <s v="Avenida Rio Branco, nº 354 - Centro."/>
    <x v="2"/>
    <x v="0"/>
    <x v="0"/>
    <n v="0"/>
    <m/>
    <s v="-"/>
    <s v="-"/>
    <s v="Jurídico Externo"/>
    <x v="1"/>
  </r>
  <r>
    <x v="247"/>
    <x v="54"/>
    <x v="0"/>
    <s v="UCE"/>
    <s v="PMBCS"/>
    <x v="8"/>
    <x v="1"/>
    <x v="146"/>
    <s v="Avenida Rio Branco, nº 354 - Centro."/>
    <x v="2"/>
    <x v="0"/>
    <x v="0"/>
    <n v="0"/>
    <m/>
    <s v="-"/>
    <s v="-"/>
    <s v="Jurídico Externo"/>
    <x v="1"/>
  </r>
  <r>
    <x v="248"/>
    <x v="54"/>
    <x v="0"/>
    <s v="UCE"/>
    <s v="PMBCS"/>
    <x v="8"/>
    <x v="1"/>
    <x v="147"/>
    <s v="Avenida Rio Branco, nº 354 - Centro."/>
    <x v="2"/>
    <x v="0"/>
    <x v="0"/>
    <n v="0"/>
    <m/>
    <s v="-"/>
    <s v="-"/>
    <s v="Jurídico Externo"/>
    <x v="1"/>
  </r>
  <r>
    <x v="249"/>
    <x v="54"/>
    <x v="0"/>
    <s v="UCE"/>
    <s v="PMBCS"/>
    <x v="8"/>
    <x v="1"/>
    <x v="148"/>
    <s v="Avenida Rio Branco, nº 354 - Centro."/>
    <x v="2"/>
    <x v="0"/>
    <x v="0"/>
    <n v="0"/>
    <m/>
    <s v="-"/>
    <s v="-"/>
    <s v="Jurídico Externo"/>
    <x v="1"/>
  </r>
  <r>
    <x v="250"/>
    <x v="54"/>
    <x v="0"/>
    <s v="UCE"/>
    <s v="PMBCS"/>
    <x v="8"/>
    <x v="1"/>
    <x v="149"/>
    <s v="Avenida Rio Branco, nº 354 - Centro."/>
    <x v="2"/>
    <x v="0"/>
    <x v="0"/>
    <n v="0"/>
    <m/>
    <s v="-"/>
    <s v="-"/>
    <s v="Jurídico Externo"/>
    <x v="1"/>
  </r>
  <r>
    <x v="251"/>
    <x v="54"/>
    <x v="0"/>
    <s v="UCE"/>
    <s v="PMBCS"/>
    <x v="8"/>
    <x v="1"/>
    <x v="150"/>
    <s v="Avenida Rio Branco, nº 354 - Centro."/>
    <x v="2"/>
    <x v="0"/>
    <x v="0"/>
    <n v="0"/>
    <m/>
    <s v="-"/>
    <s v="-"/>
    <s v="Jurídico Externo"/>
    <x v="1"/>
  </r>
  <r>
    <x v="252"/>
    <x v="54"/>
    <x v="0"/>
    <s v="UCE"/>
    <s v="PMBCS"/>
    <x v="8"/>
    <x v="1"/>
    <x v="151"/>
    <s v="Avenida Rio Branco, nº 354 - Centro."/>
    <x v="2"/>
    <x v="0"/>
    <x v="0"/>
    <n v="0"/>
    <m/>
    <s v="-"/>
    <s v="-"/>
    <s v="Jurídico Externo"/>
    <x v="1"/>
  </r>
  <r>
    <x v="253"/>
    <x v="54"/>
    <x v="0"/>
    <s v="UCE"/>
    <s v="PMBCS"/>
    <x v="8"/>
    <x v="1"/>
    <x v="152"/>
    <s v="Avenida Rio Branco, nº 354 - Centro."/>
    <x v="2"/>
    <x v="0"/>
    <x v="0"/>
    <n v="0"/>
    <m/>
    <s v="-"/>
    <s v="-"/>
    <s v="Jurídico Externo"/>
    <x v="1"/>
  </r>
  <r>
    <x v="254"/>
    <x v="54"/>
    <x v="0"/>
    <s v="UCE"/>
    <s v="PMBCS"/>
    <x v="8"/>
    <x v="1"/>
    <x v="153"/>
    <s v="Rua Presidente Coutinho, nº 311 - Centro."/>
    <x v="2"/>
    <x v="0"/>
    <x v="0"/>
    <n v="0"/>
    <m/>
    <s v="-"/>
    <s v="-"/>
    <s v="Jurídico Externo"/>
    <x v="1"/>
  </r>
  <r>
    <x v="255"/>
    <x v="46"/>
    <x v="0"/>
    <s v="APC"/>
    <s v="PMBCS"/>
    <x v="41"/>
    <x v="0"/>
    <x v="154"/>
    <s v="Rua Camboriú - Jardim Eliana."/>
    <x v="2"/>
    <x v="0"/>
    <x v="0"/>
    <n v="0"/>
    <m/>
    <s v="-"/>
    <s v="-"/>
    <s v="Verificar"/>
    <x v="1"/>
  </r>
  <r>
    <x v="256"/>
    <x v="23"/>
    <x v="0"/>
    <s v="APC"/>
    <s v="PMBCS"/>
    <x v="21"/>
    <x v="0"/>
    <x v="89"/>
    <s v="Rua Serra Japuira, 600 - Messiânico."/>
    <x v="1"/>
    <x v="2"/>
    <x v="8"/>
    <n v="1"/>
    <m/>
    <s v="Aguardando resposta do novo ofício enviado ao Governo do Estado do PR, com protocolo realizado em"/>
    <s v="-"/>
    <s v="Jurídico Interno"/>
    <x v="1"/>
  </r>
  <r>
    <x v="257"/>
    <x v="23"/>
    <x v="0"/>
    <s v="APC"/>
    <s v="PMBCS"/>
    <x v="21"/>
    <x v="0"/>
    <x v="89"/>
    <s v="Rua Serra Japuira, 600 - Messiânico."/>
    <x v="1"/>
    <x v="1"/>
    <x v="8"/>
    <n v="1"/>
    <m/>
    <s v="-"/>
    <s v="-"/>
    <s v="Jurídico Externo"/>
    <x v="1"/>
  </r>
  <r>
    <x v="258"/>
    <x v="23"/>
    <x v="0"/>
    <s v="APC"/>
    <s v="PMBCS"/>
    <x v="21"/>
    <x v="0"/>
    <x v="89"/>
    <s v="Rua Serra Japuira, 600 - Messiânico."/>
    <x v="1"/>
    <x v="1"/>
    <x v="8"/>
    <n v="1"/>
    <m/>
    <s v="-"/>
    <s v="-"/>
    <s v="Jurídico Externo"/>
    <x v="1"/>
  </r>
  <r>
    <x v="259"/>
    <x v="23"/>
    <x v="0"/>
    <s v="APC"/>
    <s v="PMBCS"/>
    <x v="21"/>
    <x v="0"/>
    <x v="89"/>
    <s v="Rua Serra Japuira, 600 - Messiânico."/>
    <x v="1"/>
    <x v="1"/>
    <x v="8"/>
    <n v="1"/>
    <m/>
    <s v="-"/>
    <s v="-"/>
    <s v="Jurídico Externo"/>
    <x v="1"/>
  </r>
  <r>
    <x v="260"/>
    <x v="2"/>
    <x v="0"/>
    <s v="ABEC"/>
    <s v="PMBCS"/>
    <x v="2"/>
    <x v="0"/>
    <x v="155"/>
    <s v="Rua Fazenda Iguaçú, s/n - Capocu."/>
    <x v="1"/>
    <x v="2"/>
    <x v="32"/>
    <n v="1"/>
    <d v="2019-12-15T00:00:00"/>
    <s v="Ainda aguardando o processo de sobrepartilha."/>
    <s v="-"/>
    <s v="Jurídico Externo"/>
    <x v="1"/>
  </r>
  <r>
    <x v="260"/>
    <x v="2"/>
    <x v="0"/>
    <s v="ABEC"/>
    <s v="PMBCS"/>
    <x v="2"/>
    <x v="0"/>
    <x v="155"/>
    <s v="Rua Fazenda Iguaçú, s/n - Capocu."/>
    <x v="1"/>
    <x v="1"/>
    <x v="8"/>
    <n v="1"/>
    <d v="2020-01-17T00:00:00"/>
    <s v="Ainda aguardando o processo de sobrepartilha."/>
    <s v="-"/>
    <s v="Jurídico Externo"/>
    <x v="1"/>
  </r>
  <r>
    <x v="260"/>
    <x v="2"/>
    <x v="0"/>
    <s v="ABEC"/>
    <s v="PMBCS"/>
    <x v="2"/>
    <x v="0"/>
    <x v="155"/>
    <s v="Rua Fazenda Iguaçú, s/n - Capocu."/>
    <x v="1"/>
    <x v="2"/>
    <x v="32"/>
    <n v="1"/>
    <d v="2020-02-18T00:00:00"/>
    <s v="Ainda aguardando o andamento do processo de sobrepartilha."/>
    <s v="-"/>
    <s v="Jurídico Externo"/>
    <x v="1"/>
  </r>
  <r>
    <x v="260"/>
    <x v="2"/>
    <x v="0"/>
    <s v="ABEC"/>
    <s v="PMBCS"/>
    <x v="2"/>
    <x v="0"/>
    <x v="155"/>
    <s v="Rua Fazenda Iguaçú, s/n - Capocu."/>
    <x v="1"/>
    <x v="2"/>
    <x v="32"/>
    <n v="1"/>
    <d v="2019-09-17T00:00:00"/>
    <s v="Trabalho de levantamento topográfico entregue, entretanto o Registro de Imóveis, pediu para incluir a servidão de passagem, alterar o nome do inventário do Sr. João Claudino para o inventariante e excluir a área de usucapião. Rubens informa que já incluiu a servidão de passagem; bem como excluiu a área de usucapião. Estamos no aguardo da Lais obter da advogada da família concluir o processo de sobrepartilha de bens referente ao espólio do Sr. João Claudino Ferreira, para inserir os nomes dos inventariantes."/>
    <s v="-"/>
    <s v="Jurídico Externo"/>
    <x v="1"/>
  </r>
  <r>
    <x v="260"/>
    <x v="2"/>
    <x v="0"/>
    <s v="ABEC"/>
    <s v="PMBCS"/>
    <x v="2"/>
    <x v="0"/>
    <x v="155"/>
    <s v="Rua Fazenda Iguaçú, s/n - Capocu."/>
    <x v="1"/>
    <x v="2"/>
    <x v="32"/>
    <n v="1"/>
    <m/>
    <s v="-"/>
    <s v="-"/>
    <s v="Jurídico Externo"/>
    <x v="1"/>
  </r>
  <r>
    <x v="260"/>
    <x v="2"/>
    <x v="0"/>
    <s v="ABEC"/>
    <s v="PMBCS"/>
    <x v="2"/>
    <x v="0"/>
    <x v="155"/>
    <s v="Rua Fazenda Iguaçú, s/n - Capocu."/>
    <x v="1"/>
    <x v="2"/>
    <x v="32"/>
    <n v="1"/>
    <d v="2020-03-16T00:00:00"/>
    <s v="Ainda aguardando o andamento do processo de sobrepartilha."/>
    <s v="-"/>
    <s v="Jurídico Externo"/>
    <x v="1"/>
  </r>
  <r>
    <x v="260"/>
    <x v="2"/>
    <x v="0"/>
    <s v="ABEC"/>
    <s v="PMBCS"/>
    <x v="2"/>
    <x v="0"/>
    <x v="155"/>
    <s v="Rua Fazenda Iguaçú, s/n - Capocu."/>
    <x v="1"/>
    <x v="2"/>
    <x v="32"/>
    <n v="1"/>
    <d v="2020-04-17T00:00:00"/>
    <s v="Ainda aguardando o andamento do processo de sobrepartilha."/>
    <s v="-"/>
    <s v="Jurídico Externo"/>
    <x v="1"/>
  </r>
  <r>
    <x v="260"/>
    <x v="2"/>
    <x v="0"/>
    <s v="ABEC"/>
    <s v="PMBCS"/>
    <x v="2"/>
    <x v="0"/>
    <x v="155"/>
    <s v="-"/>
    <x v="1"/>
    <x v="2"/>
    <x v="5"/>
    <n v="1"/>
    <d v="2020-06-15T00:00:00"/>
    <s v="O apontamento em relatório da empresa Ecco Ambiental é de que durante o último mês, não ocorreu nenhuma movimentação por parte do órgão no sentido de análise do cadastro."/>
    <s v="-"/>
    <s v="GPI"/>
    <x v="1"/>
  </r>
  <r>
    <x v="260"/>
    <x v="2"/>
    <x v="0"/>
    <s v="ABEC"/>
    <s v="PMBCS"/>
    <x v="2"/>
    <x v="0"/>
    <x v="155"/>
    <s v="-"/>
    <x v="1"/>
    <x v="2"/>
    <x v="32"/>
    <n v="1"/>
    <d v="2020-06-15T00:00:00"/>
    <s v="Ainda aguardando o andamento do processo de sobrepartilha. Realizado contato com engenheiro que realizou o levantamento topográfico da área usucapida para entender a diferença de áreas encontradas pelo engenheiro Rubens, o mesmo se recusou a enviar o material, pedindo para que fosse estabelecido contato com a Advogada do caso, Dra. Lizane. Esta por sua vez informa que ha divergência nas áreas totais do imóvel de marícula 47.941. Conversei com o Rubens que sugeriu uma reunião com os propietários para verificar tais divergências. Está sendo organizada a agenda. Em contrapartida está sendo verificado junto ao RI, uma forma de regularizar apenas a área pertencente ao Grupo. "/>
    <s v="-"/>
    <s v="Jurídico Externo"/>
    <x v="1"/>
  </r>
  <r>
    <x v="260"/>
    <x v="2"/>
    <x v="0"/>
    <s v="ABEC"/>
    <s v="PMBCS"/>
    <x v="2"/>
    <x v="0"/>
    <x v="155"/>
    <s v="-"/>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260"/>
    <x v="2"/>
    <x v="0"/>
    <s v="ABEC"/>
    <s v="PMBCS"/>
    <x v="2"/>
    <x v="0"/>
    <x v="155"/>
    <s v="-"/>
    <x v="1"/>
    <x v="2"/>
    <x v="32"/>
    <n v="1"/>
    <d v="2020-07-15T00:00:00"/>
    <s v="Escritório estabeleceu contato com o núcleo de regularizações buscando adotar o procedimento pró-diviso para tanto necessita que o responsável técnico elabore um projeto individualizado do lote. Situação relatada ao engenheiro o qual ficou de verificar junto aos demais proprietários."/>
    <s v="-"/>
    <s v="Jurídico Externo"/>
    <x v="1"/>
  </r>
  <r>
    <x v="261"/>
    <x v="2"/>
    <x v="0"/>
    <s v="ABEC"/>
    <s v="PMBCS"/>
    <x v="2"/>
    <x v="0"/>
    <x v="155"/>
    <s v="Rua Fazenda Iguaçú, s/n - Capocu."/>
    <x v="1"/>
    <x v="2"/>
    <x v="28"/>
    <n v="1"/>
    <d v="2019-12-15T00:00:00"/>
    <s v="Sem evolução no que diz respeito ao processo de sobrepartilha."/>
    <s v="-"/>
    <s v="GPI"/>
    <x v="1"/>
  </r>
  <r>
    <x v="261"/>
    <x v="2"/>
    <x v="0"/>
    <s v="ABEC"/>
    <s v="PMBCS"/>
    <x v="2"/>
    <x v="0"/>
    <x v="155"/>
    <s v="Rua Fazenda Iguaçú, s/n - Capocu."/>
    <x v="1"/>
    <x v="1"/>
    <x v="8"/>
    <n v="1"/>
    <d v="2019-09-30T00:00:00"/>
    <s v="Cobrança da área de Infra-Estrutura quanto ao Manifesto de Transporte de Resíduo e Anotação de Responsabilidade Técnica. Trabalho de campo (levantamento topográfico) realizado, pendente o informar ao engenheiro a titularidade dos confrontantes, para constar no trabalho."/>
    <s v="-"/>
    <s v="Jurídico Externo"/>
    <x v="1"/>
  </r>
  <r>
    <x v="261"/>
    <x v="2"/>
    <x v="0"/>
    <s v="ABEC"/>
    <s v="PMBCS"/>
    <x v="2"/>
    <x v="0"/>
    <x v="155"/>
    <s v="Rua Fazenda Iguaçú, s/n - Capocu."/>
    <x v="1"/>
    <x v="2"/>
    <x v="20"/>
    <n v="1"/>
    <m/>
    <s v="-"/>
    <s v="-"/>
    <s v="Jurídico Externo"/>
    <x v="1"/>
  </r>
  <r>
    <x v="261"/>
    <x v="2"/>
    <x v="0"/>
    <s v="ABEC"/>
    <s v="PMBCS"/>
    <x v="2"/>
    <x v="0"/>
    <x v="155"/>
    <s v="Rua Fazenda Iguaçú, s/n - Capocu."/>
    <x v="1"/>
    <x v="2"/>
    <x v="20"/>
    <n v="1"/>
    <d v="2020-03-17T00:00:00"/>
    <s v="Sem evolução no que diz respeito ao processo de sobrepartilha."/>
    <s v="-"/>
    <s v="GPI"/>
    <x v="1"/>
  </r>
  <r>
    <x v="261"/>
    <x v="2"/>
    <x v="0"/>
    <s v="ABEC"/>
    <s v="PMBCS"/>
    <x v="2"/>
    <x v="0"/>
    <x v="155"/>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261"/>
    <x v="2"/>
    <x v="0"/>
    <s v="ABEC"/>
    <s v="PMBCS"/>
    <x v="2"/>
    <x v="0"/>
    <x v="155"/>
    <s v="Rua Fazenda Iguaçú, s/n - Capocu."/>
    <x v="1"/>
    <x v="2"/>
    <x v="20"/>
    <n v="1"/>
    <d v="2020-06-15T00:00:00"/>
    <s v="Ainda aguardando o andamento do processo de sobrepartilha."/>
    <s v="-"/>
    <s v="GPI"/>
    <x v="1"/>
  </r>
  <r>
    <x v="261"/>
    <x v="2"/>
    <x v="0"/>
    <s v="ABEC"/>
    <s v="PMBCS"/>
    <x v="2"/>
    <x v="0"/>
    <x v="155"/>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261"/>
    <x v="2"/>
    <x v="0"/>
    <s v="ABEC"/>
    <s v="PMBCS"/>
    <x v="2"/>
    <x v="0"/>
    <x v="155"/>
    <s v="Rua Fazenda Iguaçú, s/n - Capocu."/>
    <x v="1"/>
    <x v="2"/>
    <x v="20"/>
    <n v="1"/>
    <d v="2020-07-15T00:00:00"/>
    <s v="Ainda aguardando o andamento do processo de sobrepartilha."/>
    <s v="-"/>
    <s v="GPI"/>
    <x v="1"/>
  </r>
  <r>
    <x v="262"/>
    <x v="6"/>
    <x v="0"/>
    <s v="ABEC"/>
    <s v="PMBCS"/>
    <x v="1"/>
    <x v="0"/>
    <x v="16"/>
    <s v="Rua Prof. Joaquim de Matos Barreto, nº 98 - São Lourenço."/>
    <x v="1"/>
    <x v="1"/>
    <x v="8"/>
    <n v="1"/>
    <d v="2020-07-16T00:00:00"/>
    <s v="Processo de alteração de titularidade ainda não realizado."/>
    <s v="-"/>
    <s v="Jurídico Externo"/>
    <x v="1"/>
  </r>
  <r>
    <x v="263"/>
    <x v="23"/>
    <x v="0"/>
    <s v="ABEC"/>
    <s v="GM"/>
    <x v="21"/>
    <x v="0"/>
    <x v="156"/>
    <s v="Avenida Harry Prochet, 400 - Jardim Mediterrâneo."/>
    <x v="1"/>
    <x v="2"/>
    <x v="8"/>
    <n v="1"/>
    <m/>
    <s v="Foi protocolizado o plano de recuperação de áreas degradadas. Desde a data em questão tem sido realizado o acampanhamento deste protocolo, o qual não teve nenhuma solicitação do MP tampouco do órgão competente até o fechamento do relatório."/>
    <s v="-"/>
    <s v="GPI"/>
    <x v="1"/>
  </r>
  <r>
    <x v="263"/>
    <x v="23"/>
    <x v="0"/>
    <s v="ABEC"/>
    <s v="GM"/>
    <x v="21"/>
    <x v="0"/>
    <x v="156"/>
    <s v="Avenida Harry Prochet, 400 - Jardim Mediterrâneo."/>
    <x v="1"/>
    <x v="2"/>
    <x v="8"/>
    <n v="1"/>
    <d v="2020-02-18T00:00:00"/>
    <s v="Ainda dentro do prazo prorrogado pelo Ministério Público."/>
    <s v="-"/>
    <s v="GPI"/>
    <x v="1"/>
  </r>
  <r>
    <x v="263"/>
    <x v="23"/>
    <x v="0"/>
    <s v="ABEC"/>
    <s v="GM"/>
    <x v="21"/>
    <x v="0"/>
    <x v="156"/>
    <s v="Avenida Harry Prochet, 400 - Jardim Mediterrâneo."/>
    <x v="1"/>
    <x v="2"/>
    <x v="8"/>
    <n v="1"/>
    <m/>
    <s v="Está em fase de elaboração do PRAD, pela empresa Eccoambiental. O fim do prazo para protocolo junto ao Ministério Público é 01/11/2019."/>
    <s v="-"/>
    <s v="GPI"/>
    <x v="1"/>
  </r>
  <r>
    <x v="263"/>
    <x v="23"/>
    <x v="0"/>
    <s v="ABEC"/>
    <s v="GM"/>
    <x v="21"/>
    <x v="0"/>
    <x v="156"/>
    <s v="Avenida Harry Prochet, 400 - Jardim Mediterrâneo."/>
    <x v="1"/>
    <x v="2"/>
    <x v="38"/>
    <n v="1"/>
    <d v="2020-01-13T00:00:00"/>
    <s v="Retorno do Ministério Público quanto ao decorrer do prazo para análise, 90 dias a contar de 01/01/2020, portanto fim do prazo em 31/03/2020._x000a_Grasiela, informou que na próxima semana estará em Londrina, com a Indiuara e se prontificou a comparecer no Ministério Público e cobrar."/>
    <s v="-"/>
    <s v="GPI"/>
    <x v="1"/>
  </r>
  <r>
    <x v="263"/>
    <x v="23"/>
    <x v="0"/>
    <s v="ABEC"/>
    <s v="GM"/>
    <x v="21"/>
    <x v="0"/>
    <x v="156"/>
    <s v="Avenida Harry Prochet, 400 - Jardim Mediterrâneo."/>
    <x v="1"/>
    <x v="2"/>
    <x v="38"/>
    <n v="1"/>
    <d v="2020-05-11T00:00:00"/>
    <s v="Aguarda-se o envio da proposta de execução do PRAD, por parte da empresa EccoAmbiental, que por sua vez aguarda reestabelecimento de contato por parte do MP."/>
    <s v="-"/>
    <s v="GPI"/>
    <x v="1"/>
  </r>
  <r>
    <x v="263"/>
    <x v="23"/>
    <x v="0"/>
    <s v="ABEC"/>
    <s v="GM"/>
    <x v="21"/>
    <x v="0"/>
    <x v="156"/>
    <s v="Avenida Harry Prochet, 400 - Jardim Mediterrâneo."/>
    <x v="1"/>
    <x v="2"/>
    <x v="38"/>
    <n v="1"/>
    <d v="2020-06-15T00:00:00"/>
    <s v="Agendado para este mês um contato com a Secretaria Municipal do Ambiente e Ministério Público, para encaminhamento de cronograma de implantação do Plano de Recuperação de Áreas Degradadas e dilação de prazo para execução das atividades."/>
    <s v="-"/>
    <s v="GPI"/>
    <x v="1"/>
  </r>
  <r>
    <x v="264"/>
    <x v="2"/>
    <x v="0"/>
    <s v="ABEC"/>
    <s v="PMBCS"/>
    <x v="2"/>
    <x v="0"/>
    <x v="2"/>
    <s v="-"/>
    <x v="1"/>
    <x v="1"/>
    <x v="8"/>
    <n v="1"/>
    <d v="2019-12-15T00:00:00"/>
    <s v="Conseguimos contato com uma das herdeiras dos demais proprietários que informou que pelo conhecimento que ela tem, o imóvel havia sido vendido ao Grupo Marista. Estamos efetuando buscas no tabelionato para confirmar se existe escritura de compra e venda. "/>
    <s v="-"/>
    <s v="Jurídico Externo"/>
    <x v="1"/>
  </r>
  <r>
    <x v="264"/>
    <x v="2"/>
    <x v="0"/>
    <s v="ABEC"/>
    <s v="PMBCS"/>
    <x v="2"/>
    <x v="0"/>
    <x v="2"/>
    <s v="-"/>
    <x v="1"/>
    <x v="2"/>
    <x v="8"/>
    <n v="1"/>
    <d v="2020-01-17T00:00:00"/>
    <s v="Buscas não conclusivas para confirmação da existência da venda da outra parte do lote. Verificando possibilidades para sequência."/>
    <s v="-"/>
    <s v="Jurídico Externo"/>
    <x v="1"/>
  </r>
  <r>
    <x v="264"/>
    <x v="2"/>
    <x v="0"/>
    <s v="ABEC"/>
    <s v="PMBCS"/>
    <x v="2"/>
    <x v="0"/>
    <x v="2"/>
    <s v="-"/>
    <x v="1"/>
    <x v="2"/>
    <x v="8"/>
    <n v="1"/>
    <d v="2020-02-18T00:00:00"/>
    <s v="Diante do esgotamento das buscas, a estratégia a ser adota será o pedido de usucapião."/>
    <s v="-"/>
    <s v="Jurídico Externo"/>
    <x v="1"/>
  </r>
  <r>
    <x v="264"/>
    <x v="2"/>
    <x v="0"/>
    <s v="ABEC"/>
    <s v="PMBCS"/>
    <x v="2"/>
    <x v="0"/>
    <x v="2"/>
    <s v="Rua Fazenda Iguaçú, s/n - Capocu."/>
    <x v="1"/>
    <x v="2"/>
    <x v="39"/>
    <n v="1"/>
    <m/>
    <s v="Necessária correção do NIRF e a baixa do pacto comissório. Aguardando definição do Irmão."/>
    <s v="-"/>
    <s v="Jurídico Externo"/>
    <x v="1"/>
  </r>
  <r>
    <x v="264"/>
    <x v="2"/>
    <x v="0"/>
    <s v="ABEC"/>
    <s v="PMBCS"/>
    <x v="2"/>
    <x v="0"/>
    <x v="2"/>
    <s v="-"/>
    <x v="1"/>
    <x v="2"/>
    <x v="39"/>
    <n v="1"/>
    <m/>
    <s v="Muito embora o tipo de regularização descrito seja retificação, a estratégia adota para a regularização, inicia pela usucapião, para que o Grupo (APC) possa ter a propriedade da área remanescente da matrícula e por conseguinte seja realizada a retificação da área. Providênciando a ata para Usucapião."/>
    <s v="-"/>
    <s v="Jurídico Externo"/>
    <x v="1"/>
  </r>
  <r>
    <x v="264"/>
    <x v="2"/>
    <x v="0"/>
    <s v="ABEC"/>
    <s v="PMBCS"/>
    <x v="2"/>
    <x v="0"/>
    <x v="2"/>
    <s v="Rua Fazenda Iguaçú, s/n - Capocu."/>
    <x v="1"/>
    <x v="2"/>
    <x v="4"/>
    <n v="1"/>
    <m/>
    <s v="-"/>
    <s v="-"/>
    <s v="Jurídico Interno"/>
    <x v="1"/>
  </r>
  <r>
    <x v="264"/>
    <x v="2"/>
    <x v="0"/>
    <s v="ABEC"/>
    <s v="PMBCS"/>
    <x v="2"/>
    <x v="0"/>
    <x v="2"/>
    <s v="Rua Fazenda Iguaçú, s/n - Capocu."/>
    <x v="1"/>
    <x v="2"/>
    <x v="4"/>
    <n v="1"/>
    <m/>
    <s v="-"/>
    <s v="-"/>
    <s v="Jurídico Interno"/>
    <x v="1"/>
  </r>
  <r>
    <x v="264"/>
    <x v="2"/>
    <x v="0"/>
    <s v="ABEC"/>
    <s v="PMBCS"/>
    <x v="2"/>
    <x v="0"/>
    <x v="2"/>
    <s v="Rua Fazenda Iguaçú, s/n - Capocu."/>
    <x v="1"/>
    <x v="2"/>
    <x v="8"/>
    <n v="1"/>
    <d v="2020-05-11T00:00:00"/>
    <s v="Realizando estudo das matrículas anteriores, para identificar se houve erro material na abertura da matrícula. "/>
    <s v="-"/>
    <s v="Jurídico Externo"/>
    <x v="1"/>
  </r>
  <r>
    <x v="264"/>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264"/>
    <x v="2"/>
    <x v="0"/>
    <s v="ABEC"/>
    <s v="PMBCS"/>
    <x v="2"/>
    <x v="0"/>
    <x v="2"/>
    <s v="Rua Fazenda Iguaçú, s/n - Capocu."/>
    <x v="1"/>
    <x v="2"/>
    <x v="8"/>
    <n v="1"/>
    <d v="2020-06-16T00:00:00"/>
    <s v="Confimado que não houve erro material. Seguindo com a ação de usupião."/>
    <s v="-"/>
    <s v="Jurídico Externo"/>
    <x v="1"/>
  </r>
  <r>
    <x v="264"/>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Jurídico Externo"/>
    <x v="1"/>
  </r>
  <r>
    <x v="264"/>
    <x v="2"/>
    <x v="0"/>
    <s v="ABEC"/>
    <s v="PMBCS"/>
    <x v="2"/>
    <x v="0"/>
    <x v="2"/>
    <s v="Rua Fazenda Iguaçú, s/n - Capocu."/>
    <x v="1"/>
    <x v="2"/>
    <x v="8"/>
    <n v="1"/>
    <m/>
    <s v="-"/>
    <s v="-"/>
    <s v="Jurídico Externo"/>
    <x v="1"/>
  </r>
  <r>
    <x v="265"/>
    <x v="43"/>
    <x v="0"/>
    <s v="ABEC"/>
    <s v="GM"/>
    <x v="38"/>
    <x v="0"/>
    <x v="94"/>
    <s v="Margens Rodovia BR-376 - Cumbica."/>
    <x v="2"/>
    <x v="0"/>
    <x v="0"/>
    <n v="0"/>
    <m/>
    <s v="-"/>
    <s v="-"/>
    <s v="Verificar"/>
    <x v="1"/>
  </r>
  <r>
    <x v="266"/>
    <x v="43"/>
    <x v="0"/>
    <s v="ABEC"/>
    <s v="GM"/>
    <x v="38"/>
    <x v="0"/>
    <x v="94"/>
    <s v="Margens Rodovia BR-376 - Cumbica."/>
    <x v="2"/>
    <x v="0"/>
    <x v="0"/>
    <n v="0"/>
    <m/>
    <s v="-"/>
    <s v="-"/>
    <s v="Verificar"/>
    <x v="1"/>
  </r>
  <r>
    <x v="267"/>
    <x v="49"/>
    <x v="0"/>
    <s v="UCE"/>
    <s v="GM"/>
    <x v="44"/>
    <x v="1"/>
    <x v="106"/>
    <s v="Rod. SC 480, Km 4 - Rodeio Chato."/>
    <x v="1"/>
    <x v="3"/>
    <x v="40"/>
    <n v="1"/>
    <d v="2019-10-15T00:00:00"/>
    <s v="Esta matrícula integra o imóvel em questão, todavia a linha de raciocínio estabelecida pelo escritório é de que somente será tomada providência quando finalizada a regularização da matrícula 40.125."/>
    <s v="-"/>
    <s v="Jurídico Externo"/>
    <x v="1"/>
  </r>
  <r>
    <x v="267"/>
    <x v="49"/>
    <x v="0"/>
    <s v="UCE"/>
    <s v="GM"/>
    <x v="44"/>
    <x v="1"/>
    <x v="106"/>
    <s v="Rod. SC 480, Km 4 - Rodeio Chato."/>
    <x v="1"/>
    <x v="3"/>
    <x v="40"/>
    <n v="1"/>
    <d v="2019-12-15T00:00:00"/>
    <s v="Sem movimentação processual desde a última atualização até o presente momento."/>
    <s v="-"/>
    <s v="Jurídico Externo"/>
    <x v="1"/>
  </r>
  <r>
    <x v="267"/>
    <x v="49"/>
    <x v="0"/>
    <s v="UCE"/>
    <s v="GM"/>
    <x v="44"/>
    <x v="1"/>
    <x v="106"/>
    <s v="Rod. SC 480, Km 4 - Rodeio Chato."/>
    <x v="1"/>
    <x v="2"/>
    <x v="36"/>
    <n v="1"/>
    <d v="2020-01-13T00:00:00"/>
    <s v="Ainda no aguardo de retorno da solicitação de cancelamento, já protocolizada."/>
    <s v="-"/>
    <s v="GPI"/>
    <x v="1"/>
  </r>
  <r>
    <x v="267"/>
    <x v="49"/>
    <x v="0"/>
    <s v="UCE"/>
    <s v="GM"/>
    <x v="44"/>
    <x v="1"/>
    <x v="106"/>
    <s v="Rod. SC 480, Km 4 - Rodeio Chato."/>
    <x v="1"/>
    <x v="2"/>
    <x v="36"/>
    <n v="1"/>
    <d v="2020-01-17T00:00:00"/>
    <s v="Tendo em vista que a regularização da matrícula de n.º 40.125 ainda não evoluiu, até a data de fechamento deste relatório esta regularização não apresentou evolução."/>
    <s v="-"/>
    <s v="GPI"/>
    <x v="1"/>
  </r>
  <r>
    <x v="267"/>
    <x v="49"/>
    <x v="0"/>
    <s v="UCE"/>
    <s v="GM"/>
    <x v="44"/>
    <x v="1"/>
    <x v="106"/>
    <s v="Rod. SC 480, Km 4 - Rodeio Chato."/>
    <x v="1"/>
    <x v="2"/>
    <x v="36"/>
    <n v="1"/>
    <d v="2020-02-18T00:00:00"/>
    <s v="Ainda aguardando a finalização da regularização da matrícula 40.125."/>
    <s v="-"/>
    <s v="GPI"/>
    <x v="1"/>
  </r>
  <r>
    <x v="267"/>
    <x v="49"/>
    <x v="0"/>
    <s v="UCE"/>
    <s v="GM"/>
    <x v="44"/>
    <x v="1"/>
    <x v="106"/>
    <s v="Rod. SC 480, Km 4 - Rodeio Chato."/>
    <x v="1"/>
    <x v="2"/>
    <x v="36"/>
    <n v="1"/>
    <d v="2020-05-11T00:00:00"/>
    <s v="Aguardando retorno da solicitação de cancelamento do CAR, o qual trabalha apenas por e-mail, e que não tem dado retorno, possivelmente em decorrência das restrições promovidas pela pandemia."/>
    <s v="-"/>
    <s v="GPI"/>
    <x v="1"/>
  </r>
  <r>
    <x v="267"/>
    <x v="49"/>
    <x v="0"/>
    <s v="UCE"/>
    <s v="GM"/>
    <x v="44"/>
    <x v="1"/>
    <x v="106"/>
    <s v="Rod. SC 480, Km 4 - Rodeio Chato."/>
    <x v="1"/>
    <x v="2"/>
    <x v="36"/>
    <n v="1"/>
    <d v="2020-07-15T00:00:00"/>
    <s v="Aguardando retorno da solicitação de cancelamento do CAR."/>
    <s v="-"/>
    <s v="GPI"/>
    <x v="1"/>
  </r>
  <r>
    <x v="267"/>
    <x v="49"/>
    <x v="0"/>
    <s v="UCE"/>
    <s v="GM"/>
    <x v="44"/>
    <x v="1"/>
    <x v="106"/>
    <s v="Rod. SC 480, Km 4 - Rodeio Chato."/>
    <x v="1"/>
    <x v="2"/>
    <x v="36"/>
    <n v="1"/>
    <d v="2020-07-27T00:00:00"/>
    <s v="Segundo informações, toda a equipe foi alterada, inclusive o endereço de e-mail passou por alteração, e somente agora conseguiram redirecionar o endereço antigo para o novo endereço de e-mail. Em contato com integrante da nova equipe, repassou a lista de documentos que precisa para a solicitação de cancelamento. Sendo informado que trata-se de uma solicitação já em andamento e que a solicitação prestava-se para pedido de informações da evolução do pedido. Ainda sem retorno. "/>
    <s v="-"/>
    <s v="GPI"/>
    <x v="1"/>
  </r>
  <r>
    <x v="268"/>
    <x v="29"/>
    <x v="0"/>
    <s v="ABEC"/>
    <s v="GM"/>
    <x v="21"/>
    <x v="0"/>
    <x v="157"/>
    <s v="-"/>
    <x v="1"/>
    <x v="2"/>
    <x v="20"/>
    <n v="1"/>
    <d v="2020-05-15T00:00:00"/>
    <s v="Procuradoria jurídica encaminha ao setor de patrimônio imobiliário notificação extrajudicial para encaminhamento a prefeitura de Londrina, para que se abstenha de cobrar tributos da ABEC tendo em vista a doação (ainda que sem o ato público)."/>
    <s v="-"/>
    <s v="GPI"/>
    <x v="1"/>
  </r>
  <r>
    <x v="268"/>
    <x v="29"/>
    <x v="0"/>
    <s v="ABEC"/>
    <s v="GM"/>
    <x v="21"/>
    <x v="0"/>
    <x v="157"/>
    <s v="-"/>
    <x v="1"/>
    <x v="2"/>
    <x v="20"/>
    <n v="1"/>
    <d v="2020-05-18T00:00:00"/>
    <s v="Despachante local Alfredo Canezin, protocola a notificação na prefeitura."/>
    <s v="-"/>
    <s v="GPI"/>
    <x v="1"/>
  </r>
  <r>
    <x v="268"/>
    <x v="29"/>
    <x v="0"/>
    <s v="ABEC"/>
    <s v="GM"/>
    <x v="21"/>
    <x v="0"/>
    <x v="157"/>
    <s v="-"/>
    <x v="1"/>
    <x v="2"/>
    <x v="20"/>
    <n v="1"/>
    <d v="2020-06-17T00:00:00"/>
    <s v="Alfredo Canezin encaminha movimentação processual, que teve por despacho a sugestão do encaminhamento do processo a secretaria municipal de educação."/>
    <s v="-"/>
    <s v="GPI"/>
    <x v="1"/>
  </r>
  <r>
    <x v="268"/>
    <x v="29"/>
    <x v="0"/>
    <s v="ABEC"/>
    <s v="GM"/>
    <x v="21"/>
    <x v="0"/>
    <x v="157"/>
    <s v="-"/>
    <x v="1"/>
    <x v="2"/>
    <x v="20"/>
    <n v="1"/>
    <d v="2020-07-03T00:00:00"/>
    <s v="Reestabelecido contato com Sr. Alfredo Canezin, para averiguar se porventura teria ocorrido movimentação processual. Todavia informado que não teve movimentação desde o dia 10/06."/>
    <s v="-"/>
    <s v="GPI"/>
    <x v="1"/>
  </r>
  <r>
    <x v="269"/>
    <x v="38"/>
    <x v="0"/>
    <s v="ABEC"/>
    <s v="PMBCS"/>
    <x v="33"/>
    <x v="3"/>
    <x v="82"/>
    <s v="Rua Justo Azambuja, 121 / 185 / 229 - Cambuci."/>
    <x v="1"/>
    <x v="1"/>
    <x v="8"/>
    <n v="1"/>
    <d v="2020-07-16T00:00:00"/>
    <s v="Processo de alteração de titularidade ainda não realizado."/>
    <s v="-"/>
    <s v="Jurídico Externo"/>
    <x v="1"/>
  </r>
  <r>
    <x v="270"/>
    <x v="21"/>
    <x v="0"/>
    <s v="UCE"/>
    <s v="PMBCS"/>
    <x v="33"/>
    <x v="3"/>
    <x v="158"/>
    <s v="-"/>
    <x v="2"/>
    <x v="0"/>
    <x v="0"/>
    <n v="0"/>
    <m/>
    <s v="-"/>
    <s v="-"/>
    <s v="Verificar"/>
    <x v="1"/>
  </r>
  <r>
    <x v="271"/>
    <x v="53"/>
    <x v="0"/>
    <s v="ABEC"/>
    <s v="PMBCS"/>
    <x v="34"/>
    <x v="0"/>
    <x v="159"/>
    <s v="Rua João Pessoa, nº 61 - Edifício Porto Seguro."/>
    <x v="2"/>
    <x v="0"/>
    <x v="0"/>
    <n v="0"/>
    <m/>
    <s v="-"/>
    <s v="-"/>
    <s v="Jurídico Externo"/>
    <x v="20"/>
  </r>
  <r>
    <x v="272"/>
    <x v="53"/>
    <x v="0"/>
    <s v="ABEC"/>
    <s v="PMBCS"/>
    <x v="34"/>
    <x v="0"/>
    <x v="159"/>
    <s v="Rua João Pessoa, nº 61 - Edifício Porto Seguro."/>
    <x v="2"/>
    <x v="0"/>
    <x v="0"/>
    <n v="0"/>
    <m/>
    <s v="-"/>
    <s v="-"/>
    <s v="Jurídico Externo"/>
    <x v="20"/>
  </r>
  <r>
    <x v="273"/>
    <x v="55"/>
    <x v="0"/>
    <s v="UCE"/>
    <s v="GM"/>
    <x v="8"/>
    <x v="1"/>
    <x v="160"/>
    <s v="Rua Sertão do Assopro, s/nº CEP 88062-002 - Morro da Lagoa."/>
    <x v="1"/>
    <x v="3"/>
    <x v="9"/>
    <n v="1"/>
    <m/>
    <s v="-"/>
    <s v="-"/>
    <s v="Jurídico Externo"/>
    <x v="1"/>
  </r>
  <r>
    <x v="273"/>
    <x v="55"/>
    <x v="0"/>
    <s v="UCE"/>
    <s v="GM"/>
    <x v="8"/>
    <x v="1"/>
    <x v="160"/>
    <s v="Rua Sertão do Assopro, s/nº CEP 88062-002 - Morro da Lagoa."/>
    <x v="1"/>
    <x v="5"/>
    <x v="8"/>
    <n v="1"/>
    <d v="2020-03-05T00:00:00"/>
    <s v="Este caso integra a cisão II, conforme e-mail encaminhado pela gestora de Patrimônio Imobiliário ao núcleo de regularizações."/>
    <s v="-"/>
    <s v="Jurídico Externo"/>
    <x v="1"/>
  </r>
  <r>
    <x v="273"/>
    <x v="55"/>
    <x v="0"/>
    <s v="UCE"/>
    <s v="GM"/>
    <x v="8"/>
    <x v="1"/>
    <x v="160"/>
    <s v="Rua Sertão do Assopro, s/nº CEP 88062-002 - Morro da Lagoa."/>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Jurídico Externo"/>
    <x v="1"/>
  </r>
  <r>
    <x v="273"/>
    <x v="55"/>
    <x v="0"/>
    <s v="UCE"/>
    <s v="GM"/>
    <x v="8"/>
    <x v="1"/>
    <x v="160"/>
    <s v="Rua Sertão do Assopro, s/nº CEP 88062-002 - Morro da Lagoa."/>
    <x v="1"/>
    <x v="5"/>
    <x v="8"/>
    <n v="1"/>
    <d v="2020-06-10T00:00:00"/>
    <s v="Núcleo de regularizações retoma a solicitação de informações a gestora de patrimônio imobiliário, quanto a Ata."/>
    <s v="-"/>
    <s v="Jurídico Externo"/>
    <x v="1"/>
  </r>
  <r>
    <x v="273"/>
    <x v="55"/>
    <x v="0"/>
    <s v="UCE"/>
    <s v="GM"/>
    <x v="8"/>
    <x v="1"/>
    <x v="160"/>
    <s v="Rua Sertão do Assopro, s/nº CEP 88062-002 - Morro da Lagoa."/>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Jurídico Externo"/>
    <x v="1"/>
  </r>
  <r>
    <x v="273"/>
    <x v="55"/>
    <x v="0"/>
    <s v="UCE"/>
    <s v="GM"/>
    <x v="8"/>
    <x v="1"/>
    <x v="160"/>
    <s v="Rua Sertão do Assopro, s/nº CEP 88062-002 - Morro da Lagoa."/>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Jurídico Externo"/>
    <x v="1"/>
  </r>
  <r>
    <x v="273"/>
    <x v="55"/>
    <x v="0"/>
    <s v="UCE"/>
    <s v="GM"/>
    <x v="8"/>
    <x v="1"/>
    <x v="160"/>
    <s v="Rua Sertão do Assopro, s/nº CEP 88062-002 - Morro da Lagoa."/>
    <x v="1"/>
    <x v="5"/>
    <x v="8"/>
    <n v="1"/>
    <d v="2020-07-02T00:00:00"/>
    <s v="Núcleo de regularizações retoma a solicitação de informações junto a PROJUR, na pessoa da Sra. Crislei."/>
    <s v="-"/>
    <s v="Jurídico Externo"/>
    <x v="1"/>
  </r>
  <r>
    <x v="274"/>
    <x v="54"/>
    <x v="0"/>
    <s v="UCE"/>
    <s v="PMBCS"/>
    <x v="8"/>
    <x v="1"/>
    <x v="161"/>
    <s v="Rua Padre Marcelino Champagnat, 100 - Jd. Atlântico."/>
    <x v="1"/>
    <x v="1"/>
    <x v="8"/>
    <n v="1"/>
    <m/>
    <s v="-"/>
    <s v="-"/>
    <s v="Jurídico Externo"/>
    <x v="1"/>
  </r>
  <r>
    <x v="275"/>
    <x v="54"/>
    <x v="0"/>
    <s v="UCE"/>
    <s v="PMBCS"/>
    <x v="8"/>
    <x v="1"/>
    <x v="162"/>
    <s v="Rua Padre Marcelino Champagnat, 100 - Jd. Atlântico."/>
    <x v="2"/>
    <x v="0"/>
    <x v="0"/>
    <n v="0"/>
    <m/>
    <s v="-"/>
    <s v="-"/>
    <s v="Jurídico Externo"/>
    <x v="1"/>
  </r>
  <r>
    <x v="276"/>
    <x v="54"/>
    <x v="0"/>
    <s v="UCE"/>
    <s v="PMBCS"/>
    <x v="8"/>
    <x v="1"/>
    <x v="163"/>
    <s v="Avenida Rio Branco, nº 333 - Centro."/>
    <x v="2"/>
    <x v="0"/>
    <x v="0"/>
    <n v="0"/>
    <m/>
    <s v="-"/>
    <s v="-"/>
    <s v="Jurídico Externo"/>
    <x v="1"/>
  </r>
  <r>
    <x v="277"/>
    <x v="54"/>
    <x v="0"/>
    <s v="UCE"/>
    <s v="PMBCS"/>
    <x v="8"/>
    <x v="1"/>
    <x v="164"/>
    <s v="Avenida Rio Branco, nº 333 - Centro."/>
    <x v="2"/>
    <x v="0"/>
    <x v="0"/>
    <n v="0"/>
    <m/>
    <s v="-"/>
    <s v="-"/>
    <s v="Jurídico Externo"/>
    <x v="1"/>
  </r>
  <r>
    <x v="278"/>
    <x v="54"/>
    <x v="0"/>
    <s v="UCE"/>
    <s v="PMBCS"/>
    <x v="8"/>
    <x v="1"/>
    <x v="165"/>
    <s v="Avenida Rio Branco, nº 333 - Centro."/>
    <x v="2"/>
    <x v="0"/>
    <x v="0"/>
    <n v="0"/>
    <m/>
    <s v="-"/>
    <s v="-"/>
    <s v="Jurídico Externo"/>
    <x v="1"/>
  </r>
  <r>
    <x v="279"/>
    <x v="54"/>
    <x v="0"/>
    <s v="UCE"/>
    <s v="PMBCS"/>
    <x v="8"/>
    <x v="1"/>
    <x v="166"/>
    <s v="Avenida Rio Branco, nº 333 - Centro."/>
    <x v="2"/>
    <x v="0"/>
    <x v="0"/>
    <n v="0"/>
    <m/>
    <s v="-"/>
    <s v="-"/>
    <s v="Jurídico Externo"/>
    <x v="1"/>
  </r>
  <r>
    <x v="280"/>
    <x v="54"/>
    <x v="0"/>
    <s v="UCE"/>
    <s v="PMBCS"/>
    <x v="8"/>
    <x v="1"/>
    <x v="167"/>
    <s v="Avenida Rio Branco, nº 333 - Centro."/>
    <x v="2"/>
    <x v="0"/>
    <x v="0"/>
    <n v="0"/>
    <m/>
    <s v="-"/>
    <s v="-"/>
    <s v="Jurídico Externo"/>
    <x v="1"/>
  </r>
  <r>
    <x v="281"/>
    <x v="54"/>
    <x v="0"/>
    <s v="UCE"/>
    <s v="PMBCS"/>
    <x v="8"/>
    <x v="1"/>
    <x v="168"/>
    <s v="Avenida Rio Branco, nº 333 - Centro."/>
    <x v="2"/>
    <x v="0"/>
    <x v="0"/>
    <n v="0"/>
    <m/>
    <s v="-"/>
    <s v="-"/>
    <s v="Jurídico Externo"/>
    <x v="1"/>
  </r>
  <r>
    <x v="282"/>
    <x v="54"/>
    <x v="0"/>
    <s v="UCE"/>
    <s v="PMBCS"/>
    <x v="8"/>
    <x v="1"/>
    <x v="169"/>
    <s v="Avenida Rio Branco, nº 333 - Centro."/>
    <x v="2"/>
    <x v="0"/>
    <x v="0"/>
    <n v="0"/>
    <m/>
    <s v="-"/>
    <s v="-"/>
    <s v="Jurídico Externo"/>
    <x v="1"/>
  </r>
  <r>
    <x v="283"/>
    <x v="54"/>
    <x v="0"/>
    <s v="UCE"/>
    <s v="PMBCS"/>
    <x v="8"/>
    <x v="1"/>
    <x v="170"/>
    <s v="Avenida Rio Branco, nº 333 - Centro."/>
    <x v="2"/>
    <x v="0"/>
    <x v="0"/>
    <n v="0"/>
    <m/>
    <s v="-"/>
    <s v="-"/>
    <s v="Jurídico Externo"/>
    <x v="1"/>
  </r>
  <r>
    <x v="284"/>
    <x v="54"/>
    <x v="0"/>
    <s v="UCE"/>
    <s v="PMBCS"/>
    <x v="8"/>
    <x v="1"/>
    <x v="171"/>
    <s v="Avenida Rio Branco, nº 333 - Centro."/>
    <x v="2"/>
    <x v="0"/>
    <x v="0"/>
    <n v="0"/>
    <m/>
    <s v="-"/>
    <s v="-"/>
    <s v="Jurídico Externo"/>
    <x v="1"/>
  </r>
  <r>
    <x v="285"/>
    <x v="54"/>
    <x v="0"/>
    <s v="UCE"/>
    <s v="PMBCS"/>
    <x v="8"/>
    <x v="1"/>
    <x v="172"/>
    <s v="Avenida Rio Branco, nº 333 - Centro."/>
    <x v="2"/>
    <x v="0"/>
    <x v="0"/>
    <n v="0"/>
    <m/>
    <s v="-"/>
    <s v="-"/>
    <s v="Jurídico Externo"/>
    <x v="1"/>
  </r>
  <r>
    <x v="286"/>
    <x v="54"/>
    <x v="0"/>
    <s v="UCE"/>
    <s v="PMBCS"/>
    <x v="8"/>
    <x v="1"/>
    <x v="173"/>
    <s v="Avenida Rio Branco, nº 333 - Centro."/>
    <x v="2"/>
    <x v="0"/>
    <x v="0"/>
    <n v="0"/>
    <m/>
    <s v="-"/>
    <s v="-"/>
    <s v="Jurídico Externo"/>
    <x v="1"/>
  </r>
  <r>
    <x v="287"/>
    <x v="54"/>
    <x v="0"/>
    <s v="UCE"/>
    <s v="PMBCS"/>
    <x v="8"/>
    <x v="1"/>
    <x v="174"/>
    <s v="Avenida Rio Branco, nº 333 - Centro."/>
    <x v="2"/>
    <x v="0"/>
    <x v="0"/>
    <n v="0"/>
    <m/>
    <s v="-"/>
    <s v="-"/>
    <s v="Jurídico Externo"/>
    <x v="1"/>
  </r>
  <r>
    <x v="288"/>
    <x v="54"/>
    <x v="0"/>
    <s v="UCE"/>
    <s v="PMBCS"/>
    <x v="8"/>
    <x v="1"/>
    <x v="175"/>
    <s v="Avenida Rio Branco, nº 333 - Centro."/>
    <x v="2"/>
    <x v="0"/>
    <x v="0"/>
    <n v="0"/>
    <m/>
    <s v="-"/>
    <s v="-"/>
    <s v="Jurídico Externo"/>
    <x v="1"/>
  </r>
  <r>
    <x v="289"/>
    <x v="54"/>
    <x v="0"/>
    <s v="UCE"/>
    <s v="PMBCS"/>
    <x v="8"/>
    <x v="1"/>
    <x v="176"/>
    <s v="Avenida Rio Branco, nº 333 - Centro."/>
    <x v="2"/>
    <x v="0"/>
    <x v="0"/>
    <n v="0"/>
    <m/>
    <s v="-"/>
    <s v="-"/>
    <s v="Jurídico Externo"/>
    <x v="1"/>
  </r>
  <r>
    <x v="290"/>
    <x v="54"/>
    <x v="0"/>
    <s v="UCE"/>
    <s v="PMBCS"/>
    <x v="8"/>
    <x v="1"/>
    <x v="177"/>
    <s v="Avenida Rio Branco, nº 333 - Centro."/>
    <x v="2"/>
    <x v="0"/>
    <x v="0"/>
    <n v="0"/>
    <m/>
    <s v="-"/>
    <s v="-"/>
    <s v="Jurídico Externo"/>
    <x v="1"/>
  </r>
  <r>
    <x v="291"/>
    <x v="54"/>
    <x v="0"/>
    <s v="UCE"/>
    <s v="PMBCS"/>
    <x v="8"/>
    <x v="1"/>
    <x v="178"/>
    <s v="Avenida Rio Branco, nº 333 - Centro."/>
    <x v="2"/>
    <x v="0"/>
    <x v="0"/>
    <n v="0"/>
    <m/>
    <s v="-"/>
    <s v="-"/>
    <s v="Jurídico Externo"/>
    <x v="1"/>
  </r>
  <r>
    <x v="292"/>
    <x v="54"/>
    <x v="0"/>
    <s v="UCE"/>
    <s v="PMBCS"/>
    <x v="8"/>
    <x v="1"/>
    <x v="179"/>
    <s v="Avenida Rio Branco, nº 333 - Centro."/>
    <x v="2"/>
    <x v="0"/>
    <x v="0"/>
    <n v="0"/>
    <m/>
    <s v="-"/>
    <s v="-"/>
    <s v="Jurídico Externo"/>
    <x v="1"/>
  </r>
  <r>
    <x v="293"/>
    <x v="54"/>
    <x v="0"/>
    <s v="UCE"/>
    <s v="PMBCS"/>
    <x v="8"/>
    <x v="1"/>
    <x v="180"/>
    <s v="Avenida Rio Branco, nº 333 - Centro."/>
    <x v="2"/>
    <x v="0"/>
    <x v="0"/>
    <n v="0"/>
    <m/>
    <s v="-"/>
    <s v="-"/>
    <s v="Jurídico Externo"/>
    <x v="1"/>
  </r>
  <r>
    <x v="294"/>
    <x v="54"/>
    <x v="0"/>
    <s v="UCE"/>
    <s v="PMBCS"/>
    <x v="8"/>
    <x v="1"/>
    <x v="181"/>
    <s v="Avenida Rio Branco, nº 333 - Centro."/>
    <x v="2"/>
    <x v="0"/>
    <x v="0"/>
    <n v="0"/>
    <m/>
    <s v="-"/>
    <s v="-"/>
    <s v="Jurídico Externo"/>
    <x v="1"/>
  </r>
  <r>
    <x v="295"/>
    <x v="54"/>
    <x v="0"/>
    <s v="UCE"/>
    <s v="PMBCS"/>
    <x v="8"/>
    <x v="1"/>
    <x v="182"/>
    <s v="Avenida Rio Branco, nº 333 - Centro."/>
    <x v="2"/>
    <x v="0"/>
    <x v="0"/>
    <n v="0"/>
    <m/>
    <s v="-"/>
    <s v="-"/>
    <s v="Jurídico Externo"/>
    <x v="1"/>
  </r>
  <r>
    <x v="296"/>
    <x v="54"/>
    <x v="0"/>
    <s v="UCE"/>
    <s v="PMBCS"/>
    <x v="8"/>
    <x v="1"/>
    <x v="183"/>
    <s v="Avenida Rio Branco, nº 333 - Centro."/>
    <x v="2"/>
    <x v="0"/>
    <x v="0"/>
    <n v="0"/>
    <m/>
    <s v="-"/>
    <s v="-"/>
    <s v="Jurídico Externo"/>
    <x v="1"/>
  </r>
  <r>
    <x v="297"/>
    <x v="54"/>
    <x v="0"/>
    <s v="UCE"/>
    <s v="PMBCS"/>
    <x v="8"/>
    <x v="1"/>
    <x v="184"/>
    <s v="Avenida Rio Branco, nº 333 - Centro."/>
    <x v="2"/>
    <x v="0"/>
    <x v="0"/>
    <n v="0"/>
    <m/>
    <s v="-"/>
    <s v="-"/>
    <s v="Jurídico Externo"/>
    <x v="1"/>
  </r>
  <r>
    <x v="298"/>
    <x v="54"/>
    <x v="0"/>
    <s v="UCE"/>
    <s v="PMBCS"/>
    <x v="8"/>
    <x v="1"/>
    <x v="185"/>
    <s v="Avenida Rio Branco, nº 333 - Centro."/>
    <x v="2"/>
    <x v="0"/>
    <x v="0"/>
    <n v="0"/>
    <m/>
    <s v="-"/>
    <s v="-"/>
    <s v="Jurídico Externo"/>
    <x v="1"/>
  </r>
  <r>
    <x v="299"/>
    <x v="54"/>
    <x v="0"/>
    <s v="UCE"/>
    <s v="PMBCS"/>
    <x v="8"/>
    <x v="1"/>
    <x v="186"/>
    <s v="Avenida Rio Branco, nº 333 - Centro."/>
    <x v="2"/>
    <x v="0"/>
    <x v="0"/>
    <n v="0"/>
    <m/>
    <s v="-"/>
    <s v="-"/>
    <s v="Jurídico Externo"/>
    <x v="1"/>
  </r>
  <r>
    <x v="300"/>
    <x v="54"/>
    <x v="0"/>
    <s v="UCE"/>
    <s v="PMBCS"/>
    <x v="8"/>
    <x v="1"/>
    <x v="187"/>
    <s v="Avenida Rio Branco, nº 333 - Centro."/>
    <x v="2"/>
    <x v="0"/>
    <x v="0"/>
    <n v="0"/>
    <m/>
    <s v="-"/>
    <s v="-"/>
    <s v="Jurídico Externo"/>
    <x v="1"/>
  </r>
  <r>
    <x v="301"/>
    <x v="54"/>
    <x v="0"/>
    <s v="UCE"/>
    <s v="PMBCS"/>
    <x v="8"/>
    <x v="1"/>
    <x v="188"/>
    <s v="Avenida Rio Branco, nº 333 - Centro."/>
    <x v="2"/>
    <x v="0"/>
    <x v="0"/>
    <n v="0"/>
    <m/>
    <s v="-"/>
    <s v="-"/>
    <s v="Jurídico Externo"/>
    <x v="1"/>
  </r>
  <r>
    <x v="302"/>
    <x v="54"/>
    <x v="0"/>
    <s v="UCE"/>
    <s v="PMBCS"/>
    <x v="8"/>
    <x v="1"/>
    <x v="189"/>
    <s v="Avenida Rio Branco, nº 333 - Centro."/>
    <x v="2"/>
    <x v="0"/>
    <x v="0"/>
    <n v="0"/>
    <m/>
    <s v="-"/>
    <s v="-"/>
    <s v="Jurídico Externo"/>
    <x v="1"/>
  </r>
  <r>
    <x v="303"/>
    <x v="54"/>
    <x v="0"/>
    <s v="UCE"/>
    <s v="PMBCS"/>
    <x v="8"/>
    <x v="1"/>
    <x v="190"/>
    <s v="Avenida Rio Branco, nº 333 - Centro."/>
    <x v="2"/>
    <x v="0"/>
    <x v="0"/>
    <n v="0"/>
    <m/>
    <s v="-"/>
    <s v="-"/>
    <s v="Jurídico Externo"/>
    <x v="1"/>
  </r>
  <r>
    <x v="304"/>
    <x v="54"/>
    <x v="0"/>
    <s v="UCE"/>
    <s v="PMBCS"/>
    <x v="8"/>
    <x v="1"/>
    <x v="191"/>
    <s v="Avenida Rio Branco, nº 333 - Centro."/>
    <x v="2"/>
    <x v="0"/>
    <x v="0"/>
    <n v="0"/>
    <m/>
    <s v="-"/>
    <s v="-"/>
    <s v="Jurídico Externo"/>
    <x v="1"/>
  </r>
  <r>
    <x v="305"/>
    <x v="54"/>
    <x v="0"/>
    <s v="UCE"/>
    <s v="PMBCS"/>
    <x v="8"/>
    <x v="1"/>
    <x v="192"/>
    <s v="Avenida Rio Branco, nº 333 - Centro."/>
    <x v="2"/>
    <x v="0"/>
    <x v="0"/>
    <n v="0"/>
    <m/>
    <s v="-"/>
    <s v="-"/>
    <s v="Jurídico Externo"/>
    <x v="1"/>
  </r>
  <r>
    <x v="306"/>
    <x v="54"/>
    <x v="0"/>
    <s v="UCE"/>
    <s v="PMBCS"/>
    <x v="8"/>
    <x v="1"/>
    <x v="193"/>
    <s v="Avenida Rio Branco, nº 333 - Centro."/>
    <x v="2"/>
    <x v="0"/>
    <x v="0"/>
    <n v="0"/>
    <m/>
    <s v="-"/>
    <s v="-"/>
    <s v="Jurídico Externo"/>
    <x v="1"/>
  </r>
  <r>
    <x v="307"/>
    <x v="54"/>
    <x v="0"/>
    <s v="UCE"/>
    <s v="PMBCS"/>
    <x v="8"/>
    <x v="1"/>
    <x v="194"/>
    <s v="Avenida Rio Branco, nº 333 - Centro."/>
    <x v="2"/>
    <x v="0"/>
    <x v="0"/>
    <n v="0"/>
    <m/>
    <s v="-"/>
    <s v="-"/>
    <s v="Jurídico Externo"/>
    <x v="1"/>
  </r>
  <r>
    <x v="308"/>
    <x v="54"/>
    <x v="0"/>
    <s v="UCE"/>
    <s v="PMBCS"/>
    <x v="8"/>
    <x v="1"/>
    <x v="195"/>
    <s v="Avenida Rio Branco, nº 333 - Centro."/>
    <x v="2"/>
    <x v="0"/>
    <x v="0"/>
    <n v="0"/>
    <m/>
    <s v="-"/>
    <s v="-"/>
    <s v="Jurídico Externo"/>
    <x v="1"/>
  </r>
  <r>
    <x v="309"/>
    <x v="29"/>
    <x v="0"/>
    <s v="APC"/>
    <s v="PMBCS"/>
    <x v="21"/>
    <x v="0"/>
    <x v="196"/>
    <s v="Rua Goiás, 877 - Centro."/>
    <x v="1"/>
    <x v="2"/>
    <x v="8"/>
    <n v="1"/>
    <m/>
    <s v="-"/>
    <s v="-"/>
    <s v="Jurídico Externo"/>
    <x v="1"/>
  </r>
  <r>
    <x v="310"/>
    <x v="7"/>
    <x v="0"/>
    <s v="APC"/>
    <s v="GM"/>
    <x v="38"/>
    <x v="0"/>
    <x v="197"/>
    <s v="Rua Antônio Zaramela, 200 - Zaniolo."/>
    <x v="1"/>
    <x v="2"/>
    <x v="41"/>
    <n v="1"/>
    <d v="2019-11-18T00:00:00"/>
    <s v="Peticionado nos autos informando do fato ocorrido com Renato Festugato, GAECO no início de novembro. Todo o processo com a Arbitac está suspenso."/>
    <s v="-"/>
    <s v="Jurídico Externo"/>
    <x v="1"/>
  </r>
  <r>
    <x v="311"/>
    <x v="7"/>
    <x v="0"/>
    <s v="ABEC"/>
    <s v="PMBCS"/>
    <x v="38"/>
    <x v="0"/>
    <x v="198"/>
    <s v="Rua Zacarias Alves Pereira, nº 1.011 - Jardim Aristocrata."/>
    <x v="1"/>
    <x v="1"/>
    <x v="8"/>
    <n v="1"/>
    <d v="2020-07-16T00:00:00"/>
    <s v="Processo de alteração de titularidade ainda não realizado."/>
    <s v="-"/>
    <s v="Jurídico Externo"/>
    <x v="1"/>
  </r>
  <r>
    <x v="312"/>
    <x v="23"/>
    <x v="0"/>
    <s v="APC"/>
    <s v="GM"/>
    <x v="21"/>
    <x v="0"/>
    <x v="199"/>
    <s v="Av. Jockey Club, 485 - Hípica."/>
    <x v="2"/>
    <x v="0"/>
    <x v="0"/>
    <n v="0"/>
    <m/>
    <s v="-"/>
    <s v="-"/>
    <s v="Verificar"/>
    <x v="1"/>
  </r>
  <r>
    <x v="313"/>
    <x v="9"/>
    <x v="0"/>
    <s v="UCE"/>
    <s v="PMBCS"/>
    <x v="8"/>
    <x v="1"/>
    <x v="200"/>
    <s v="Rua Evaldo Schaffer, nº 493 - Jd. Atlântico."/>
    <x v="2"/>
    <x v="0"/>
    <x v="0"/>
    <n v="0"/>
    <m/>
    <s v="-"/>
    <s v="-"/>
    <s v="Jurídico Externo"/>
    <x v="22"/>
  </r>
  <r>
    <x v="314"/>
    <x v="9"/>
    <x v="0"/>
    <s v="UCE"/>
    <s v="PMBCS"/>
    <x v="8"/>
    <x v="1"/>
    <x v="201"/>
    <s v="Rua Padre Marcelino Champagnat, 100 - Jd. Atlântico."/>
    <x v="0"/>
    <x v="0"/>
    <x v="0"/>
    <n v="0"/>
    <m/>
    <s v="Atualização da circunscrição"/>
    <s v="-"/>
    <s v="Jurídico Externo"/>
    <x v="22"/>
  </r>
  <r>
    <x v="314"/>
    <x v="9"/>
    <x v="0"/>
    <s v="UCE"/>
    <s v="PMBCS"/>
    <x v="8"/>
    <x v="1"/>
    <x v="201"/>
    <s v="Rua Padre Marcelino Champagnat, 100 - Jd. Atlântico."/>
    <x v="1"/>
    <x v="5"/>
    <x v="8"/>
    <n v="1"/>
    <d v="2020-03-05T00:00:00"/>
    <s v="Este caso integra a cisão II, conforme e-mail encaminhado pela gestora de Patrimônio Imobiliário ao núcleo de regularizações."/>
    <s v="-"/>
    <s v="GPI"/>
    <x v="1"/>
  </r>
  <r>
    <x v="314"/>
    <x v="9"/>
    <x v="0"/>
    <s v="UCE"/>
    <s v="PMBCS"/>
    <x v="8"/>
    <x v="1"/>
    <x v="201"/>
    <s v="Rua Padre Marcelino Champagnat, 100 - Jd. Atlântico."/>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GPI"/>
    <x v="1"/>
  </r>
  <r>
    <x v="314"/>
    <x v="9"/>
    <x v="0"/>
    <s v="UCE"/>
    <s v="PMBCS"/>
    <x v="8"/>
    <x v="1"/>
    <x v="201"/>
    <s v="Rua Padre Marcelino Champagnat, 100 - Jd. Atlântico."/>
    <x v="1"/>
    <x v="5"/>
    <x v="8"/>
    <n v="1"/>
    <d v="2020-06-10T00:00:00"/>
    <s v="Núcleo de regularizações retoma a solicitação de informações a gestora de patrimônio imobiliário, quanto a Ata."/>
    <s v="-"/>
    <s v="GPI"/>
    <x v="1"/>
  </r>
  <r>
    <x v="314"/>
    <x v="9"/>
    <x v="0"/>
    <s v="UCE"/>
    <s v="PMBCS"/>
    <x v="8"/>
    <x v="1"/>
    <x v="201"/>
    <s v="Rua Padre Marcelino Champagnat, 100 - Jd. Atlântico."/>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GPI"/>
    <x v="1"/>
  </r>
  <r>
    <x v="314"/>
    <x v="9"/>
    <x v="0"/>
    <s v="UCE"/>
    <s v="PMBCS"/>
    <x v="8"/>
    <x v="1"/>
    <x v="201"/>
    <s v="Rua Padre Marcelino Champagnat, 100 - Jd. Atlântico."/>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GPI"/>
    <x v="1"/>
  </r>
  <r>
    <x v="314"/>
    <x v="9"/>
    <x v="0"/>
    <s v="UCE"/>
    <s v="PMBCS"/>
    <x v="8"/>
    <x v="1"/>
    <x v="201"/>
    <s v="Rua Padre Marcelino Champagnat, 100 - Jd. Atlântico."/>
    <x v="1"/>
    <x v="5"/>
    <x v="8"/>
    <n v="1"/>
    <d v="2020-07-02T00:00:00"/>
    <s v="Núcleo de regularizações retoma a solicitação de informações junto a PROJUR, na pessoa da Sra. Crislei."/>
    <s v="-"/>
    <s v="GPI"/>
    <x v="1"/>
  </r>
  <r>
    <x v="315"/>
    <x v="9"/>
    <x v="0"/>
    <s v="UCE"/>
    <s v="PMBCS"/>
    <x v="8"/>
    <x v="1"/>
    <x v="201"/>
    <s v="Rua Padre Marcelino Champagnat, 100 - Jd. Atlântico."/>
    <x v="0"/>
    <x v="0"/>
    <x v="0"/>
    <n v="0"/>
    <m/>
    <s v="Atualização da circunscrição"/>
    <s v="-"/>
    <s v="Jurídico Externo"/>
    <x v="22"/>
  </r>
  <r>
    <x v="315"/>
    <x v="9"/>
    <x v="0"/>
    <s v="UCE"/>
    <s v="PMBCS"/>
    <x v="8"/>
    <x v="1"/>
    <x v="201"/>
    <s v="Rua Padre Marcelino Champagnat, 100 - Jd. Atlântico."/>
    <x v="1"/>
    <x v="5"/>
    <x v="8"/>
    <n v="1"/>
    <d v="2020-03-05T00:00:00"/>
    <s v="Este caso integra a cisão II, conforme e-mail encaminhado pela gestora de Patrimônio Imobiliário ao núcleo de regularizações."/>
    <s v="-"/>
    <s v="Jurídico Externo"/>
    <x v="1"/>
  </r>
  <r>
    <x v="315"/>
    <x v="9"/>
    <x v="0"/>
    <s v="UCE"/>
    <s v="PMBCS"/>
    <x v="8"/>
    <x v="1"/>
    <x v="201"/>
    <s v="Rua Padre Marcelino Champagnat, 100 - Jd. Atlântico."/>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Jurídico Externo"/>
    <x v="1"/>
  </r>
  <r>
    <x v="315"/>
    <x v="9"/>
    <x v="0"/>
    <s v="UCE"/>
    <s v="PMBCS"/>
    <x v="8"/>
    <x v="1"/>
    <x v="201"/>
    <s v="Rua Padre Marcelino Champagnat, 100 - Jd. Atlântico."/>
    <x v="1"/>
    <x v="5"/>
    <x v="8"/>
    <n v="1"/>
    <d v="2020-06-10T00:00:00"/>
    <s v="Núcleo de regularizações retoma a solicitação de informações a gestora de patrimônio imobiliário, quanto a Ata."/>
    <s v="-"/>
    <s v="Jurídico Externo"/>
    <x v="1"/>
  </r>
  <r>
    <x v="315"/>
    <x v="9"/>
    <x v="0"/>
    <s v="UCE"/>
    <s v="PMBCS"/>
    <x v="8"/>
    <x v="1"/>
    <x v="201"/>
    <s v="Rua Padre Marcelino Champagnat, 100 - Jd. Atlântico."/>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Jurídico Externo"/>
    <x v="1"/>
  </r>
  <r>
    <x v="315"/>
    <x v="9"/>
    <x v="0"/>
    <s v="UCE"/>
    <s v="PMBCS"/>
    <x v="8"/>
    <x v="1"/>
    <x v="201"/>
    <s v="Rua Padre Marcelino Champagnat, 100 - Jd. Atlântico."/>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Jurídico Externo"/>
    <x v="1"/>
  </r>
  <r>
    <x v="315"/>
    <x v="9"/>
    <x v="0"/>
    <s v="UCE"/>
    <s v="PMBCS"/>
    <x v="8"/>
    <x v="1"/>
    <x v="201"/>
    <s v="Rua Padre Marcelino Champagnat, 100 - Jd. Atlântico."/>
    <x v="1"/>
    <x v="5"/>
    <x v="8"/>
    <n v="1"/>
    <d v="2020-07-02T00:00:00"/>
    <s v="Núcleo de regularizações retoma a solicitação de informações junto a PROJUR, na pessoa da Sra. Crislei."/>
    <s v="-"/>
    <s v="Jurídico Externo"/>
    <x v="1"/>
  </r>
  <r>
    <x v="316"/>
    <x v="9"/>
    <x v="0"/>
    <s v="UCE"/>
    <s v="PMBCS"/>
    <x v="8"/>
    <x v="1"/>
    <x v="201"/>
    <s v="Rua Padre Marcelino Champagnat, 100 - Jd. Atlântico."/>
    <x v="0"/>
    <x v="0"/>
    <x v="0"/>
    <n v="0"/>
    <m/>
    <s v="Atualização da circunscrição"/>
    <s v="-"/>
    <s v="Jurídico Externo"/>
    <x v="22"/>
  </r>
  <r>
    <x v="316"/>
    <x v="9"/>
    <x v="0"/>
    <s v="UCE"/>
    <s v="PMBCS"/>
    <x v="8"/>
    <x v="1"/>
    <x v="201"/>
    <s v="Rua Padre Marcelino Champagnat, 100 - Jd. Atlântico."/>
    <x v="1"/>
    <x v="5"/>
    <x v="8"/>
    <n v="1"/>
    <d v="2020-03-05T00:00:00"/>
    <s v="Este caso integra a cisão II, conforme e-mail encaminhado pela gestora de Patrimônio Imobiliário ao núcleo de regularizações."/>
    <s v="-"/>
    <s v="Jurídico Externo"/>
    <x v="1"/>
  </r>
  <r>
    <x v="316"/>
    <x v="9"/>
    <x v="0"/>
    <s v="UCE"/>
    <s v="PMBCS"/>
    <x v="8"/>
    <x v="1"/>
    <x v="201"/>
    <s v="Rua Padre Marcelino Champagnat, 100 - Jd. Atlântico."/>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Jurídico Externo"/>
    <x v="1"/>
  </r>
  <r>
    <x v="316"/>
    <x v="9"/>
    <x v="0"/>
    <s v="UCE"/>
    <s v="PMBCS"/>
    <x v="8"/>
    <x v="1"/>
    <x v="201"/>
    <s v="Rua Padre Marcelino Champagnat, 100 - Jd. Atlântico."/>
    <x v="1"/>
    <x v="5"/>
    <x v="8"/>
    <n v="1"/>
    <d v="2020-06-10T00:00:00"/>
    <s v="Núcleo de regularizações retoma a solicitação de informações a gestora de patrimônio imobiliário, quanto a Ata."/>
    <s v="-"/>
    <s v="Jurídico Externo"/>
    <x v="1"/>
  </r>
  <r>
    <x v="316"/>
    <x v="9"/>
    <x v="0"/>
    <s v="UCE"/>
    <s v="PMBCS"/>
    <x v="8"/>
    <x v="1"/>
    <x v="201"/>
    <s v="Rua Padre Marcelino Champagnat, 100 - Jd. Atlântico."/>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Jurídico Externo"/>
    <x v="1"/>
  </r>
  <r>
    <x v="316"/>
    <x v="9"/>
    <x v="0"/>
    <s v="UCE"/>
    <s v="PMBCS"/>
    <x v="8"/>
    <x v="1"/>
    <x v="201"/>
    <s v="Rua Padre Marcelino Champagnat, 100 - Jd. Atlântico."/>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Jurídico Externo"/>
    <x v="1"/>
  </r>
  <r>
    <x v="316"/>
    <x v="9"/>
    <x v="0"/>
    <s v="UCE"/>
    <s v="PMBCS"/>
    <x v="8"/>
    <x v="1"/>
    <x v="201"/>
    <s v="Rua Padre Marcelino Champagnat, 100 - Jd. Atlântico."/>
    <x v="1"/>
    <x v="5"/>
    <x v="8"/>
    <n v="1"/>
    <d v="2020-07-02T00:00:00"/>
    <s v="Núcleo de regularizações retoma a solicitação de informações junto a PROJUR, na pessoa da Sra. Crislei."/>
    <s v="-"/>
    <s v="Jurídico Externo"/>
    <x v="1"/>
  </r>
  <r>
    <x v="317"/>
    <x v="9"/>
    <x v="0"/>
    <s v="UCE"/>
    <s v="PMBCS"/>
    <x v="8"/>
    <x v="1"/>
    <x v="201"/>
    <s v="Rua Padre Marcelino Champagnat, 100 - Jd. Atlântico."/>
    <x v="0"/>
    <x v="0"/>
    <x v="0"/>
    <n v="0"/>
    <m/>
    <s v="-"/>
    <s v="-"/>
    <s v="Jurídico Externo"/>
    <x v="22"/>
  </r>
  <r>
    <x v="317"/>
    <x v="9"/>
    <x v="0"/>
    <s v="UCE"/>
    <s v="PMBCS"/>
    <x v="8"/>
    <x v="1"/>
    <x v="201"/>
    <s v="Rua Padre Marcelino Champagnat, 100 - Jd. Atlântico."/>
    <x v="1"/>
    <x v="5"/>
    <x v="8"/>
    <n v="1"/>
    <d v="2020-03-05T00:00:00"/>
    <s v="Este caso integra a cisão II, conforme e-mail encaminhado pela gestora de Patrimônio Imobiliário ao núcleo de regularizações."/>
    <s v="-"/>
    <s v="Jurídico Externo"/>
    <x v="1"/>
  </r>
  <r>
    <x v="317"/>
    <x v="9"/>
    <x v="0"/>
    <s v="UCE"/>
    <s v="PMBCS"/>
    <x v="8"/>
    <x v="1"/>
    <x v="201"/>
    <s v="Rua Padre Marcelino Champagnat, 100 - Jd. Atlântico."/>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Jurídico Externo"/>
    <x v="1"/>
  </r>
  <r>
    <x v="317"/>
    <x v="9"/>
    <x v="0"/>
    <s v="UCE"/>
    <s v="PMBCS"/>
    <x v="8"/>
    <x v="1"/>
    <x v="201"/>
    <s v="Rua Padre Marcelino Champagnat, 100 - Jd. Atlântico."/>
    <x v="1"/>
    <x v="5"/>
    <x v="8"/>
    <n v="1"/>
    <d v="2020-06-10T00:00:00"/>
    <s v="Núcleo de regularizações retoma a solicitação de informações a gestora de patrimônio imobiliário, quanto a Ata."/>
    <s v="-"/>
    <s v="Jurídico Externo"/>
    <x v="1"/>
  </r>
  <r>
    <x v="317"/>
    <x v="9"/>
    <x v="0"/>
    <s v="UCE"/>
    <s v="PMBCS"/>
    <x v="8"/>
    <x v="1"/>
    <x v="201"/>
    <s v="Rua Padre Marcelino Champagnat, 100 - Jd. Atlântico."/>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Jurídico Externo"/>
    <x v="1"/>
  </r>
  <r>
    <x v="317"/>
    <x v="9"/>
    <x v="0"/>
    <s v="UCE"/>
    <s v="PMBCS"/>
    <x v="8"/>
    <x v="1"/>
    <x v="201"/>
    <s v="Rua Padre Marcelino Champagnat, 100 - Jd. Atlântico."/>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Jurídico Externo"/>
    <x v="1"/>
  </r>
  <r>
    <x v="317"/>
    <x v="9"/>
    <x v="0"/>
    <s v="UCE"/>
    <s v="PMBCS"/>
    <x v="8"/>
    <x v="1"/>
    <x v="201"/>
    <s v="Rua Padre Marcelino Champagnat, 100 - Jd. Atlântico."/>
    <x v="1"/>
    <x v="5"/>
    <x v="8"/>
    <n v="1"/>
    <d v="2020-07-02T00:00:00"/>
    <s v="Núcleo de regularizações retoma a solicitação de informações junto a PROJUR, na pessoa da Sra. Crislei."/>
    <s v="-"/>
    <s v="Jurídico Externo"/>
    <x v="1"/>
  </r>
  <r>
    <x v="318"/>
    <x v="9"/>
    <x v="0"/>
    <s v="UCE"/>
    <s v="PMBCS"/>
    <x v="8"/>
    <x v="1"/>
    <x v="200"/>
    <s v="Rua Evaldo Schaffer, nº 493 - Jd. Atlântico, Florianópolis/SC"/>
    <x v="0"/>
    <x v="0"/>
    <x v="0"/>
    <n v="0"/>
    <m/>
    <s v="-"/>
    <s v="-"/>
    <s v="Jurídico Externo"/>
    <x v="22"/>
  </r>
  <r>
    <x v="318"/>
    <x v="9"/>
    <x v="0"/>
    <s v="UCE"/>
    <s v="PMBCS"/>
    <x v="8"/>
    <x v="1"/>
    <x v="200"/>
    <s v="Rua Evaldo Schaffer, nº 493 - Jd. Atlântico, Florianópolis/SC"/>
    <x v="1"/>
    <x v="5"/>
    <x v="8"/>
    <n v="1"/>
    <d v="2020-03-05T00:00:00"/>
    <s v="Este caso integra a cisão II, conforme e-mail encaminhado pela gestora de Patrimônio Imobiliário ao núcleo de regularizações."/>
    <s v="-"/>
    <s v="Jurídico Externo"/>
    <x v="1"/>
  </r>
  <r>
    <x v="318"/>
    <x v="9"/>
    <x v="0"/>
    <s v="UCE"/>
    <s v="PMBCS"/>
    <x v="8"/>
    <x v="1"/>
    <x v="200"/>
    <s v="Rua Evaldo Schaffer, nº 493 - Jd. Atlântico, Florianópolis/SC"/>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Jurídico Externo"/>
    <x v="1"/>
  </r>
  <r>
    <x v="318"/>
    <x v="9"/>
    <x v="0"/>
    <s v="UCE"/>
    <s v="PMBCS"/>
    <x v="8"/>
    <x v="1"/>
    <x v="200"/>
    <s v="Rua Evaldo Schaffer, nº 493 - Jd. Atlântico, Florianópolis/SC"/>
    <x v="1"/>
    <x v="5"/>
    <x v="8"/>
    <n v="1"/>
    <d v="2020-06-10T00:00:00"/>
    <s v="Núcleo de regularizações retoma a solicitação de informações a gestora de patrimônio imobiliário, quanto a Ata."/>
    <s v="-"/>
    <s v="Jurídico Externo"/>
    <x v="1"/>
  </r>
  <r>
    <x v="318"/>
    <x v="9"/>
    <x v="0"/>
    <s v="UCE"/>
    <s v="PMBCS"/>
    <x v="8"/>
    <x v="1"/>
    <x v="200"/>
    <s v="Rua Evaldo Schaffer, nº 493 - Jd. Atlântico, Florianópolis/SC"/>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Jurídico Externo"/>
    <x v="1"/>
  </r>
  <r>
    <x v="318"/>
    <x v="9"/>
    <x v="0"/>
    <s v="UCE"/>
    <s v="PMBCS"/>
    <x v="8"/>
    <x v="1"/>
    <x v="200"/>
    <s v="Rua Evaldo Schaffer, nº 493 - Jd. Atlântico, Florianópolis/SC"/>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Jurídico Externo"/>
    <x v="1"/>
  </r>
  <r>
    <x v="318"/>
    <x v="9"/>
    <x v="0"/>
    <s v="UCE"/>
    <s v="PMBCS"/>
    <x v="8"/>
    <x v="1"/>
    <x v="200"/>
    <s v="Rua Evaldo Schaffer, nº 493 - Jd. Atlântico, Florianópolis/SC"/>
    <x v="1"/>
    <x v="5"/>
    <x v="8"/>
    <n v="1"/>
    <d v="2020-07-02T00:00:00"/>
    <s v="Núcleo de regularizações retoma a solicitação de informações junto a PROJUR, na pessoa da Sra. Crislei."/>
    <s v="-"/>
    <s v="Jurídico Externo"/>
    <x v="1"/>
  </r>
  <r>
    <x v="319"/>
    <x v="9"/>
    <x v="0"/>
    <s v="UCE"/>
    <s v="PMBCS"/>
    <x v="8"/>
    <x v="1"/>
    <x v="201"/>
    <s v="Rua Padre Marcelino Champagnat, 100 - Jd. Atlântico."/>
    <x v="0"/>
    <x v="0"/>
    <x v="0"/>
    <n v="0"/>
    <m/>
    <s v="-"/>
    <s v="-"/>
    <s v="Jurídico Externo"/>
    <x v="22"/>
  </r>
  <r>
    <x v="319"/>
    <x v="9"/>
    <x v="0"/>
    <s v="UCE"/>
    <s v="PMBCS"/>
    <x v="8"/>
    <x v="1"/>
    <x v="201"/>
    <s v="Rua Padre Marcelino Champagnat, 100 - Jd. Atlântico."/>
    <x v="1"/>
    <x v="5"/>
    <x v="8"/>
    <n v="1"/>
    <d v="2020-03-05T00:00:00"/>
    <s v="Este caso integra a cisão II, conforme e-mail encaminhado pela gestora de Patrimônio Imobiliário ao núcleo de regularizações."/>
    <s v="-"/>
    <s v="Jurídico Externo"/>
    <x v="1"/>
  </r>
  <r>
    <x v="319"/>
    <x v="9"/>
    <x v="0"/>
    <s v="UCE"/>
    <s v="PMBCS"/>
    <x v="8"/>
    <x v="1"/>
    <x v="201"/>
    <s v="Rua Padre Marcelino Champagnat, 100 - Jd. Atlântico."/>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Jurídico Externo"/>
    <x v="1"/>
  </r>
  <r>
    <x v="319"/>
    <x v="9"/>
    <x v="0"/>
    <s v="UCE"/>
    <s v="PMBCS"/>
    <x v="8"/>
    <x v="1"/>
    <x v="201"/>
    <s v="Rua Padre Marcelino Champagnat, 100 - Jd. Atlântico."/>
    <x v="1"/>
    <x v="5"/>
    <x v="8"/>
    <n v="1"/>
    <d v="2020-06-10T00:00:00"/>
    <s v="Núcleo de regularizações retoma a solicitação de informações a gestora de patrimônio imobiliário, quanto a Ata."/>
    <s v="-"/>
    <s v="Jurídico Externo"/>
    <x v="1"/>
  </r>
  <r>
    <x v="319"/>
    <x v="9"/>
    <x v="0"/>
    <s v="UCE"/>
    <s v="PMBCS"/>
    <x v="8"/>
    <x v="1"/>
    <x v="201"/>
    <s v="Rua Padre Marcelino Champagnat, 100 - Jd. Atlântico."/>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Jurídico Externo"/>
    <x v="1"/>
  </r>
  <r>
    <x v="319"/>
    <x v="9"/>
    <x v="0"/>
    <s v="UCE"/>
    <s v="PMBCS"/>
    <x v="8"/>
    <x v="1"/>
    <x v="201"/>
    <s v="Rua Padre Marcelino Champagnat, 100 - Jd. Atlântico."/>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Jurídico Externo"/>
    <x v="1"/>
  </r>
  <r>
    <x v="319"/>
    <x v="9"/>
    <x v="0"/>
    <s v="UCE"/>
    <s v="PMBCS"/>
    <x v="8"/>
    <x v="1"/>
    <x v="201"/>
    <s v="Rua Padre Marcelino Champagnat, 100 - Jd. Atlântico."/>
    <x v="1"/>
    <x v="5"/>
    <x v="8"/>
    <n v="1"/>
    <d v="2020-07-02T00:00:00"/>
    <s v="Núcleo de regularizações retoma a solicitação de informações junto a PROJUR, na pessoa da Sra. Crislei."/>
    <s v="-"/>
    <s v="Jurídico Externo"/>
    <x v="1"/>
  </r>
  <r>
    <x v="320"/>
    <x v="49"/>
    <x v="0"/>
    <s v="UCE"/>
    <s v="PMBCS"/>
    <x v="44"/>
    <x v="1"/>
    <x v="202"/>
    <s v="Rua Marechal Floriano Peixoto – L, 550 - Centro."/>
    <x v="1"/>
    <x v="1"/>
    <x v="8"/>
    <n v="1"/>
    <m/>
    <s v="-"/>
    <s v="-"/>
    <s v="Jurídico Externo"/>
    <x v="1"/>
  </r>
  <r>
    <x v="321"/>
    <x v="56"/>
    <x v="0"/>
    <s v="ABEC"/>
    <s v="PMBCS"/>
    <x v="48"/>
    <x v="10"/>
    <x v="203"/>
    <s v="Avenida João Pessoa, 3200 - Damas."/>
    <x v="1"/>
    <x v="1"/>
    <x v="8"/>
    <n v="1"/>
    <d v="2020-07-16T00:00:00"/>
    <s v="Processo de alteração de titularidade ainda não realizado."/>
    <s v="-"/>
    <s v="Jurídico Externo"/>
    <x v="1"/>
  </r>
  <r>
    <x v="321"/>
    <x v="56"/>
    <x v="0"/>
    <s v="ABEC"/>
    <s v="PMBCS"/>
    <x v="48"/>
    <x v="10"/>
    <x v="203"/>
    <s v="Avenida João Pessoa, 3200 - Damas."/>
    <x v="1"/>
    <x v="2"/>
    <x v="42"/>
    <n v="1"/>
    <m/>
    <s v="Aguardando despacho do juiz para levantar parte do valor depositado pelo CEPEP judicialmente, bem como aguardando nova audiencia."/>
    <s v="-"/>
    <s v="Jurídico Externo"/>
    <x v="1"/>
  </r>
  <r>
    <x v="321"/>
    <x v="56"/>
    <x v="0"/>
    <s v="ABEC"/>
    <s v="PMBCS"/>
    <x v="48"/>
    <x v="10"/>
    <x v="203"/>
    <s v="Avenida João Pessoa, 3200 - Damas."/>
    <x v="1"/>
    <x v="2"/>
    <x v="42"/>
    <n v="1"/>
    <d v="2020-05-11T00:00:00"/>
    <s v="Decisão do Juiz revogando a remessa dos autos a Curitiba/PR com a fundamentação de que a contestação apresentada pela ABEC foi intempestiva assim aplicando a revelia, sendo que os efeitos da revelia é a prorrogação da competência. Determinou a expedição de alvará dos valores depositado e após retornem – se conclusos para sentença."/>
    <s v="-"/>
    <s v="Jurídico Externo"/>
    <x v="1"/>
  </r>
  <r>
    <x v="321"/>
    <x v="56"/>
    <x v="0"/>
    <s v="ABEC"/>
    <s v="PMBCS"/>
    <x v="48"/>
    <x v="10"/>
    <x v="203"/>
    <s v="Avenida João Pessoa, 3200 - Damas."/>
    <x v="1"/>
    <x v="2"/>
    <x v="42"/>
    <n v="1"/>
    <d v="2020-06-16T00:00:00"/>
    <s v="Apresentado Embargos de Declaração, tendo em vista que a decisão de transferência dos valores depositados para a conta da ABEC foi errada. Intimação do autor para contrarrazões dos Embargos de Declaração. Aguardado decisão do Juiz dos embargos de declaração."/>
    <s v="-"/>
    <s v="Jurídico Externo"/>
    <x v="1"/>
  </r>
  <r>
    <x v="321"/>
    <x v="56"/>
    <x v="0"/>
    <s v="ABEC"/>
    <s v="PMBCS"/>
    <x v="48"/>
    <x v="10"/>
    <x v="203"/>
    <s v="Avenida João Pessoa, 3200 - Damas."/>
    <x v="1"/>
    <x v="2"/>
    <x v="42"/>
    <n v="1"/>
    <d v="2020-07-15T00:00:00"/>
    <s v="Na ação de consignação de pagamento, os embargos de declaração foram aceitos para determinar a transferência dos valores incontroversos no valor de R$ 296.511,42 para a conta da ABEC. Aguardando transferência de valores e após a transferência a conclusão do processo para sentença. Expedido Alvará para transferência dos valores para a conta da ABEC. Na ação de revisional de contrato de locação, ocorreu audiência de conciliação sem êxito, juiz determinou a intimação do autor para contestar o pedido da reconvenção de despejo. "/>
    <s v="-"/>
    <s v="Jurídico Externo"/>
    <x v="1"/>
  </r>
  <r>
    <x v="322"/>
    <x v="3"/>
    <x v="0"/>
    <s v="UCE"/>
    <s v="GM"/>
    <x v="3"/>
    <x v="1"/>
    <x v="204"/>
    <s v="-"/>
    <x v="2"/>
    <x v="0"/>
    <x v="0"/>
    <n v="0"/>
    <m/>
    <s v="-"/>
    <s v="-"/>
    <s v="Verificar"/>
    <x v="1"/>
  </r>
  <r>
    <x v="323"/>
    <x v="7"/>
    <x v="0"/>
    <s v="ABEC"/>
    <s v="PMBCS"/>
    <x v="38"/>
    <x v="0"/>
    <x v="198"/>
    <s v="Rua Zacarias Alves Pereira, nº 1.011 - Jardim Aristocrata."/>
    <x v="1"/>
    <x v="1"/>
    <x v="8"/>
    <n v="1"/>
    <d v="2020-07-16T00:00:00"/>
    <s v="Processo de alteração de titularidade ainda não realizado."/>
    <s v="-"/>
    <s v="Jurídico Externo"/>
    <x v="1"/>
  </r>
  <r>
    <x v="324"/>
    <x v="8"/>
    <x v="0"/>
    <s v="ABEC"/>
    <s v="PMBCS"/>
    <x v="7"/>
    <x v="3"/>
    <x v="8"/>
    <s v="Parque Gráfico - Cumbica."/>
    <x v="2"/>
    <x v="4"/>
    <x v="11"/>
    <n v="0"/>
    <m/>
    <m/>
    <s v="-"/>
    <s v="Jurídico Externo"/>
    <x v="4"/>
  </r>
  <r>
    <x v="325"/>
    <x v="8"/>
    <x v="0"/>
    <s v="ABEC"/>
    <s v="PMBCS"/>
    <x v="7"/>
    <x v="3"/>
    <x v="8"/>
    <s v="Parque Gráfico - Cumbica."/>
    <x v="2"/>
    <x v="4"/>
    <x v="11"/>
    <n v="0"/>
    <d v="2020-07-16T00:00:00"/>
    <s v="Processo de alteração de titularidade ainda não realizado."/>
    <s v="-"/>
    <s v="Jurídico Externo"/>
    <x v="4"/>
  </r>
  <r>
    <x v="326"/>
    <x v="43"/>
    <x v="0"/>
    <s v="ABEC"/>
    <s v="GM"/>
    <x v="38"/>
    <x v="0"/>
    <x v="94"/>
    <s v="Margens Rodovia BR-376 - Cumbica."/>
    <x v="1"/>
    <x v="3"/>
    <x v="9"/>
    <n v="1"/>
    <m/>
    <s v="-"/>
    <s v="-"/>
    <s v="Jurídico Externo"/>
    <x v="1"/>
  </r>
  <r>
    <x v="327"/>
    <x v="7"/>
    <x v="0"/>
    <s v="APC"/>
    <s v="GM"/>
    <x v="38"/>
    <x v="0"/>
    <x v="205"/>
    <s v="Rua Sebastião Antônio Foggiatto s/nº - Zaniollo."/>
    <x v="2"/>
    <x v="0"/>
    <x v="0"/>
    <n v="0"/>
    <d v="2020-02-18T00:00:00"/>
    <s v="O responsável técnico Luis entregou o levantamento topográfico. Neste período ocorreram as seguintes reuniões, a primeira com o Irmão Lino, o Irmão Délcio, Dr. Bruno Orloski, Grasiela e Dickson para apresentação do assunto, aja vista a necessidade do presidente compreender pormenorizadamente e por conseguinte apresentar aos conselheiros, tendo em vista que a regularização culminará em a APC abrir mão da propriedade do imóvel, considerando que a metodologia a ser empregada será a REURB e considerando ainda que os posseiros que lá se encontram, já possuem preenchidos os requisitos para aquisição por meio da usucapião. O comentário do presidente foi no sentido de buscar ao menos empenhar a tentativa de obter recurso financeiro de cada posseiro a título simbólico pela &quot;aquisição&quot; do imóvel. A segunda reunião esteve presente Ir. Délcio, Dr. Bruno Orloski e Grasiela, foi deliberado para que em relação a tentativa de obtenção de recurso financeiro não fosse mais empenhada nenhuma tentativa, mas para dar seguimento da forma proposta. Por fim em 18/02/2020 reunião com Dr. Giuliano Gobbo, Grasiela, Dickson a deliberação foi no sentido de encerrar a regularização da seguinte forma, emissão de um parecer do escritório Gobbo e Guimarães com os acontecimentos e caso futuramente os posseiros venham a acionar a APC judicialmente para a aquisição por meio de usucapião a instituição consentirá."/>
    <s v="-"/>
    <s v="Verificar"/>
    <x v="16"/>
  </r>
  <r>
    <x v="328"/>
    <x v="53"/>
    <x v="0"/>
    <s v="ABEC"/>
    <s v="PMBCS"/>
    <x v="34"/>
    <x v="0"/>
    <x v="206"/>
    <s v="Rua João Pessoa, s/nº - Centro."/>
    <x v="2"/>
    <x v="0"/>
    <x v="0"/>
    <n v="0"/>
    <m/>
    <s v="-"/>
    <s v="-"/>
    <s v="Jurídico Externo"/>
    <x v="20"/>
  </r>
  <r>
    <x v="329"/>
    <x v="55"/>
    <x v="0"/>
    <s v="UCE"/>
    <s v="PMBCS"/>
    <x v="8"/>
    <x v="1"/>
    <x v="207"/>
    <s v="Rua Lauro Linhares, nº 2.123 - Trindade."/>
    <x v="2"/>
    <x v="0"/>
    <x v="0"/>
    <n v="0"/>
    <m/>
    <s v="-"/>
    <s v="-"/>
    <s v="Jurídico Externo"/>
    <x v="1"/>
  </r>
  <r>
    <x v="330"/>
    <x v="55"/>
    <x v="0"/>
    <s v="UCE"/>
    <s v="PMBCS"/>
    <x v="8"/>
    <x v="1"/>
    <x v="208"/>
    <s v="Rua Lauro Linhares, nº 2.123 - Trindade."/>
    <x v="2"/>
    <x v="0"/>
    <x v="0"/>
    <n v="0"/>
    <m/>
    <s v="-"/>
    <s v="-"/>
    <s v="Jurídico Externo"/>
    <x v="1"/>
  </r>
  <r>
    <x v="331"/>
    <x v="55"/>
    <x v="0"/>
    <s v="UCE"/>
    <s v="PMBCS"/>
    <x v="8"/>
    <x v="1"/>
    <x v="209"/>
    <s v="Rua Lauro Linhares, nº 2.123 - Trindade."/>
    <x v="2"/>
    <x v="0"/>
    <x v="0"/>
    <n v="0"/>
    <m/>
    <s v="-"/>
    <s v="-"/>
    <s v="Jurídico Externo"/>
    <x v="1"/>
  </r>
  <r>
    <x v="332"/>
    <x v="55"/>
    <x v="0"/>
    <s v="UCE"/>
    <s v="PMBCS"/>
    <x v="8"/>
    <x v="1"/>
    <x v="210"/>
    <s v="Rua Lauro Linhares, nº 2.123 - Trindade."/>
    <x v="2"/>
    <x v="0"/>
    <x v="0"/>
    <n v="0"/>
    <m/>
    <s v="-"/>
    <s v="-"/>
    <s v="Jurídico Externo"/>
    <x v="1"/>
  </r>
  <r>
    <x v="333"/>
    <x v="55"/>
    <x v="0"/>
    <s v="UCE"/>
    <s v="PMBCS"/>
    <x v="8"/>
    <x v="1"/>
    <x v="211"/>
    <s v="Rua Lauro Linhares, nº 2.123 - Trindade."/>
    <x v="2"/>
    <x v="0"/>
    <x v="0"/>
    <n v="0"/>
    <m/>
    <s v="-"/>
    <s v="-"/>
    <s v="Jurídico Externo"/>
    <x v="1"/>
  </r>
  <r>
    <x v="334"/>
    <x v="55"/>
    <x v="0"/>
    <s v="UCE"/>
    <s v="PMBCS"/>
    <x v="8"/>
    <x v="1"/>
    <x v="212"/>
    <s v="Rua Lauro Linhares, nº 2.123 - Trindade."/>
    <x v="2"/>
    <x v="0"/>
    <x v="0"/>
    <n v="0"/>
    <m/>
    <s v="-"/>
    <s v="-"/>
    <s v="Jurídico Externo"/>
    <x v="1"/>
  </r>
  <r>
    <x v="335"/>
    <x v="55"/>
    <x v="0"/>
    <s v="UCE"/>
    <s v="PMBCS"/>
    <x v="8"/>
    <x v="1"/>
    <x v="213"/>
    <s v="Rua Lauro Linhares, nº 2.123 - Trindade."/>
    <x v="2"/>
    <x v="0"/>
    <x v="0"/>
    <n v="0"/>
    <m/>
    <s v="-"/>
    <s v="-"/>
    <s v="Jurídico Externo"/>
    <x v="1"/>
  </r>
  <r>
    <x v="336"/>
    <x v="55"/>
    <x v="0"/>
    <s v="UCE"/>
    <s v="PMBCS"/>
    <x v="8"/>
    <x v="1"/>
    <x v="214"/>
    <s v="Rua Lauro Linhares, nº 2.123 - Trindade."/>
    <x v="2"/>
    <x v="0"/>
    <x v="0"/>
    <n v="0"/>
    <m/>
    <s v="-"/>
    <s v="-"/>
    <s v="Jurídico Externo"/>
    <x v="1"/>
  </r>
  <r>
    <x v="337"/>
    <x v="55"/>
    <x v="0"/>
    <s v="UCE"/>
    <s v="PMBCS"/>
    <x v="8"/>
    <x v="1"/>
    <x v="215"/>
    <s v="Rua Lauro Linhares, nº 2.123 - Trindade."/>
    <x v="2"/>
    <x v="0"/>
    <x v="0"/>
    <n v="0"/>
    <m/>
    <s v="-"/>
    <s v="-"/>
    <s v="Jurídico Externo"/>
    <x v="1"/>
  </r>
  <r>
    <x v="338"/>
    <x v="55"/>
    <x v="0"/>
    <s v="UCE"/>
    <s v="PMBCS"/>
    <x v="8"/>
    <x v="1"/>
    <x v="216"/>
    <s v="Rua Lauro Linhares, nº 2.123 - Trindade."/>
    <x v="2"/>
    <x v="0"/>
    <x v="0"/>
    <n v="0"/>
    <m/>
    <s v="-"/>
    <s v="-"/>
    <s v="Jurídico Externo"/>
    <x v="1"/>
  </r>
  <r>
    <x v="339"/>
    <x v="55"/>
    <x v="0"/>
    <s v="UCE"/>
    <s v="PMBCS"/>
    <x v="8"/>
    <x v="1"/>
    <x v="217"/>
    <s v="Rua Lauro Linhares, nº 2.123 - Trindade."/>
    <x v="2"/>
    <x v="0"/>
    <x v="0"/>
    <n v="0"/>
    <m/>
    <s v="-"/>
    <s v="-"/>
    <s v="Jurídico Externo"/>
    <x v="1"/>
  </r>
  <r>
    <x v="340"/>
    <x v="55"/>
    <x v="0"/>
    <s v="UCE"/>
    <s v="PMBCS"/>
    <x v="8"/>
    <x v="1"/>
    <x v="218"/>
    <s v="Rua Lauro Linhares, nº 2.123 - Trindade."/>
    <x v="2"/>
    <x v="0"/>
    <x v="0"/>
    <n v="0"/>
    <m/>
    <s v="-"/>
    <s v="-"/>
    <s v="Jurídico Externo"/>
    <x v="1"/>
  </r>
  <r>
    <x v="341"/>
    <x v="55"/>
    <x v="0"/>
    <s v="UCE"/>
    <s v="PMBCS"/>
    <x v="8"/>
    <x v="1"/>
    <x v="219"/>
    <s v="Rua Lauro Linhares, nº 2.123 - Trindade."/>
    <x v="2"/>
    <x v="0"/>
    <x v="0"/>
    <n v="0"/>
    <m/>
    <s v="-"/>
    <s v="-"/>
    <s v="Jurídico Externo"/>
    <x v="1"/>
  </r>
  <r>
    <x v="342"/>
    <x v="55"/>
    <x v="0"/>
    <s v="UCE"/>
    <s v="PMBCS"/>
    <x v="8"/>
    <x v="1"/>
    <x v="220"/>
    <s v="Rua Lauro Linhares, nº 2.123 - Trindade."/>
    <x v="2"/>
    <x v="0"/>
    <x v="0"/>
    <n v="0"/>
    <m/>
    <s v="-"/>
    <s v="-"/>
    <s v="Jurídico Externo"/>
    <x v="1"/>
  </r>
  <r>
    <x v="343"/>
    <x v="55"/>
    <x v="0"/>
    <s v="UCE"/>
    <s v="PMBCS"/>
    <x v="8"/>
    <x v="1"/>
    <x v="221"/>
    <s v="Rua Lauro Linhares, nº 2.123 - Trindade."/>
    <x v="2"/>
    <x v="0"/>
    <x v="0"/>
    <n v="0"/>
    <m/>
    <s v="-"/>
    <s v="-"/>
    <s v="Jurídico Externo"/>
    <x v="1"/>
  </r>
  <r>
    <x v="344"/>
    <x v="55"/>
    <x v="0"/>
    <s v="UCE"/>
    <s v="PMBCS"/>
    <x v="8"/>
    <x v="1"/>
    <x v="222"/>
    <s v="Rua Lauro Linhares, nº 2.123 - Trindade."/>
    <x v="2"/>
    <x v="0"/>
    <x v="0"/>
    <n v="0"/>
    <m/>
    <s v="-"/>
    <s v="-"/>
    <s v="Jurídico Externo"/>
    <x v="1"/>
  </r>
  <r>
    <x v="345"/>
    <x v="55"/>
    <x v="0"/>
    <s v="UCE"/>
    <s v="PMBCS"/>
    <x v="8"/>
    <x v="1"/>
    <x v="223"/>
    <s v="Rua Lauro Linhares, nº 2.123 - Trindade."/>
    <x v="2"/>
    <x v="0"/>
    <x v="0"/>
    <n v="0"/>
    <m/>
    <s v="-"/>
    <s v="-"/>
    <s v="Jurídico Externo"/>
    <x v="1"/>
  </r>
  <r>
    <x v="346"/>
    <x v="55"/>
    <x v="0"/>
    <s v="UCE"/>
    <s v="PMBCS"/>
    <x v="8"/>
    <x v="1"/>
    <x v="224"/>
    <s v="Rua Lauro Linhares, nº 2.123 - Trindade."/>
    <x v="2"/>
    <x v="0"/>
    <x v="0"/>
    <n v="0"/>
    <m/>
    <s v="-"/>
    <s v="-"/>
    <s v="Jurídico Externo"/>
    <x v="1"/>
  </r>
  <r>
    <x v="347"/>
    <x v="55"/>
    <x v="0"/>
    <s v="UCE"/>
    <s v="PMBCS"/>
    <x v="8"/>
    <x v="1"/>
    <x v="225"/>
    <s v="Rua Lauro Linhares, nº 2.123 - Trindade."/>
    <x v="2"/>
    <x v="0"/>
    <x v="0"/>
    <n v="0"/>
    <m/>
    <s v="-"/>
    <s v="-"/>
    <s v="Jurídico Externo"/>
    <x v="1"/>
  </r>
  <r>
    <x v="348"/>
    <x v="55"/>
    <x v="0"/>
    <s v="UCE"/>
    <s v="PMBCS"/>
    <x v="8"/>
    <x v="1"/>
    <x v="226"/>
    <s v="Rua Lauro Linhares, nº 2.123 - Trindade."/>
    <x v="2"/>
    <x v="0"/>
    <x v="0"/>
    <n v="0"/>
    <m/>
    <s v="-"/>
    <s v="-"/>
    <s v="Jurídico Externo"/>
    <x v="1"/>
  </r>
  <r>
    <x v="349"/>
    <x v="55"/>
    <x v="0"/>
    <s v="UCE"/>
    <s v="PMBCS"/>
    <x v="8"/>
    <x v="1"/>
    <x v="227"/>
    <s v="Rua Lauro Linhares, nº 2.123 - Trindade."/>
    <x v="2"/>
    <x v="0"/>
    <x v="0"/>
    <n v="0"/>
    <m/>
    <s v="-"/>
    <s v="-"/>
    <s v="Jurídico Externo"/>
    <x v="1"/>
  </r>
  <r>
    <x v="350"/>
    <x v="55"/>
    <x v="0"/>
    <s v="UCE"/>
    <s v="PMBCS"/>
    <x v="8"/>
    <x v="1"/>
    <x v="228"/>
    <s v="Rua Lauro Linhares, nº 2.123 - Trindade."/>
    <x v="2"/>
    <x v="0"/>
    <x v="0"/>
    <n v="0"/>
    <m/>
    <s v="-"/>
    <s v="-"/>
    <s v="Jurídico Externo"/>
    <x v="1"/>
  </r>
  <r>
    <x v="351"/>
    <x v="55"/>
    <x v="0"/>
    <s v="UCE"/>
    <s v="PMBCS"/>
    <x v="8"/>
    <x v="1"/>
    <x v="229"/>
    <s v="Rua Lauro Linhares, nº 2.123 - Trindade."/>
    <x v="2"/>
    <x v="0"/>
    <x v="0"/>
    <n v="0"/>
    <m/>
    <s v="-"/>
    <s v="-"/>
    <s v="Jurídico Externo"/>
    <x v="1"/>
  </r>
  <r>
    <x v="352"/>
    <x v="55"/>
    <x v="0"/>
    <s v="UCE"/>
    <s v="PMBCS"/>
    <x v="8"/>
    <x v="1"/>
    <x v="230"/>
    <s v="Rua Lauro Linhares, nº 2.123 - Trindade."/>
    <x v="2"/>
    <x v="0"/>
    <x v="0"/>
    <n v="0"/>
    <m/>
    <s v="-"/>
    <s v="-"/>
    <s v="Jurídico Externo"/>
    <x v="1"/>
  </r>
  <r>
    <x v="353"/>
    <x v="7"/>
    <x v="0"/>
    <s v="APC"/>
    <s v="GM"/>
    <x v="38"/>
    <x v="0"/>
    <x v="197"/>
    <s v="Rua Antônio Zaramela, 200 - Zaniolo."/>
    <x v="1"/>
    <x v="2"/>
    <x v="41"/>
    <n v="1"/>
    <m/>
    <s v="-"/>
    <s v="-"/>
    <s v="Jurídico Externo"/>
    <x v="1"/>
  </r>
  <r>
    <x v="354"/>
    <x v="55"/>
    <x v="0"/>
    <s v="UCE"/>
    <s v="PMBCS"/>
    <x v="8"/>
    <x v="1"/>
    <x v="231"/>
    <s v="Rua Prof. Simão José Hess, nº 191 - Trindade."/>
    <x v="2"/>
    <x v="0"/>
    <x v="0"/>
    <n v="0"/>
    <m/>
    <s v="-"/>
    <s v="-"/>
    <s v="Jurídico Externo"/>
    <x v="1"/>
  </r>
  <r>
    <x v="355"/>
    <x v="55"/>
    <x v="0"/>
    <s v="UCE"/>
    <s v="PMBCS"/>
    <x v="8"/>
    <x v="1"/>
    <x v="232"/>
    <s v="Rua Prof. Simão José Hess, nº 191 - Trindade."/>
    <x v="2"/>
    <x v="0"/>
    <x v="0"/>
    <n v="0"/>
    <m/>
    <s v="-"/>
    <s v="-"/>
    <s v="Jurídico Externo"/>
    <x v="1"/>
  </r>
  <r>
    <x v="356"/>
    <x v="55"/>
    <x v="0"/>
    <s v="UCE"/>
    <s v="PMBCS"/>
    <x v="8"/>
    <x v="1"/>
    <x v="233"/>
    <s v="Rua Prof. Simão José Hess, nº 191 - Trindade."/>
    <x v="2"/>
    <x v="0"/>
    <x v="0"/>
    <n v="0"/>
    <m/>
    <s v="-"/>
    <s v="-"/>
    <s v="Jurídico Externo"/>
    <x v="1"/>
  </r>
  <r>
    <x v="357"/>
    <x v="55"/>
    <x v="0"/>
    <s v="UCE"/>
    <s v="PMBCS"/>
    <x v="8"/>
    <x v="1"/>
    <x v="234"/>
    <s v="Rua Prof. Simão José Hess, nº 191 - Trindade."/>
    <x v="2"/>
    <x v="0"/>
    <x v="0"/>
    <n v="0"/>
    <m/>
    <s v="-"/>
    <s v="-"/>
    <s v="Jurídico Externo"/>
    <x v="1"/>
  </r>
  <r>
    <x v="358"/>
    <x v="55"/>
    <x v="0"/>
    <s v="UCE"/>
    <s v="PMBCS"/>
    <x v="8"/>
    <x v="1"/>
    <x v="235"/>
    <s v="Rua Prof. Simão José Hess, nº 191 - Trindade."/>
    <x v="2"/>
    <x v="0"/>
    <x v="0"/>
    <n v="0"/>
    <m/>
    <s v="-"/>
    <s v="-"/>
    <s v="Jurídico Externo"/>
    <x v="1"/>
  </r>
  <r>
    <x v="359"/>
    <x v="55"/>
    <x v="0"/>
    <s v="UCE"/>
    <s v="PMBCS"/>
    <x v="8"/>
    <x v="1"/>
    <x v="236"/>
    <s v="Rua Prof. Simão José Hess, nº 191 - Trindade."/>
    <x v="2"/>
    <x v="0"/>
    <x v="0"/>
    <n v="0"/>
    <m/>
    <s v="-"/>
    <s v="-"/>
    <s v="Jurídico Externo"/>
    <x v="1"/>
  </r>
  <r>
    <x v="360"/>
    <x v="55"/>
    <x v="0"/>
    <s v="UCE"/>
    <s v="PMBCS"/>
    <x v="8"/>
    <x v="1"/>
    <x v="237"/>
    <s v="Rua Prof. Simão José Hess, nº 191 - Trindade."/>
    <x v="2"/>
    <x v="0"/>
    <x v="0"/>
    <n v="0"/>
    <m/>
    <s v="-"/>
    <s v="-"/>
    <s v="Jurídico Externo"/>
    <x v="1"/>
  </r>
  <r>
    <x v="361"/>
    <x v="55"/>
    <x v="0"/>
    <s v="UCE"/>
    <s v="PMBCS"/>
    <x v="8"/>
    <x v="1"/>
    <x v="238"/>
    <s v="Rua Prof. Simão José Hess, nº 191 - Trindade."/>
    <x v="2"/>
    <x v="0"/>
    <x v="0"/>
    <n v="0"/>
    <m/>
    <s v="-"/>
    <s v="-"/>
    <s v="Jurídico Externo"/>
    <x v="1"/>
  </r>
  <r>
    <x v="362"/>
    <x v="55"/>
    <x v="0"/>
    <s v="UCE"/>
    <s v="PMBCS"/>
    <x v="8"/>
    <x v="1"/>
    <x v="239"/>
    <s v="Rua Prof. Simão José Hess, nº 191 - Trindade."/>
    <x v="2"/>
    <x v="0"/>
    <x v="0"/>
    <n v="0"/>
    <m/>
    <s v="-"/>
    <s v="-"/>
    <s v="Jurídico Externo"/>
    <x v="1"/>
  </r>
  <r>
    <x v="363"/>
    <x v="55"/>
    <x v="0"/>
    <s v="UCE"/>
    <s v="PMBCS"/>
    <x v="8"/>
    <x v="1"/>
    <x v="240"/>
    <s v="Rua Prof. Simão José Hess, nº 191 - Trindade."/>
    <x v="2"/>
    <x v="0"/>
    <x v="0"/>
    <n v="0"/>
    <m/>
    <s v="-"/>
    <s v="-"/>
    <s v="Jurídico Externo"/>
    <x v="1"/>
  </r>
  <r>
    <x v="364"/>
    <x v="55"/>
    <x v="0"/>
    <s v="UCE"/>
    <s v="PMBCS"/>
    <x v="8"/>
    <x v="1"/>
    <x v="241"/>
    <s v="Rua Prof. Simão José Hess, nº 191 - Trindade."/>
    <x v="2"/>
    <x v="0"/>
    <x v="0"/>
    <n v="0"/>
    <m/>
    <s v="-"/>
    <s v="-"/>
    <s v="Jurídico Externo"/>
    <x v="1"/>
  </r>
  <r>
    <x v="365"/>
    <x v="55"/>
    <x v="0"/>
    <s v="UCE"/>
    <s v="PMBCS"/>
    <x v="8"/>
    <x v="1"/>
    <x v="242"/>
    <s v="Rua Prof. Simão José Hess, nº 191 - Trindade."/>
    <x v="2"/>
    <x v="0"/>
    <x v="0"/>
    <n v="0"/>
    <m/>
    <s v="-"/>
    <s v="-"/>
    <s v="Jurídico Externo"/>
    <x v="1"/>
  </r>
  <r>
    <x v="366"/>
    <x v="55"/>
    <x v="0"/>
    <s v="UCE"/>
    <s v="PMBCS"/>
    <x v="8"/>
    <x v="1"/>
    <x v="243"/>
    <s v="Rua Prof. Simão José Hess, nº 191 - Trindade."/>
    <x v="2"/>
    <x v="0"/>
    <x v="0"/>
    <n v="0"/>
    <m/>
    <s v="-"/>
    <s v="-"/>
    <s v="Jurídico Externo"/>
    <x v="1"/>
  </r>
  <r>
    <x v="367"/>
    <x v="55"/>
    <x v="0"/>
    <s v="UCE"/>
    <s v="PMBCS"/>
    <x v="8"/>
    <x v="1"/>
    <x v="244"/>
    <s v="Rua Prof. Simão José Hess, nº 191 - Trindade."/>
    <x v="2"/>
    <x v="0"/>
    <x v="0"/>
    <n v="0"/>
    <m/>
    <s v="-"/>
    <s v="-"/>
    <s v="Jurídico Externo"/>
    <x v="1"/>
  </r>
  <r>
    <x v="368"/>
    <x v="55"/>
    <x v="0"/>
    <s v="UCE"/>
    <s v="PMBCS"/>
    <x v="8"/>
    <x v="1"/>
    <x v="245"/>
    <s v="Rua Prof. Simão José Hess, nº 191 - Trindade."/>
    <x v="2"/>
    <x v="0"/>
    <x v="0"/>
    <n v="0"/>
    <m/>
    <s v="-"/>
    <s v="-"/>
    <s v="Jurídico Externo"/>
    <x v="1"/>
  </r>
  <r>
    <x v="369"/>
    <x v="55"/>
    <x v="0"/>
    <s v="UCE"/>
    <s v="PMBCS"/>
    <x v="8"/>
    <x v="1"/>
    <x v="246"/>
    <s v="Rua Prof. Simão José Hess, nº 191 - Trindade."/>
    <x v="2"/>
    <x v="0"/>
    <x v="0"/>
    <n v="0"/>
    <m/>
    <s v="-"/>
    <s v="-"/>
    <s v="Jurídico Externo"/>
    <x v="1"/>
  </r>
  <r>
    <x v="370"/>
    <x v="55"/>
    <x v="0"/>
    <s v="UCE"/>
    <s v="PMBCS"/>
    <x v="8"/>
    <x v="1"/>
    <x v="247"/>
    <s v="Rua Prof. Simão José Hess, nº 191 - Trindade."/>
    <x v="2"/>
    <x v="0"/>
    <x v="0"/>
    <n v="0"/>
    <m/>
    <s v="-"/>
    <s v="-"/>
    <s v="Jurídico Externo"/>
    <x v="1"/>
  </r>
  <r>
    <x v="371"/>
    <x v="55"/>
    <x v="0"/>
    <s v="UCE"/>
    <s v="PMBCS"/>
    <x v="8"/>
    <x v="1"/>
    <x v="248"/>
    <s v="Rua Prof. Simão José Hess, nº 191 - Trindade."/>
    <x v="2"/>
    <x v="0"/>
    <x v="0"/>
    <n v="0"/>
    <m/>
    <s v="-"/>
    <s v="-"/>
    <s v="Jurídico Externo"/>
    <x v="1"/>
  </r>
  <r>
    <x v="372"/>
    <x v="55"/>
    <x v="0"/>
    <s v="UCE"/>
    <s v="PMBCS"/>
    <x v="8"/>
    <x v="1"/>
    <x v="249"/>
    <s v="Rua Prof. Simão José Hess, nº 191 - Trindade."/>
    <x v="2"/>
    <x v="0"/>
    <x v="0"/>
    <n v="0"/>
    <m/>
    <s v="-"/>
    <s v="-"/>
    <s v="Jurídico Externo"/>
    <x v="1"/>
  </r>
  <r>
    <x v="373"/>
    <x v="55"/>
    <x v="0"/>
    <s v="UCE"/>
    <s v="PMBCS"/>
    <x v="8"/>
    <x v="1"/>
    <x v="250"/>
    <s v="Rua Prof. Simão José Hess, nº 191 - Trindade."/>
    <x v="2"/>
    <x v="0"/>
    <x v="0"/>
    <n v="0"/>
    <m/>
    <s v="-"/>
    <s v="-"/>
    <s v="Jurídico Externo"/>
    <x v="1"/>
  </r>
  <r>
    <x v="374"/>
    <x v="55"/>
    <x v="0"/>
    <s v="UCE"/>
    <s v="PMBCS"/>
    <x v="8"/>
    <x v="1"/>
    <x v="251"/>
    <s v="Rua Prof. Simão José Hess, nº 191 - Trindade."/>
    <x v="2"/>
    <x v="0"/>
    <x v="0"/>
    <n v="0"/>
    <m/>
    <s v="-"/>
    <s v="-"/>
    <s v="Jurídico Externo"/>
    <x v="1"/>
  </r>
  <r>
    <x v="375"/>
    <x v="55"/>
    <x v="0"/>
    <s v="UCE"/>
    <s v="PMBCS"/>
    <x v="8"/>
    <x v="1"/>
    <x v="252"/>
    <s v="Rua Prof. Simão José Hess, nº 191 - Trindade."/>
    <x v="2"/>
    <x v="0"/>
    <x v="0"/>
    <n v="0"/>
    <m/>
    <s v="-"/>
    <s v="-"/>
    <s v="Jurídico Externo"/>
    <x v="1"/>
  </r>
  <r>
    <x v="376"/>
    <x v="55"/>
    <x v="0"/>
    <s v="UCE"/>
    <s v="PMBCS"/>
    <x v="8"/>
    <x v="1"/>
    <x v="253"/>
    <s v="Rua Prof. Simão José Hess, nº 191 - Trindade."/>
    <x v="2"/>
    <x v="0"/>
    <x v="0"/>
    <n v="0"/>
    <m/>
    <s v="-"/>
    <s v="-"/>
    <s v="Jurídico Externo"/>
    <x v="1"/>
  </r>
  <r>
    <x v="377"/>
    <x v="55"/>
    <x v="0"/>
    <s v="UCE"/>
    <s v="PMBCS"/>
    <x v="8"/>
    <x v="1"/>
    <x v="254"/>
    <s v="Rua Prof. Simão José Hess, nº 191 - Trindade."/>
    <x v="2"/>
    <x v="0"/>
    <x v="0"/>
    <n v="0"/>
    <m/>
    <s v="-"/>
    <s v="-"/>
    <s v="Jurídico Externo"/>
    <x v="1"/>
  </r>
  <r>
    <x v="378"/>
    <x v="55"/>
    <x v="0"/>
    <s v="UCE"/>
    <s v="PMBCS"/>
    <x v="8"/>
    <x v="1"/>
    <x v="255"/>
    <s v="Rua Prof. Simão José Hess, nº 191 - Trindade."/>
    <x v="2"/>
    <x v="0"/>
    <x v="0"/>
    <n v="0"/>
    <m/>
    <s v="-"/>
    <s v="-"/>
    <s v="Jurídico Externo"/>
    <x v="1"/>
  </r>
  <r>
    <x v="379"/>
    <x v="55"/>
    <x v="0"/>
    <s v="UCE"/>
    <s v="PMBCS"/>
    <x v="8"/>
    <x v="1"/>
    <x v="256"/>
    <s v="Rua Prof. Simão José Hess, nº 191 - Trindade."/>
    <x v="2"/>
    <x v="0"/>
    <x v="0"/>
    <n v="0"/>
    <m/>
    <s v="-"/>
    <s v="-"/>
    <s v="Jurídico Externo"/>
    <x v="1"/>
  </r>
  <r>
    <x v="380"/>
    <x v="55"/>
    <x v="0"/>
    <s v="UCE"/>
    <s v="PMBCS"/>
    <x v="8"/>
    <x v="1"/>
    <x v="257"/>
    <s v="Rua Prof. Simão José Hess, nº 191 - Trindade."/>
    <x v="2"/>
    <x v="0"/>
    <x v="0"/>
    <n v="0"/>
    <m/>
    <s v="-"/>
    <s v="-"/>
    <s v="Jurídico Externo"/>
    <x v="1"/>
  </r>
  <r>
    <x v="381"/>
    <x v="55"/>
    <x v="0"/>
    <s v="UCE"/>
    <s v="PMBCS"/>
    <x v="8"/>
    <x v="1"/>
    <x v="258"/>
    <s v="Rua Prof. Simão José Hess, nº 191 - Trindade."/>
    <x v="2"/>
    <x v="0"/>
    <x v="0"/>
    <n v="0"/>
    <m/>
    <s v="-"/>
    <s v="-"/>
    <s v="Jurídico Externo"/>
    <x v="1"/>
  </r>
  <r>
    <x v="382"/>
    <x v="55"/>
    <x v="0"/>
    <s v="UCE"/>
    <s v="PMBCS"/>
    <x v="8"/>
    <x v="1"/>
    <x v="259"/>
    <s v="Rua Prof. Simão José Hess, nº 191 - Trindade."/>
    <x v="2"/>
    <x v="0"/>
    <x v="0"/>
    <n v="0"/>
    <m/>
    <s v="-"/>
    <s v="-"/>
    <s v="Jurídico Externo"/>
    <x v="1"/>
  </r>
  <r>
    <x v="383"/>
    <x v="55"/>
    <x v="0"/>
    <s v="UCE"/>
    <s v="PMBCS"/>
    <x v="8"/>
    <x v="1"/>
    <x v="260"/>
    <s v="Rua Prof. Simão José Hess, nº 191 - Trindade."/>
    <x v="2"/>
    <x v="0"/>
    <x v="0"/>
    <n v="0"/>
    <m/>
    <s v="-"/>
    <s v="-"/>
    <s v="Jurídico Externo"/>
    <x v="1"/>
  </r>
  <r>
    <x v="384"/>
    <x v="55"/>
    <x v="0"/>
    <s v="UCE"/>
    <s v="PMBCS"/>
    <x v="8"/>
    <x v="1"/>
    <x v="261"/>
    <s v="Rua Prof. Simão José Hess, nº 191 - Trindade."/>
    <x v="2"/>
    <x v="0"/>
    <x v="0"/>
    <n v="0"/>
    <m/>
    <s v="-"/>
    <s v="-"/>
    <s v="Jurídico Externo"/>
    <x v="1"/>
  </r>
  <r>
    <x v="385"/>
    <x v="55"/>
    <x v="0"/>
    <s v="UCE"/>
    <s v="PMBCS"/>
    <x v="8"/>
    <x v="1"/>
    <x v="262"/>
    <s v="Rua Prof. Simão José Hess, nº 191 - Trindade."/>
    <x v="2"/>
    <x v="0"/>
    <x v="0"/>
    <n v="0"/>
    <m/>
    <s v="-"/>
    <s v="-"/>
    <s v="Jurídico Externo"/>
    <x v="1"/>
  </r>
  <r>
    <x v="386"/>
    <x v="7"/>
    <x v="0"/>
    <s v="APC"/>
    <s v="GM"/>
    <x v="38"/>
    <x v="0"/>
    <x v="197"/>
    <s v="Rua Antônio Zaramela, 200 - Zaniolo."/>
    <x v="1"/>
    <x v="2"/>
    <x v="41"/>
    <n v="1"/>
    <m/>
    <s v="-"/>
    <s v="-"/>
    <s v="Jurídico Externo"/>
    <x v="1"/>
  </r>
  <r>
    <x v="387"/>
    <x v="7"/>
    <x v="0"/>
    <s v="Terceiro"/>
    <s v="GM"/>
    <x v="6"/>
    <x v="0"/>
    <x v="114"/>
    <s v="-"/>
    <x v="1"/>
    <x v="2"/>
    <x v="8"/>
    <n v="1"/>
    <d v="2020-06-23T00:00:00"/>
    <s v="Núcleo de Regularizações, informa a gerente de Patrimônio Imobiliário sobre a irregularidade em aberto. A gerente de Patrimônio Imobiliário, direciona o assunto a gerente da Procuradoria Jurídica, solicitando atualização."/>
    <s v="-"/>
    <s v="GPI"/>
    <x v="1"/>
  </r>
  <r>
    <x v="387"/>
    <x v="7"/>
    <x v="0"/>
    <s v="Terceiro"/>
    <s v="GM"/>
    <x v="6"/>
    <x v="0"/>
    <x v="114"/>
    <s v="-"/>
    <x v="1"/>
    <x v="2"/>
    <x v="5"/>
    <n v="1"/>
    <d v="2020-06-15T00:00:00"/>
    <s v="Este caso foi ativado para inserir as providências quanto a situação do cadastro tendo em vista a entrega da obrigação ter sido feita em nome da APC e também para acompanhar o caso da transferência da propriedade, tendo em vista a desapropriação do município de Tijucas do Sul. Razão pela qual foi demandado ao Alaor a emissão de certidão para certificar se por ventura o município havia tomado alguma providência neste sentido."/>
    <s v="-"/>
    <s v="GPI"/>
    <x v="1"/>
  </r>
  <r>
    <x v="387"/>
    <x v="7"/>
    <x v="0"/>
    <s v="Terceiro"/>
    <s v="GM"/>
    <x v="6"/>
    <x v="0"/>
    <x v="114"/>
    <s v="-"/>
    <x v="1"/>
    <x v="2"/>
    <x v="8"/>
    <n v="1"/>
    <d v="2020-07-15T00:00:00"/>
    <s v="Tendo em vista ausência de manifestação acerca da atualização. Núcleo de Regularizações, toma providência reforçando o pedido diretamente a gerente da Procuradoría Jurídica."/>
    <s v="-"/>
    <s v="GPI"/>
    <x v="1"/>
  </r>
  <r>
    <x v="387"/>
    <x v="7"/>
    <x v="0"/>
    <s v="Terceiro"/>
    <s v="GM"/>
    <x v="6"/>
    <x v="0"/>
    <x v="114"/>
    <s v="-"/>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388"/>
    <x v="2"/>
    <x v="0"/>
    <s v="ABEC"/>
    <s v="PMBCS"/>
    <x v="2"/>
    <x v="0"/>
    <x v="2"/>
    <s v="Rua Fazenda Iguaçú, s/n - Capocu."/>
    <x v="1"/>
    <x v="2"/>
    <x v="15"/>
    <n v="1"/>
    <d v="2020-03-03T00:00:00"/>
    <s v="Contato estabelecido com Natasha, informando a necessidade de se retomar a escritura de dação em pagamento da APC para a ABEC, tendo em vista que o processo de cisão esteja evoluindo e isto para que não ocorra eventuais prejuizos."/>
    <s v="-"/>
    <s v="Jurídico Externo"/>
    <x v="1"/>
  </r>
  <r>
    <x v="388"/>
    <x v="2"/>
    <x v="0"/>
    <s v="ABEC"/>
    <s v="PMBCS"/>
    <x v="2"/>
    <x v="0"/>
    <x v="2"/>
    <s v="Rua Fazenda Iguaçú, s/n - Capocu."/>
    <x v="0"/>
    <x v="0"/>
    <x v="0"/>
    <n v="0"/>
    <d v="2019-09-30T00:00:00"/>
    <s v="Ofício do IAP, encaminhado para assinatura do Ir. Délcio. Assinatura obtida e documento encaminhado para a Eccoambiental. Aguardando empresa informar o numero do protocolo para acompanhamento."/>
    <s v="-"/>
    <s v="GPI"/>
    <x v="2"/>
  </r>
  <r>
    <x v="388"/>
    <x v="2"/>
    <x v="0"/>
    <s v="ABEC"/>
    <s v="PMBCS"/>
    <x v="2"/>
    <x v="0"/>
    <x v="2"/>
    <s v="Rua Fazenda Iguaçú, s/n - Capocu."/>
    <x v="1"/>
    <x v="1"/>
    <x v="15"/>
    <n v="1"/>
    <d v="2020-05-12T00:00:00"/>
    <s v="Escritório encaminha a matrícula do imóvel com o registro da cisão, transferindo a propriedade da ABEC para a UCE, sem que a escritura de dação em pagamento da APC para a ABEC tenha sido registrada. A questão foi levantada junto ao escritório, o qual ficou de averiguar junto ao Ofício de Registro de Imóveis."/>
    <s v="-"/>
    <s v="Jurídico Externo"/>
    <x v="1"/>
  </r>
  <r>
    <x v="388"/>
    <x v="2"/>
    <x v="0"/>
    <s v="ABEC"/>
    <s v="PMBCS"/>
    <x v="2"/>
    <x v="0"/>
    <x v="2"/>
    <s v="Rua Fazenda Iguaçú, s/n - Capocu."/>
    <x v="1"/>
    <x v="2"/>
    <x v="2"/>
    <n v="1"/>
    <d v="2020-01-13T00:00:00"/>
    <s v="Protocolado o requerimento, todavia sem previsão de avaliação pelo órgão ambiental, uma_x000a_vez que a informação inicial era de que seria avaliado apenas após o encerramento_x000a_dos cadastros. Porém o CAR teve o prazo para encerramento dos cadastros anulado, por meio da Lei 13887 de 2019._x000a_Assim, devemos apenas aguardar tal análise."/>
    <s v="-"/>
    <s v="GPI"/>
    <x v="1"/>
  </r>
  <r>
    <x v="388"/>
    <x v="2"/>
    <x v="0"/>
    <s v="ABEC"/>
    <s v="PMBCS"/>
    <x v="2"/>
    <x v="0"/>
    <x v="2"/>
    <s v="Rua Fazenda Iguaçú, s/n - Capocu."/>
    <x v="1"/>
    <x v="1"/>
    <x v="15"/>
    <n v="1"/>
    <d v="2020-06-16T00:00:00"/>
    <s v="O retorno do Ofício do Registro de Imóveis ao escritório, confirmou que o documento de Cisão por si só não substitui a transferência do imóvel e que devido a isso, houve mesmo equivoco do cartório em efetuar o registro da Cisão. Sendo assim, será preciso seguir com a escritura de transferência do Imóvel da APC para ABEC, para posteriormente cancelar o Ato e efetuar o Registro de maneira correta."/>
    <s v="-"/>
    <s v="Jurídico Externo"/>
    <x v="1"/>
  </r>
  <r>
    <x v="388"/>
    <x v="2"/>
    <x v="0"/>
    <s v="ABEC"/>
    <s v="PMBCS"/>
    <x v="2"/>
    <x v="0"/>
    <x v="2"/>
    <s v="Rua Fazenda Iguaçú, s/n - Capocu."/>
    <x v="1"/>
    <x v="2"/>
    <x v="4"/>
    <n v="1"/>
    <m/>
    <s v="-"/>
    <s v="-"/>
    <s v="Jurídico Interno"/>
    <x v="1"/>
  </r>
  <r>
    <x v="388"/>
    <x v="2"/>
    <x v="0"/>
    <s v="ABEC"/>
    <s v="PMBCS"/>
    <x v="2"/>
    <x v="0"/>
    <x v="2"/>
    <s v="Rua Fazenda Iguaçú, s/n - Capocu."/>
    <x v="1"/>
    <x v="2"/>
    <x v="2"/>
    <n v="1"/>
    <d v="2020-02-18T00:00:00"/>
    <s v="Processo sem evolução, por parte do órgão ambiental."/>
    <s v="-"/>
    <s v="GPI"/>
    <x v="1"/>
  </r>
  <r>
    <x v="388"/>
    <x v="2"/>
    <x v="0"/>
    <s v="ABEC"/>
    <s v="PMBCS"/>
    <x v="2"/>
    <x v="0"/>
    <x v="2"/>
    <s v="Rua Fazenda Iguaçú, s/n - Capocu."/>
    <x v="1"/>
    <x v="2"/>
    <x v="2"/>
    <n v="1"/>
    <d v="2020-03-16T00:00:00"/>
    <s v="Processo sem evolução, por parte do órgão ambiental."/>
    <s v="-"/>
    <s v="GPI"/>
    <x v="1"/>
  </r>
  <r>
    <x v="388"/>
    <x v="2"/>
    <x v="0"/>
    <s v="ABEC"/>
    <s v="PMBCS"/>
    <x v="2"/>
    <x v="0"/>
    <x v="2"/>
    <s v="Rua Fazenda Iguaçú, s/n - Capocu."/>
    <x v="1"/>
    <x v="2"/>
    <x v="2"/>
    <n v="1"/>
    <d v="2020-05-11T00:00:00"/>
    <s v="Processo sem evolução, por parte do órgão ambiental."/>
    <s v="-"/>
    <s v="GPI"/>
    <x v="1"/>
  </r>
  <r>
    <x v="388"/>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388"/>
    <x v="2"/>
    <x v="0"/>
    <s v="ABEC"/>
    <s v="PMBCS"/>
    <x v="2"/>
    <x v="0"/>
    <x v="2"/>
    <s v="Rua Fazenda Iguaçú, s/n - Capocu."/>
    <x v="1"/>
    <x v="2"/>
    <x v="2"/>
    <n v="1"/>
    <d v="2020-06-15T00:00:00"/>
    <s v="O apontamento em relatório da empresa Ecco Ambiental é de que durante o último mês, não ocorreu nenhuma movimentação por parte do órgão no sentido de análise do cadastro."/>
    <s v="-"/>
    <s v="GPI"/>
    <x v="1"/>
  </r>
  <r>
    <x v="388"/>
    <x v="2"/>
    <x v="0"/>
    <s v="ABEC"/>
    <s v="PMBCS"/>
    <x v="2"/>
    <x v="0"/>
    <x v="2"/>
    <s v="Rua Fazenda Iguaçú, s/n - Capocu."/>
    <x v="1"/>
    <x v="2"/>
    <x v="15"/>
    <n v="1"/>
    <d v="2020-07-06T00:00:00"/>
    <s v="Reencaminhado mensagem a Natasha informando sobre a necessidade de retomada do assunto."/>
    <s v="-"/>
    <s v="GPI"/>
    <x v="1"/>
  </r>
  <r>
    <x v="388"/>
    <x v="2"/>
    <x v="0"/>
    <s v="ABEC"/>
    <s v="PMBCS"/>
    <x v="2"/>
    <x v="0"/>
    <x v="2"/>
    <s v="Rua Fazenda Iguaçú, s/n - Capocu."/>
    <x v="1"/>
    <x v="2"/>
    <x v="15"/>
    <n v="1"/>
    <d v="2020-06-16T00:00:00"/>
    <s v="O retorno do Ofício do Registro de Imóveis ao escritório, confirmou que o documento de Cisão por si só não substitui a transferência do imóvel e que devido a isso, houve mesmo equivoco do cartório em efetuar o registro da Cisão. Sendo assim, será preciso seguir com a escritura de transferência do Imóvel da APC para ABEC, para posteriormente cancelar o Ato e efetuar o Registro de maneira correta."/>
    <s v="-"/>
    <s v="GPI"/>
    <x v="1"/>
  </r>
  <r>
    <x v="388"/>
    <x v="2"/>
    <x v="0"/>
    <s v="ABEC"/>
    <s v="PMBCS"/>
    <x v="2"/>
    <x v="0"/>
    <x v="2"/>
    <s v="Rua Fazenda Iguaçú, s/n - Capocu."/>
    <x v="1"/>
    <x v="2"/>
    <x v="2"/>
    <n v="1"/>
    <d v="2020-07-15T00:00:00"/>
    <s v="O apontamento em relatório da empresa Ecco Ambiental é de que durante o último mês, não ocorreu nenhuma movimentação por parte do órgão no sentido de análise do cadastro."/>
    <s v="-"/>
    <s v="GPI"/>
    <x v="1"/>
  </r>
  <r>
    <x v="388"/>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388"/>
    <x v="2"/>
    <x v="0"/>
    <s v="ABEC"/>
    <s v="PMBCS"/>
    <x v="2"/>
    <x v="0"/>
    <x v="2"/>
    <s v="Rua Fazenda Iguaçú, s/n - Capocu."/>
    <x v="1"/>
    <x v="2"/>
    <x v="15"/>
    <n v="1"/>
    <d v="2020-07-16T00:00:00"/>
    <s v="Processo de alteração de titularidade ainda não realizado."/>
    <s v="-"/>
    <s v="GPI"/>
    <x v="1"/>
  </r>
  <r>
    <x v="389"/>
    <x v="2"/>
    <x v="0"/>
    <s v="ABEC"/>
    <s v="PMBCS"/>
    <x v="2"/>
    <x v="0"/>
    <x v="2"/>
    <s v="Rua Fazenda Iguaçú, s/n - Capocu."/>
    <x v="0"/>
    <x v="0"/>
    <x v="0"/>
    <n v="0"/>
    <d v="2020-05-12T00:00:00"/>
    <s v="Escritório encaminha a matrícula do imóvel com o registro da cisão, transferindo a propriedade da ABEC para a UCE, sem que a escritura de dação em pagamento da APC para a ABEC tenha sido registrada. A questão foi levantada junto ao escritório, o qual ficou de averiguar junto ao Ofício de Registro de Imóveis."/>
    <s v="-"/>
    <s v="Jurídico Externo"/>
    <x v="8"/>
  </r>
  <r>
    <x v="389"/>
    <x v="2"/>
    <x v="0"/>
    <s v="ABEC"/>
    <s v="PMBCS"/>
    <x v="2"/>
    <x v="0"/>
    <x v="2"/>
    <s v="Rua Fazenda Iguaçú, s/n - Capocu."/>
    <x v="1"/>
    <x v="2"/>
    <x v="4"/>
    <n v="1"/>
    <m/>
    <s v="-"/>
    <s v="-"/>
    <s v="Jurídico Interno"/>
    <x v="1"/>
  </r>
  <r>
    <x v="389"/>
    <x v="2"/>
    <x v="0"/>
    <s v="ABEC"/>
    <s v="PMBCS"/>
    <x v="2"/>
    <x v="0"/>
    <x v="2"/>
    <s v="Rua Fazenda Iguaçú, s/n - Capocu."/>
    <x v="1"/>
    <x v="2"/>
    <x v="15"/>
    <n v="1"/>
    <d v="2020-03-03T00:00:00"/>
    <s v="Contato estabelecido com Natasha, informando a necessidade de se retomar a escritura de dação em pagamento da APC para a ABEC, tendo em vista que o processo de cisão esteja evoluindo e isto para que não ocorra eventuais prejuizos."/>
    <s v="-"/>
    <s v="Jurídico Externo"/>
    <x v="1"/>
  </r>
  <r>
    <x v="389"/>
    <x v="2"/>
    <x v="0"/>
    <s v="ABEC"/>
    <s v="PMBCS"/>
    <x v="2"/>
    <x v="0"/>
    <x v="2"/>
    <s v="Rua Fazenda Iguaçú, s/n - Capocu."/>
    <x v="1"/>
    <x v="2"/>
    <x v="5"/>
    <n v="1"/>
    <d v="2020-06-15T00:00:00"/>
    <s v="O apontamento em relatório da empresa Ecco Ambiental é de que durante o último mês, não ocorreu nenhuma movimentação por parte do órgão no sentido de análise do cadastro."/>
    <s v="-"/>
    <s v="GPI"/>
    <x v="1"/>
  </r>
  <r>
    <x v="389"/>
    <x v="2"/>
    <x v="0"/>
    <s v="ABEC"/>
    <s v="PMBCS"/>
    <x v="2"/>
    <x v="0"/>
    <x v="2"/>
    <s v="Rua Fazenda Iguaçú, s/n - Capocu."/>
    <x v="1"/>
    <x v="2"/>
    <x v="15"/>
    <n v="1"/>
    <d v="2020-06-16T00:00:00"/>
    <s v="O retorno do Ofício do Registro de Imóveis ao escritório, confirmou que o documento de Cisão por si só não substitui a transferência do imóvel e que devido a isso, houve mesmo equivoco do cartório em efetuar o registro da Cisão. Sendo assim, será preciso seguir com a escritura de transferência do Imóvel da APC para ABEC, para posteriormente cancelar o Ato e efetuar o Registro de maneira correta."/>
    <s v="-"/>
    <s v="GPI"/>
    <x v="1"/>
  </r>
  <r>
    <x v="389"/>
    <x v="2"/>
    <x v="0"/>
    <s v="ABEC"/>
    <s v="PMBCS"/>
    <x v="2"/>
    <x v="0"/>
    <x v="2"/>
    <s v="Rua Fazenda Iguaçú, s/n - Capocu."/>
    <x v="1"/>
    <x v="2"/>
    <x v="15"/>
    <n v="1"/>
    <d v="2020-07-06T00:00:00"/>
    <s v="Reencaminhado mensagem a Natasha informando sobre a necessidade de retomada do assunto."/>
    <s v="-"/>
    <s v="GPI"/>
    <x v="1"/>
  </r>
  <r>
    <x v="389"/>
    <x v="2"/>
    <x v="0"/>
    <s v="ABEC"/>
    <s v="PMBCS"/>
    <x v="2"/>
    <x v="0"/>
    <x v="2"/>
    <s v="Rua Fazenda Iguaçú, s/n - Capocu."/>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389"/>
    <x v="2"/>
    <x v="0"/>
    <s v="ABEC"/>
    <s v="PMBCS"/>
    <x v="2"/>
    <x v="0"/>
    <x v="2"/>
    <s v="Rua Fazenda Iguaçú, s/n - Capocu."/>
    <x v="1"/>
    <x v="2"/>
    <x v="15"/>
    <n v="1"/>
    <d v="2020-07-16T00:00:00"/>
    <s v="Processo de alteração de titularidade ainda não realizado."/>
    <s v="-"/>
    <s v="GPI"/>
    <x v="1"/>
  </r>
  <r>
    <x v="390"/>
    <x v="23"/>
    <x v="0"/>
    <s v="APC"/>
    <s v="GM"/>
    <x v="21"/>
    <x v="0"/>
    <x v="76"/>
    <s v="Rua Serra Verde, 250 - Bandeirantes."/>
    <x v="2"/>
    <x v="0"/>
    <x v="0"/>
    <n v="0"/>
    <m/>
    <s v="-"/>
    <s v="-"/>
    <s v="Verificar"/>
    <x v="1"/>
  </r>
  <r>
    <x v="391"/>
    <x v="57"/>
    <x v="0"/>
    <s v="UCE"/>
    <s v="PMBCS"/>
    <x v="1"/>
    <x v="0"/>
    <x v="263"/>
    <s v="Rua Bispo Dom José, 2674 - Seminário."/>
    <x v="2"/>
    <x v="0"/>
    <x v="0"/>
    <n v="0"/>
    <m/>
    <s v="-"/>
    <n v="537798"/>
    <s v="GPI"/>
    <x v="23"/>
  </r>
  <r>
    <x v="392"/>
    <x v="3"/>
    <x v="0"/>
    <s v="UCE"/>
    <s v="PMBCS"/>
    <x v="3"/>
    <x v="1"/>
    <x v="264"/>
    <s v="Rua Ir. Celestino Delpine e Rua Ir. Leão Magno - Amizade."/>
    <x v="2"/>
    <x v="0"/>
    <x v="0"/>
    <n v="0"/>
    <m/>
    <s v="-"/>
    <s v="-"/>
    <s v="Jurídico Externo"/>
    <x v="1"/>
  </r>
  <r>
    <x v="393"/>
    <x v="23"/>
    <x v="0"/>
    <s v="ABEC"/>
    <s v="PMBCS"/>
    <x v="21"/>
    <x v="0"/>
    <x v="265"/>
    <s v="Avenida dos Expedicionários, nº 1900 - Gleba Cafesal - Fazenda Palhano."/>
    <x v="1"/>
    <x v="1"/>
    <x v="6"/>
    <n v="1"/>
    <m/>
    <s v="-"/>
    <s v="-"/>
    <s v="Jurídico Externo"/>
    <x v="1"/>
  </r>
  <r>
    <x v="393"/>
    <x v="23"/>
    <x v="0"/>
    <s v="ABEC"/>
    <s v="PMBCS"/>
    <x v="21"/>
    <x v="0"/>
    <x v="265"/>
    <s v="Avenida dos Expedicionários, nº 1900 - Gleba Cafesal - Fazenda Palhano."/>
    <x v="1"/>
    <x v="2"/>
    <x v="28"/>
    <n v="1"/>
    <d v="2020-05-15T00:00:00"/>
    <s v="Iniciado o processo de georreferenciamento do imóvel, com o trabalho de campo já realizado. Agora estão sendo preparadas as peças gráficas."/>
    <s v="-"/>
    <s v="GPI"/>
    <x v="1"/>
  </r>
  <r>
    <x v="393"/>
    <x v="23"/>
    <x v="0"/>
    <s v="ABEC"/>
    <s v="PMBCS"/>
    <x v="21"/>
    <x v="0"/>
    <x v="265"/>
    <s v="Avenida dos Expedicionários, nº 1900 - Gleba Cafesal - Fazenda Palhano."/>
    <x v="1"/>
    <x v="2"/>
    <x v="5"/>
    <n v="1"/>
    <d v="2020-06-15T00:00:00"/>
    <s v="O apontamento em relatório da empresa Ecco Ambiental é de que durante o último mês, não ocorreu nenhuma movimentação por parte do órgão no sentido de análise do cadastro."/>
    <s v="-"/>
    <s v="GPI"/>
    <x v="1"/>
  </r>
  <r>
    <x v="393"/>
    <x v="23"/>
    <x v="0"/>
    <s v="ABEC"/>
    <s v="PMBCS"/>
    <x v="21"/>
    <x v="0"/>
    <x v="265"/>
    <s v="Avenida dos Expedicionários, nº 1900 - Gleba Cafesal - Fazenda Palhano."/>
    <x v="1"/>
    <x v="2"/>
    <x v="28"/>
    <n v="1"/>
    <d v="2020-06-15T00:00:00"/>
    <s v="Sem alteração do status anterior para o atual."/>
    <s v="-"/>
    <s v="GPI"/>
    <x v="1"/>
  </r>
  <r>
    <x v="393"/>
    <x v="23"/>
    <x v="0"/>
    <s v="ABEC"/>
    <s v="PMBCS"/>
    <x v="21"/>
    <x v="0"/>
    <x v="265"/>
    <s v="Avenida dos Expedicionários, nº 1900 - Gleba Cafesal - Fazenda Palhano."/>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393"/>
    <x v="23"/>
    <x v="0"/>
    <s v="ABEC"/>
    <s v="PMBCS"/>
    <x v="21"/>
    <x v="0"/>
    <x v="265"/>
    <s v="Avenida dos Expedicionários, nº 1900 - Gleba Cafesal - Fazenda Palhano."/>
    <x v="1"/>
    <x v="2"/>
    <x v="28"/>
    <n v="1"/>
    <d v="2020-07-15T00:00:00"/>
    <s v="Verificando registros dominiais dos confrontantes."/>
    <s v="-"/>
    <s v="GPI"/>
    <x v="1"/>
  </r>
  <r>
    <x v="393"/>
    <x v="23"/>
    <x v="0"/>
    <s v="ABEC"/>
    <s v="PMBCS"/>
    <x v="21"/>
    <x v="0"/>
    <x v="265"/>
    <s v="Avenida dos Expedicionários, nº 1900 - Gleba Cafesal - Fazenda Palhano."/>
    <x v="0"/>
    <x v="4"/>
    <x v="11"/>
    <n v="0"/>
    <d v="2020-07-16T00:00:00"/>
    <s v="Processo de alteração de titularidade ainda não realizado."/>
    <s v="-"/>
    <s v="Jurídico Externo"/>
    <x v="24"/>
  </r>
  <r>
    <x v="394"/>
    <x v="41"/>
    <x v="0"/>
    <s v="ABEC"/>
    <s v="PMBCS"/>
    <x v="1"/>
    <x v="0"/>
    <x v="266"/>
    <s v="-"/>
    <x v="1"/>
    <x v="1"/>
    <x v="8"/>
    <n v="1"/>
    <d v="2020-07-16T00:00:00"/>
    <s v="Processo de alteração de titularidade ainda não realizado."/>
    <s v="-"/>
    <s v="Jurídico Externo"/>
    <x v="1"/>
  </r>
  <r>
    <x v="394"/>
    <x v="41"/>
    <x v="0"/>
    <s v="ABEC"/>
    <s v="PMBCS"/>
    <x v="1"/>
    <x v="0"/>
    <x v="266"/>
    <s v="-"/>
    <x v="1"/>
    <x v="1"/>
    <x v="8"/>
    <n v="1"/>
    <d v="2019-12-15T00:00:00"/>
    <s v="Sem movimentação até a data de fechamento de relatório para este período."/>
    <s v="-"/>
    <s v="Jurídico Externo"/>
    <x v="1"/>
  </r>
  <r>
    <x v="394"/>
    <x v="41"/>
    <x v="0"/>
    <s v="ABEC"/>
    <s v="PMBCS"/>
    <x v="1"/>
    <x v="0"/>
    <x v="266"/>
    <s v="-"/>
    <x v="1"/>
    <x v="1"/>
    <x v="8"/>
    <n v="1"/>
    <d v="2020-01-08T00:00:00"/>
    <s v="Reconsideração quanto ao valor proposto dos R$ 80.000,00 sendo aceita pela parte autora."/>
    <s v="-"/>
    <s v="Jurídico Externo"/>
    <x v="1"/>
  </r>
  <r>
    <x v="394"/>
    <x v="41"/>
    <x v="0"/>
    <s v="ABEC"/>
    <s v="PMBCS"/>
    <x v="1"/>
    <x v="0"/>
    <x v="266"/>
    <s v="-"/>
    <x v="1"/>
    <x v="1"/>
    <x v="8"/>
    <n v="1"/>
    <d v="2020-01-13T00:00:00"/>
    <s v="Grasiela, comunica verbalmente ao Manoel que o pagamento deverá ser feito pela PMBCS."/>
    <s v="-"/>
    <s v="Jurídico Externo"/>
    <x v="1"/>
  </r>
  <r>
    <x v="394"/>
    <x v="41"/>
    <x v="0"/>
    <s v="ABEC"/>
    <s v="PMBCS"/>
    <x v="1"/>
    <x v="0"/>
    <x v="266"/>
    <s v="-"/>
    <x v="1"/>
    <x v="1"/>
    <x v="8"/>
    <n v="1"/>
    <d v="2020-01-17T00:00:00"/>
    <s v="Solicitado ao Manoel uma posição quanto ao pagamento. Devolutiva de que para processar o pagamento necessitam de um documento formalizando o acordo, despacho, contrato, etc."/>
    <s v="-"/>
    <s v="Jurídico Externo"/>
    <x v="1"/>
  </r>
  <r>
    <x v="394"/>
    <x v="41"/>
    <x v="0"/>
    <s v="ABEC"/>
    <s v="PMBCS"/>
    <x v="1"/>
    <x v="0"/>
    <x v="266"/>
    <s v="-"/>
    <x v="1"/>
    <x v="1"/>
    <x v="8"/>
    <n v="1"/>
    <d v="2020-02-18T00:00:00"/>
    <s v="Ocorreu reunião com a Sra. Ivone, suas filhas, Dra. Tarciane, Dr. Dilor, Grasiela e Dickson, inicialmente para esta ocasião aguardava-se também o comparecimento do responsável técnico Luiz Thomaz, contratado à época para demarcação do lote. Para esta ocasião a outra parte aguardava a evolução quanto ao acordo homologado em juízo, para pagamento da diferença de área da matrícula de n.º 94.909. Todavia referida evolução não ocorreu. Por conseguinte a presidência do grupo ofertou a importância de R$ 15.000,00. Aguardando-se a devolutiva da outra parte."/>
    <s v="-"/>
    <s v="Jurídico Externo"/>
    <x v="1"/>
  </r>
  <r>
    <x v="394"/>
    <x v="41"/>
    <x v="0"/>
    <s v="ABEC"/>
    <s v="PMBCS"/>
    <x v="1"/>
    <x v="0"/>
    <x v="266"/>
    <s v="Rua Frã Angélico, nº 127 - Guabirotuba."/>
    <x v="1"/>
    <x v="3"/>
    <x v="43"/>
    <n v="1"/>
    <d v="2019-09-27T00:00:00"/>
    <s v="Após audiência ocorrida em 27/09, foi enviada proposta para a sra. Ivone ofertando a compra por parte da ABEC no valor de R$ 30 mil reais. Recebimento da contraproposta por e-mail da advogada da sra. Ivone informando que a contra proposta para venda do lote de 5.61m é de R$ 120 mil reais. ABEC envia tréplica de proposta no valor de R$ 80.000,00 não sendo aceita pela outra parte."/>
    <n v="328192"/>
    <s v="Jurídico Externo"/>
    <x v="1"/>
  </r>
  <r>
    <x v="394"/>
    <x v="41"/>
    <x v="0"/>
    <s v="ABEC"/>
    <s v="PMBCS"/>
    <x v="1"/>
    <x v="0"/>
    <x v="266"/>
    <s v="Rua Frã Angélico, nº 127 - Guabirotuba."/>
    <x v="1"/>
    <x v="3"/>
    <x v="43"/>
    <n v="1"/>
    <d v="2020-03-16T00:00:00"/>
    <s v="Permanece o aguardo da manifestação da parte da Sra. Silvane quanto ao valor proposto pelo muro."/>
    <s v="-"/>
    <s v="Jurídico Externo"/>
    <x v="1"/>
  </r>
  <r>
    <x v="394"/>
    <x v="41"/>
    <x v="0"/>
    <s v="ABEC"/>
    <s v="PMBCS"/>
    <x v="1"/>
    <x v="0"/>
    <x v="266"/>
    <s v="Rua Frã Angélico, nº 127 - Guabirotuba."/>
    <x v="1"/>
    <x v="3"/>
    <x v="43"/>
    <n v="1"/>
    <d v="2020-04-22T00:00:00"/>
    <s v="Conforme informação verbal da gestora do setor de patrimônio imobiliário em 22/04/2020, permanecemos no aguardo quanto a situação de aquisição de parte do lote ou derrubada do muro, tendo em vista que o topógrafo da Sra. Ivone não entregou as peças técnicas para a mesma."/>
    <s v="-"/>
    <s v="Jurídico Externo"/>
    <x v="1"/>
  </r>
  <r>
    <x v="394"/>
    <x v="41"/>
    <x v="0"/>
    <s v="ABEC"/>
    <s v="PMBCS"/>
    <x v="1"/>
    <x v="0"/>
    <x v="266"/>
    <s v="Rua Frã Angélico, nº 127 - Guabirotuba."/>
    <x v="1"/>
    <x v="3"/>
    <x v="43"/>
    <n v="1"/>
    <d v="2020-05-06T00:00:00"/>
    <s v="Conforme posicionamento verbal repassado pela gerente de Patrimônio Imobiliário, via Microsoft Teams, sem andamento tendo em vista que o novo topógrafo da Sra. Ivone ainda não apresentou a peça técnica."/>
    <s v="-"/>
    <s v="Jurídico Externo"/>
    <x v="1"/>
  </r>
  <r>
    <x v="394"/>
    <x v="41"/>
    <x v="0"/>
    <s v="ABEC"/>
    <s v="PMBCS"/>
    <x v="1"/>
    <x v="0"/>
    <x v="266"/>
    <s v="Rua Frã Angélico, nº 127 - Guabirotuba."/>
    <x v="1"/>
    <x v="3"/>
    <x v="43"/>
    <n v="1"/>
    <d v="2020-06-16T00:00:00"/>
    <s v="Escritório se manifesta no sentido de que está aguardando o encaminhamento do levantamento topográfico por parte do Grupo Marista. O que já tinha ocorrido anteriormente. Isto posto, sem evolução desde o último relatório."/>
    <s v="-"/>
    <s v="Jurídico Externo"/>
    <x v="1"/>
  </r>
  <r>
    <x v="394"/>
    <x v="41"/>
    <x v="0"/>
    <s v="ABEC"/>
    <s v="PMBCS"/>
    <x v="1"/>
    <x v="0"/>
    <x v="266"/>
    <s v="Rua Frã Angélico, nº 127 - Guabirotuba."/>
    <x v="1"/>
    <x v="3"/>
    <x v="43"/>
    <n v="1"/>
    <d v="2020-07-15T00:00:00"/>
    <s v="Agendamento para o dia 24/07/2020 comparecimento no registro de imóveis para solicitação de certidão e planta para posteriormente protocolizar junto a Prefeitura."/>
    <s v="-"/>
    <s v="Jurídico Externo"/>
    <x v="1"/>
  </r>
  <r>
    <x v="395"/>
    <x v="58"/>
    <x v="0"/>
    <s v="ABEC"/>
    <s v="PMBCS"/>
    <x v="48"/>
    <x v="10"/>
    <x v="267"/>
    <s v="Av. Luciano Carneiro, 841 - Fátima."/>
    <x v="1"/>
    <x v="1"/>
    <x v="8"/>
    <n v="1"/>
    <d v="2020-05-11T00:00:00"/>
    <s v="Processo judicial de imunidade de ITBI em andamento."/>
    <s v="-"/>
    <s v="Jurídico Externo"/>
    <x v="1"/>
  </r>
  <r>
    <x v="396"/>
    <x v="21"/>
    <x v="0"/>
    <s v="APC"/>
    <s v="GM"/>
    <x v="6"/>
    <x v="0"/>
    <x v="96"/>
    <s v="-"/>
    <x v="1"/>
    <x v="2"/>
    <x v="5"/>
    <n v="1"/>
    <d v="2020-06-15T00:00:00"/>
    <s v="Este caso foi ativado para inserir as providências quanto a situação do cadastro tendo em vista a entrega da obrigação ter sido feita em nome da APC e também para acompanhar o caso da transferência da propriedade, tendo em vista a desapropriação do município de Tijucas do Sul. Razão pela qual foi demandado ao Alaor a emissão de certidão para certificar se por ventura o município havia tomado alguma providência neste sentido."/>
    <s v="-"/>
    <s v="GPI"/>
    <x v="1"/>
  </r>
  <r>
    <x v="396"/>
    <x v="21"/>
    <x v="0"/>
    <s v="APC"/>
    <s v="GM"/>
    <x v="6"/>
    <x v="0"/>
    <x v="96"/>
    <s v="-"/>
    <x v="1"/>
    <x v="2"/>
    <x v="8"/>
    <n v="1"/>
    <d v="2020-06-23T00:00:00"/>
    <s v="Núcleo de Regularizações, informa a gerente de Patrimônio Imobiliário sobre a irregularidade em aberto. A gerente de Patrimônio Imobiliário, direciona o assunto a gerente da Procuradoria Jurídica, solicitando atualização."/>
    <s v="-"/>
    <s v="GPI"/>
    <x v="1"/>
  </r>
  <r>
    <x v="396"/>
    <x v="21"/>
    <x v="0"/>
    <s v="APC"/>
    <s v="GM"/>
    <x v="6"/>
    <x v="0"/>
    <x v="96"/>
    <s v="-"/>
    <x v="1"/>
    <x v="2"/>
    <x v="8"/>
    <n v="1"/>
    <d v="2020-07-15T00:00:00"/>
    <s v="Tendo em vista ausência de manifestação acerca da atualização. Núcleo de Regularizações, toma providência reforçando o pedido diretamente a gerente da Procuradoría Jurídica."/>
    <s v="-"/>
    <s v="GPI"/>
    <x v="1"/>
  </r>
  <r>
    <x v="396"/>
    <x v="21"/>
    <x v="0"/>
    <s v="APC"/>
    <s v="GM"/>
    <x v="6"/>
    <x v="0"/>
    <x v="96"/>
    <s v="-"/>
    <x v="1"/>
    <x v="2"/>
    <x v="5"/>
    <n v="1"/>
    <d v="2020-07-15T00:00:00"/>
    <s v="O apontamento em relatório da empresa Ecco Ambiental é de que durante o último mês, não ocorreu nenhuma movimentação por parte do órgão no sentido de análise do cadastro. Núcleo de regularizações, verificou que o governo lançou novo sistema de análise dinamizada permitindo maior celeridade quanto ao prazo"/>
    <s v="-"/>
    <s v="GPI"/>
    <x v="1"/>
  </r>
  <r>
    <x v="397"/>
    <x v="7"/>
    <x v="0"/>
    <s v="ABEC"/>
    <s v="PMBCS"/>
    <x v="6"/>
    <x v="0"/>
    <x v="7"/>
    <s v="Rod. Prefeito Francisco Teixeira, s/n - Costa da Serra."/>
    <x v="1"/>
    <x v="1"/>
    <x v="8"/>
    <n v="1"/>
    <m/>
    <s v="-"/>
    <s v="-"/>
    <s v="Jurídico Externo"/>
    <x v="1"/>
  </r>
  <r>
    <x v="397"/>
    <x v="7"/>
    <x v="0"/>
    <s v="ABEC"/>
    <s v="PMBCS"/>
    <x v="6"/>
    <x v="0"/>
    <x v="7"/>
    <s v="Rod. Prefeito Francisco Teixeira, s/n - Costa da Serra."/>
    <x v="1"/>
    <x v="2"/>
    <x v="1"/>
    <n v="1"/>
    <m/>
    <s v="-"/>
    <s v="-"/>
    <s v="GPI"/>
    <x v="1"/>
  </r>
  <r>
    <x v="398"/>
    <x v="7"/>
    <x v="0"/>
    <s v="APC"/>
    <s v="GM"/>
    <x v="38"/>
    <x v="0"/>
    <x v="197"/>
    <s v="Rua Antônio Zaramela, 200 - Zaniolo."/>
    <x v="1"/>
    <x v="2"/>
    <x v="41"/>
    <n v="1"/>
    <m/>
    <s v="-"/>
    <s v="-"/>
    <s v="Jurídico Externo"/>
    <x v="1"/>
  </r>
  <r>
    <x v="399"/>
    <x v="7"/>
    <x v="0"/>
    <s v="APC"/>
    <s v="GM"/>
    <x v="38"/>
    <x v="0"/>
    <x v="197"/>
    <s v="Rua Antônio Zaramela, 200 - Zaniolo."/>
    <x v="2"/>
    <x v="0"/>
    <x v="0"/>
    <n v="0"/>
    <d v="2019-09-03T00:00:00"/>
    <s v="Registro da escritura."/>
    <s v="-"/>
    <s v="Jurídico Externo"/>
    <x v="25"/>
  </r>
  <r>
    <x v="400"/>
    <x v="4"/>
    <x v="0"/>
    <s v="ABEC"/>
    <s v="PMBCS"/>
    <x v="4"/>
    <x v="2"/>
    <x v="268"/>
    <s v="Lote 1, Q.1 4/3 SHIS - Conjunto 11 - Casa 01 - Lago Sul."/>
    <x v="1"/>
    <x v="1"/>
    <x v="8"/>
    <n v="1"/>
    <d v="2020-07-16T00:00:00"/>
    <s v="Processo de alteração de titularidade ainda não realizado."/>
    <s v="-"/>
    <s v="Jurídico Externo"/>
    <x v="1"/>
  </r>
  <r>
    <x v="401"/>
    <x v="10"/>
    <x v="0"/>
    <s v="ABEC"/>
    <s v="PMBCS"/>
    <x v="9"/>
    <x v="0"/>
    <x v="269"/>
    <s v="Rua Padre Marcelino Champagnat, nº 130 - Zona 2."/>
    <x v="2"/>
    <x v="0"/>
    <x v="0"/>
    <n v="0"/>
    <d v="2020-06-17T00:00:00"/>
    <s v="Escritório encaminha a certidão de débitos expedida pela prefeitura constatando a alteração da titularidade."/>
    <s v="-"/>
    <s v="Jurídico Externo"/>
    <x v="6"/>
  </r>
  <r>
    <x v="402"/>
    <x v="41"/>
    <x v="0"/>
    <s v="ABEC"/>
    <s v="PMBCS"/>
    <x v="1"/>
    <x v="0"/>
    <x v="266"/>
    <s v="Rua Frã Angélico, nº 127 - Guabirotuba."/>
    <x v="1"/>
    <x v="3"/>
    <x v="44"/>
    <n v="1"/>
    <d v="2019-07-19T00:00:00"/>
    <s v="Aguardando desdobramento do processo. Audiência de instrução e julgamento foi reafirmado o acordo e devidamente homologado definindo que a Sra. Ivone irá doar a área invadida pelo avanço do muro para a ABEC."/>
    <n v="328192"/>
    <s v="Jurídico Interno"/>
    <x v="1"/>
  </r>
  <r>
    <x v="402"/>
    <x v="41"/>
    <x v="0"/>
    <s v="ABEC"/>
    <s v="PMBCS"/>
    <x v="1"/>
    <x v="0"/>
    <x v="266"/>
    <s v="Rua Frã Angélico, nº 127 - Guabirotuba."/>
    <x v="1"/>
    <x v="1"/>
    <x v="8"/>
    <n v="1"/>
    <d v="2020-07-16T00:00:00"/>
    <s v="Processo de alteração de titularidade ainda não realizado."/>
    <s v="-"/>
    <s v="Jurídico Externo"/>
    <x v="1"/>
  </r>
  <r>
    <x v="402"/>
    <x v="41"/>
    <x v="0"/>
    <s v="ABEC"/>
    <s v="PMBCS"/>
    <x v="1"/>
    <x v="0"/>
    <x v="266"/>
    <s v="Rua Frã Angélico, nº 127 - Guabirotuba."/>
    <x v="1"/>
    <x v="1"/>
    <x v="8"/>
    <n v="1"/>
    <m/>
    <s v="Escritório altera a estratégia do assunto a qual vinha sendo seguida. Sendo elaborado um projeto para cadastramento do lote perante a prefeitura. Coleta a assinatura dos co-proprietários. Em 16/03/2020 Alaor disponibiliza no escritório Gobbo e Guimarães o projeto assinado, para protocolo perante a prefeitura."/>
    <s v="-"/>
    <s v="Jurídico Externo"/>
    <x v="1"/>
  </r>
  <r>
    <x v="402"/>
    <x v="41"/>
    <x v="0"/>
    <s v="ABEC"/>
    <s v="PMBCS"/>
    <x v="1"/>
    <x v="0"/>
    <x v="266"/>
    <s v="Rua Frã Angélico, nº 127 - Guabirotuba."/>
    <x v="1"/>
    <x v="1"/>
    <x v="8"/>
    <n v="1"/>
    <d v="2020-05-07T00:00:00"/>
    <s v="Em contato com escritório, Dr. Eduardo que assumiu o caso tendo em vista a saída do Dr. Dilor, pediu para que fosse encaminhada a peça técnica para continuidade do assunto. No entanto o Alaor já havia encaminhado referido documento."/>
    <s v="-"/>
    <s v="Jurídico Externo"/>
    <x v="1"/>
  </r>
  <r>
    <x v="402"/>
    <x v="41"/>
    <x v="0"/>
    <s v="ABEC"/>
    <s v="PMBCS"/>
    <x v="1"/>
    <x v="0"/>
    <x v="266"/>
    <s v="Rua Frã Angélico, nº 127 - Guabirotuba."/>
    <x v="1"/>
    <x v="1"/>
    <x v="8"/>
    <n v="1"/>
    <d v="2020-06-16T00:00:00"/>
    <s v="Este caso tramita em conjunto com o da matrícula de n.º 66.220 o qual neste período não teve andamento."/>
    <s v="-"/>
    <s v="Jurídico Externo"/>
    <x v="1"/>
  </r>
  <r>
    <x v="402"/>
    <x v="41"/>
    <x v="0"/>
    <s v="ABEC"/>
    <s v="PMBCS"/>
    <x v="1"/>
    <x v="0"/>
    <x v="266"/>
    <s v="Rua Frã Angélico, nº 127 - Guabirotuba."/>
    <x v="1"/>
    <x v="1"/>
    <x v="8"/>
    <n v="1"/>
    <d v="2020-07-15T00:00:00"/>
    <s v="Este caso tramita em conjunto com o da matrícula de n.º 66.220 o qual neste período não teve andamento."/>
    <s v="-"/>
    <s v="Jurídico Externo"/>
    <x v="1"/>
  </r>
  <r>
    <x v="403"/>
    <x v="3"/>
    <x v="0"/>
    <s v="UCE"/>
    <s v="PMBCS"/>
    <x v="3"/>
    <x v="1"/>
    <x v="270"/>
    <s v="Rua Marechal Deodoro da Fonseca, nº 520 - Centro."/>
    <x v="1"/>
    <x v="1"/>
    <x v="8"/>
    <n v="1"/>
    <m/>
    <s v="-"/>
    <s v="-"/>
    <s v="Jurídico Externo"/>
    <x v="1"/>
  </r>
  <r>
    <x v="404"/>
    <x v="40"/>
    <x v="0"/>
    <s v="UCE"/>
    <s v="PMBCS"/>
    <x v="35"/>
    <x v="7"/>
    <x v="271"/>
    <s v="Rua Haiti, nº 280 / 330 - Pq. Das Nações."/>
    <x v="1"/>
    <x v="1"/>
    <x v="8"/>
    <n v="1"/>
    <m/>
    <s v="-"/>
    <s v="-"/>
    <s v="Jurídico Externo"/>
    <x v="1"/>
  </r>
  <r>
    <x v="405"/>
    <x v="59"/>
    <x v="0"/>
    <s v="ABEC"/>
    <s v="PMBCS"/>
    <x v="33"/>
    <x v="3"/>
    <x v="272"/>
    <s v="Rua Domingos de Moraes, 2565 - Vila Mariana."/>
    <x v="1"/>
    <x v="1"/>
    <x v="8"/>
    <n v="1"/>
    <d v="2019-12-04T00:00:00"/>
    <s v="Lais do escritório Gobbo e Guimarães, encaminha exigência do Registro de Imóveis, para atendimento por parte do Grupo Marista. Tendo em vista que o contido na exigência se trata de atividade fora do escopo contratado junto ao escritório."/>
    <s v="-"/>
    <s v="Jurídico Externo"/>
    <x v="1"/>
  </r>
  <r>
    <x v="405"/>
    <x v="59"/>
    <x v="0"/>
    <s v="ABEC"/>
    <s v="PMBCS"/>
    <x v="33"/>
    <x v="3"/>
    <x v="272"/>
    <s v="-"/>
    <x v="1"/>
    <x v="1"/>
    <x v="8"/>
    <n v="1"/>
    <d v="2020-01-27T00:00:00"/>
    <s v="Anderson, inicia o processo de contratação, orçamento, alinhamento de escopos."/>
    <s v="-"/>
    <s v="Jurídico Externo"/>
    <x v="1"/>
  </r>
  <r>
    <x v="405"/>
    <x v="59"/>
    <x v="0"/>
    <s v="ABEC"/>
    <s v="PMBCS"/>
    <x v="33"/>
    <x v="3"/>
    <x v="272"/>
    <s v="-"/>
    <x v="1"/>
    <x v="1"/>
    <x v="8"/>
    <n v="1"/>
    <d v="2020-03-16T00:00:00"/>
    <s v="Anderson, informa que a empresa vencedora do processo de contratação, foi homologada e encaminha a minuta contratual para validação. "/>
    <s v="-"/>
    <s v="Jurídico Externo"/>
    <x v="1"/>
  </r>
  <r>
    <x v="405"/>
    <x v="59"/>
    <x v="0"/>
    <s v="ABEC"/>
    <s v="PMBCS"/>
    <x v="33"/>
    <x v="3"/>
    <x v="272"/>
    <s v="-"/>
    <x v="1"/>
    <x v="3"/>
    <x v="9"/>
    <n v="1"/>
    <d v="2020-05-11T00:00:00"/>
    <s v="Empresa já realizou medição in loco, está tomando providências junto ao R.I."/>
    <s v="-"/>
    <s v="Jurídico Externo"/>
    <x v="1"/>
  </r>
  <r>
    <x v="406"/>
    <x v="41"/>
    <x v="0"/>
    <s v="ABEC"/>
    <s v="PMBCS"/>
    <x v="1"/>
    <x v="0"/>
    <x v="273"/>
    <s v="Avenida Sen. Salgado Filho, nº 1.651 - Guabirotuba."/>
    <x v="1"/>
    <x v="1"/>
    <x v="8"/>
    <n v="1"/>
    <d v="2020-07-16T00:00:00"/>
    <s v="Processo de alteração de titularidade ainda não realizado."/>
    <n v="328192"/>
    <s v="Jurídico Externo"/>
    <x v="1"/>
  </r>
  <r>
    <x v="407"/>
    <x v="60"/>
    <x v="0"/>
    <s v="ABEC"/>
    <s v="PMBCS"/>
    <x v="49"/>
    <x v="4"/>
    <x v="274"/>
    <s v="Rua Amazonas, s/n - Zona 2."/>
    <x v="2"/>
    <x v="0"/>
    <x v="0"/>
    <n v="0"/>
    <m/>
    <s v="O imóvel encontrava-se na circunscrição de Luziânia, havendo a necessidade da abertura da matrícula no Ofício de Registro de Imóveis de Valparaíso de Goiás desde 27/11/2002. Situação que foi regularizada nesta oportunidade."/>
    <s v="-"/>
    <s v="Jurídico Externo"/>
    <x v="26"/>
  </r>
  <r>
    <x v="408"/>
    <x v="60"/>
    <x v="0"/>
    <s v="ABEC"/>
    <s v="PMBCS"/>
    <x v="49"/>
    <x v="4"/>
    <x v="275"/>
    <s v="Rua Amazonas, s/n - Zona 2."/>
    <x v="2"/>
    <x v="0"/>
    <x v="0"/>
    <n v="0"/>
    <m/>
    <s v="O imóvel encontrava-se na circunscrição de Luziânia, havendo a necessidade da abertura da matrícula no Ofício de Registro de Imóveis de Valparaíso de Goiás desde 27/11/2002. Situação que foi regularizada nesta oportunidade."/>
    <s v="-"/>
    <s v="Jurídico Externo"/>
    <x v="26"/>
  </r>
  <r>
    <x v="409"/>
    <x v="60"/>
    <x v="0"/>
    <s v="ABEC"/>
    <s v="PMBCS"/>
    <x v="49"/>
    <x v="4"/>
    <x v="276"/>
    <s v="Rua Amazonas, s/n - Zona 2."/>
    <x v="2"/>
    <x v="0"/>
    <x v="0"/>
    <n v="0"/>
    <m/>
    <s v="O imóvel encontrava-se na circunscrição de Luziânia, havendo a necessidade da abertura da matrícula no Ofício de Registro de Imóveis de Valparaíso de Goiás desde 27/11/2002. Situação que foi regularizada nesta oportunidade."/>
    <s v="-"/>
    <s v="Jurídico Externo"/>
    <x v="26"/>
  </r>
  <r>
    <x v="410"/>
    <x v="60"/>
    <x v="0"/>
    <s v="ABEC"/>
    <s v="PMBCS"/>
    <x v="49"/>
    <x v="4"/>
    <x v="277"/>
    <s v="Rua Amazonas, s/n - Zona 2."/>
    <x v="2"/>
    <x v="0"/>
    <x v="0"/>
    <n v="0"/>
    <m/>
    <s v="O imóvel encontrava-se na circunscrição de Luziânia, havendo a necessidade da abertura da matrícula no Ofício de Registro de Imóveis de Valparaíso de Goiás desde 27/11/2002. Situação que foi regularizada nesta oportunidade."/>
    <s v="-"/>
    <s v="Jurídico Externo"/>
    <x v="26"/>
  </r>
  <r>
    <x v="411"/>
    <x v="60"/>
    <x v="0"/>
    <s v="ABEC"/>
    <s v="PMBCS"/>
    <x v="49"/>
    <x v="4"/>
    <x v="278"/>
    <s v="Rua Amazonas, s/n - Zona 2."/>
    <x v="2"/>
    <x v="0"/>
    <x v="0"/>
    <n v="0"/>
    <m/>
    <s v="O imóvel encontrava-se na circunscrição de Luziânia, havendo a necessidade da abertura da matrícula no Ofício de Registro de Imóveis de Valparaíso de Goiás desde 27/11/2002. Situação que foi regularizada nesta oportunidade."/>
    <s v="-"/>
    <s v="Jurídico Interno"/>
    <x v="26"/>
  </r>
  <r>
    <x v="411"/>
    <x v="60"/>
    <x v="0"/>
    <s v="ABEC"/>
    <s v="PMBCS"/>
    <x v="49"/>
    <x v="4"/>
    <x v="278"/>
    <s v="Rua Amazonas, s/n - Zona 2."/>
    <x v="2"/>
    <x v="0"/>
    <x v="0"/>
    <n v="0"/>
    <d v="2020-07-16T00:00:00"/>
    <s v="Processo de alteração de titularidade ainda não realizado."/>
    <s v="-"/>
    <s v="Jurídico Externo"/>
    <x v="27"/>
  </r>
  <r>
    <x v="412"/>
    <x v="60"/>
    <x v="0"/>
    <s v="ABEC"/>
    <s v="PMBCS"/>
    <x v="49"/>
    <x v="4"/>
    <x v="279"/>
    <s v="Rua Amazonas, s/n - Zona 2."/>
    <x v="2"/>
    <x v="0"/>
    <x v="0"/>
    <n v="0"/>
    <m/>
    <s v="O imóvel encontrava-se na circunscrição de Luziânia, havendo a necessidade da abertura da matrícula no Ofício de Registro de Imóveis de Valparaíso de Goiás desde 27/11/2002. Situação que foi regularizada nesta oportunidade."/>
    <s v="-"/>
    <s v="Jurídico Externo"/>
    <x v="26"/>
  </r>
  <r>
    <x v="413"/>
    <x v="60"/>
    <x v="0"/>
    <s v="ABEC"/>
    <s v="PMBCS"/>
    <x v="49"/>
    <x v="4"/>
    <x v="280"/>
    <s v="Rua Amazonas, s/n - Zona 2."/>
    <x v="2"/>
    <x v="0"/>
    <x v="0"/>
    <n v="0"/>
    <m/>
    <s v="O imóvel encontrava-se na circunscrição de Luziânia, havendo a necessidade da abertura da matrícula no Ofício de Registro de Imóveis de Valparaíso de Goiás desde 27/11/2002. Situação que foi regularizada nesta oportunidade."/>
    <s v="-"/>
    <s v="Jurídico Externo"/>
    <x v="26"/>
  </r>
  <r>
    <x v="414"/>
    <x v="60"/>
    <x v="0"/>
    <s v="ABEC"/>
    <s v="PMBCS"/>
    <x v="49"/>
    <x v="4"/>
    <x v="281"/>
    <s v="Rua Amazonas, s/n - Zona 2."/>
    <x v="2"/>
    <x v="0"/>
    <x v="0"/>
    <n v="0"/>
    <m/>
    <s v="O imóvel encontrava-se na circunscrição de Luziânia, havendo a necessidade da abertura da matrícula no Ofício de Registro de Imóveis de Valparaíso de Goiás desde 27/11/2002. Situação que foi regularizada nesta oportunidade."/>
    <s v="-"/>
    <s v="Jurídico Externo"/>
    <x v="26"/>
  </r>
  <r>
    <x v="415"/>
    <x v="61"/>
    <x v="0"/>
    <s v="ABEC"/>
    <s v="GM"/>
    <x v="11"/>
    <x v="1"/>
    <x v="282"/>
    <s v="Rua Benjamin Constant - América."/>
    <x v="1"/>
    <x v="2"/>
    <x v="14"/>
    <n v="1"/>
    <d v="2019-10-15T00:00:00"/>
    <s v="Carta de Adjudicação apresentada para registro. Entregue a certidão de imunidade."/>
    <s v="-"/>
    <s v="Jurídico Externo"/>
    <x v="1"/>
  </r>
  <r>
    <x v="415"/>
    <x v="61"/>
    <x v="0"/>
    <s v="ABEC"/>
    <s v="GM"/>
    <x v="11"/>
    <x v="1"/>
    <x v="282"/>
    <s v="Rua Benjamin Constant - América."/>
    <x v="1"/>
    <x v="2"/>
    <x v="14"/>
    <n v="1"/>
    <d v="2019-12-15T00:00:00"/>
    <s v="Exigência solicitou a assinatura de declaração dos demais proprietários (Maria Helena Colin Schroeder, Ricardo Colin Schroeder, Renata Schroeder de Lacerda e Luiz Neves de Lacerda), os representantes da família informaram que poderão assinar somente em janeiro, por motivo de viagem."/>
    <s v="-"/>
    <s v="Jurídico Externo"/>
    <x v="1"/>
  </r>
  <r>
    <x v="415"/>
    <x v="61"/>
    <x v="0"/>
    <s v="ABEC"/>
    <s v="GM"/>
    <x v="11"/>
    <x v="1"/>
    <x v="282"/>
    <s v="Rua Benjamin Constant - América."/>
    <x v="1"/>
    <x v="2"/>
    <x v="14"/>
    <n v="1"/>
    <d v="2020-01-17T00:00:00"/>
    <s v="Ainda aguardando os proprietários anteriores assinarem a declaração."/>
    <s v="-"/>
    <s v="Jurídico Externo"/>
    <x v="1"/>
  </r>
  <r>
    <x v="415"/>
    <x v="61"/>
    <x v="0"/>
    <s v="ABEC"/>
    <s v="GM"/>
    <x v="11"/>
    <x v="1"/>
    <x v="282"/>
    <s v="Rua Benjamin Constant - América."/>
    <x v="1"/>
    <x v="2"/>
    <x v="14"/>
    <n v="1"/>
    <d v="2020-02-17T00:00:00"/>
    <s v="Os outros proprietários (Maria Helena Colin Schroeder, Ricardo Colin Schroeder, Renata Schroeder de Lacerda e Luiz Neves de Lacerda), assinaram a declaração, a qual já foi encaminhada para o Registro de Imóveis para conferência. Anexo foi enviada a carta de adjudicação e solicitado ainda o auto de adjudicação, sendo realizado cópia na íntegra do processo e disponibilizado ao R.I."/>
    <s v="-"/>
    <s v="Jurídico Externo"/>
    <x v="1"/>
  </r>
  <r>
    <x v="415"/>
    <x v="61"/>
    <x v="0"/>
    <s v="ABEC"/>
    <s v="GM"/>
    <x v="11"/>
    <x v="1"/>
    <x v="282"/>
    <s v="Rua Benjamin Constant - América."/>
    <x v="1"/>
    <x v="2"/>
    <x v="14"/>
    <n v="1"/>
    <m/>
    <s v="Aguardando o juiz expedir a nova carta de adjudicação o fim do prazo é 22.09.2019."/>
    <s v="-"/>
    <s v="Jurídico Externo"/>
    <x v="1"/>
  </r>
  <r>
    <x v="415"/>
    <x v="61"/>
    <x v="0"/>
    <s v="ABEC"/>
    <s v="GM"/>
    <x v="11"/>
    <x v="1"/>
    <x v="282"/>
    <s v="Rua Benjamin Constant - América."/>
    <x v="1"/>
    <x v="2"/>
    <x v="14"/>
    <n v="1"/>
    <m/>
    <s v="Carta de adjudicação expedida. Atualmente está sendo tramitada a imunidade do ITBI junto ao município."/>
    <s v="-"/>
    <s v="Jurídico Externo"/>
    <x v="1"/>
  </r>
  <r>
    <x v="415"/>
    <x v="61"/>
    <x v="0"/>
    <s v="ABEC"/>
    <s v="GM"/>
    <x v="11"/>
    <x v="1"/>
    <x v="282"/>
    <s v="Rua Benjamin Constant - América."/>
    <x v="1"/>
    <x v="2"/>
    <x v="14"/>
    <n v="1"/>
    <d v="2020-03-16T00:00:00"/>
    <s v="Analise realizada, por parte do RI solicitado apresentação de nova Carta de Adjudicação com a descrição completa do imóvel e o valor, ainda mesmo com a apresentação de Declaração dos demais cooproprietários, estão solicitando a intimação nos autos e complementação das custas, iremos conversar com o Ofícial para dispensar as exigênciais."/>
    <s v="-"/>
    <s v="Jurídico Externo"/>
    <x v="1"/>
  </r>
  <r>
    <x v="415"/>
    <x v="61"/>
    <x v="0"/>
    <s v="ABEC"/>
    <s v="GM"/>
    <x v="11"/>
    <x v="1"/>
    <x v="282"/>
    <s v="Rua Benjamin Constant - América."/>
    <x v="1"/>
    <x v="2"/>
    <x v="14"/>
    <n v="1"/>
    <d v="2020-04-17T00:00:00"/>
    <s v="O oficial não aceitou a dispensa, peticionaremos para pedir a complementação pelo Juízo da Carta de Adjudicação, bem com determinação de registro da Carta de Adjudiciação, visto que todos os proprietários estão cientes, inclusive assinaram declaração expressa. "/>
    <s v="-"/>
    <s v="Jurídico Externo"/>
    <x v="1"/>
  </r>
  <r>
    <x v="415"/>
    <x v="61"/>
    <x v="0"/>
    <s v="ABEC"/>
    <s v="GM"/>
    <x v="11"/>
    <x v="1"/>
    <x v="282"/>
    <s v="Rua Benjamin Constant - América."/>
    <x v="1"/>
    <x v="2"/>
    <x v="14"/>
    <n v="1"/>
    <d v="2020-05-11T00:00:00"/>
    <s v="Agilizando a conclusão para despachar sobre a complementação pelo Juízo da Carta de Adjudicação, bem com determinação de registro da Carta de Adjudicação, visto que todos os proprietários estão cientes, inclusive assinaram declaração expressa. "/>
    <s v="-"/>
    <s v="Jurídico Externo"/>
    <x v="1"/>
  </r>
  <r>
    <x v="415"/>
    <x v="61"/>
    <x v="0"/>
    <s v="ABEC"/>
    <s v="GM"/>
    <x v="11"/>
    <x v="1"/>
    <x v="282"/>
    <s v="Rua Benjamin Constant - América."/>
    <x v="1"/>
    <x v="2"/>
    <x v="14"/>
    <n v="1"/>
    <d v="2020-06-16T00:00:00"/>
    <s v="Ainda não houve a complementação, entretando conforme orientado pelo chefe de gabinete, será solicitado a expedicão de nova carta de adjudicação para que seja suprida a necessidade da assinatura dos demais herdeiros."/>
    <s v="-"/>
    <s v="Jurídico Externo"/>
    <x v="1"/>
  </r>
  <r>
    <x v="415"/>
    <x v="61"/>
    <x v="0"/>
    <s v="ABEC"/>
    <s v="GM"/>
    <x v="11"/>
    <x v="1"/>
    <x v="282"/>
    <s v="Rua Benjamin Constant - América."/>
    <x v="1"/>
    <x v="2"/>
    <x v="14"/>
    <n v="1"/>
    <d v="2020-07-16T00:00:00"/>
    <s v="Aguardando nova Carta de Adjudicação com a complementação solicitada pelo RI de Joinville."/>
    <s v="-"/>
    <s v="Jurídico Externo"/>
    <x v="1"/>
  </r>
  <r>
    <x v="416"/>
    <x v="61"/>
    <x v="0"/>
    <s v="ABEC"/>
    <s v="GM"/>
    <x v="11"/>
    <x v="1"/>
    <x v="282"/>
    <s v="Rua A - Residencial Ecológico Orleans - fundos da Rua Helmut Strelow"/>
    <x v="2"/>
    <x v="0"/>
    <x v="0"/>
    <n v="0"/>
    <d v="2019-10-17T00:00:00"/>
    <s v="Assinatura da escritura entre Schroeder Empreendimentos Ltda e a Associação Brasileira de Educação e Cultura."/>
    <s v="-"/>
    <s v="Jurídico Externo"/>
    <x v="28"/>
  </r>
  <r>
    <x v="417"/>
    <x v="37"/>
    <x v="0"/>
    <s v="UCE"/>
    <s v="PMBCS"/>
    <x v="32"/>
    <x v="1"/>
    <x v="283"/>
    <s v="Rua Antonio de Lucca, nº 334 - Pio Corrêa."/>
    <x v="1"/>
    <x v="1"/>
    <x v="8"/>
    <n v="1"/>
    <m/>
    <s v="-"/>
    <s v="-"/>
    <s v="Jurídico Externo"/>
    <x v="1"/>
  </r>
  <r>
    <x v="418"/>
    <x v="62"/>
    <x v="0"/>
    <s v="ABEC"/>
    <s v="GM"/>
    <x v="50"/>
    <x v="3"/>
    <x v="284"/>
    <s v="Rua Júlio Ribeiro, 3.451 - Zona 2."/>
    <x v="2"/>
    <x v="0"/>
    <x v="0"/>
    <n v="0"/>
    <m/>
    <s v="-"/>
    <s v="-"/>
    <s v="Verificar"/>
    <x v="1"/>
  </r>
  <r>
    <x v="419"/>
    <x v="62"/>
    <x v="0"/>
    <s v="ABEC"/>
    <s v="PMBCS"/>
    <x v="50"/>
    <x v="3"/>
    <x v="285"/>
    <s v="Rua Bernardino de Campos, 550 - Setor Central."/>
    <x v="2"/>
    <x v="0"/>
    <x v="0"/>
    <n v="0"/>
    <d v="2020-06-30T00:00:00"/>
    <s v="O escritório encaminha o documento que comprova a transferência da titularidade perante a Prefeitura."/>
    <s v="-"/>
    <s v="Jurídico Externo"/>
    <x v="29"/>
  </r>
  <r>
    <x v="420"/>
    <x v="23"/>
    <x v="0"/>
    <s v="ABEC"/>
    <s v="PMBCS"/>
    <x v="21"/>
    <x v="0"/>
    <x v="286"/>
    <s v="Avenida Tiradentes, Jardim dos Bancários"/>
    <x v="2"/>
    <x v="0"/>
    <x v="0"/>
    <n v="0"/>
    <d v="2019-05-01T00:00:00"/>
    <s v="Ocorreu nesta data a unificação das matrículas de n.° 4.465, 6.207, 10.587, 10.821, 15.336, 44.957, 45.146, 49.751, 49.752 e transcrições de n.º 11.304, 11.679 e 15.190 desta forma encerrando-as."/>
    <s v="-"/>
    <s v="Jurídico Externo"/>
    <x v="21"/>
  </r>
  <r>
    <x v="421"/>
    <x v="49"/>
    <x v="0"/>
    <s v="ABEC"/>
    <s v="PMBCS"/>
    <x v="44"/>
    <x v="1"/>
    <x v="287"/>
    <s v="Estrada S. Carlos, s/n - Linha Simonetto"/>
    <x v="2"/>
    <x v="0"/>
    <x v="0"/>
    <n v="0"/>
    <d v="2020-04-07T00:00:00"/>
    <s v="Ocorreu nesta data o registro da transferência da propriedade da ABEC para a UCE, perante o Registro de Imóveis. Estando pendente a transferência de titularidade perante a RFB e INCRA."/>
    <s v="-"/>
    <s v="Jurídico Externo"/>
    <x v="30"/>
  </r>
  <r>
    <x v="422"/>
    <x v="49"/>
    <x v="0"/>
    <s v="ABEC"/>
    <s v="PMBCS"/>
    <x v="44"/>
    <x v="1"/>
    <x v="287"/>
    <s v="Estrada S. Carlos, s/n - Linha Simonetto"/>
    <x v="2"/>
    <x v="0"/>
    <x v="0"/>
    <n v="0"/>
    <d v="2020-04-07T00:00:00"/>
    <s v="Ocorreu nesta data o registro da transferência da propriedade da ABEC para a UCE, perante o Registro de Imóveis. Estando pendente a transferência de titularidade perante a RFB e INCRA."/>
    <s v="-"/>
    <s v="Jurídico Externo"/>
    <x v="30"/>
  </r>
  <r>
    <x v="423"/>
    <x v="49"/>
    <x v="0"/>
    <s v="ABEC"/>
    <s v="PMBCS"/>
    <x v="44"/>
    <x v="1"/>
    <x v="287"/>
    <s v="Estrada S. Carlos, s/n - Linha Simonetto"/>
    <x v="2"/>
    <x v="0"/>
    <x v="0"/>
    <n v="0"/>
    <d v="2020-04-07T00:00:00"/>
    <s v="Ocorreu nesta data o registro da transferência da propriedade da ABEC para a UCE, perante o Registro de Imóveis. Estando pendente a transferência de titularidade perante a RFB e INCRA."/>
    <s v="-"/>
    <s v="Jurídico Externo"/>
    <x v="30"/>
  </r>
  <r>
    <x v="424"/>
    <x v="49"/>
    <x v="0"/>
    <s v="ABEC"/>
    <s v="PMBCS"/>
    <x v="44"/>
    <x v="1"/>
    <x v="287"/>
    <s v="Estrada S. Carlos, s/n - Linha Simonetto"/>
    <x v="2"/>
    <x v="0"/>
    <x v="0"/>
    <n v="0"/>
    <d v="2020-04-07T00:00:00"/>
    <s v="Ocorreu nesta data o registro da transferência da propriedade da ABEC para a UCE, perante o Registro de Imóveis. Estando pendente a transferência de titularidade perante a RFB e INCRA."/>
    <s v="-"/>
    <s v="Jurídico Externo"/>
    <x v="31"/>
  </r>
  <r>
    <x v="425"/>
    <x v="61"/>
    <x v="0"/>
    <s v="UCE"/>
    <s v="GM"/>
    <x v="11"/>
    <x v="1"/>
    <x v="288"/>
    <s v="BR 101 - São marcos."/>
    <x v="1"/>
    <x v="2"/>
    <x v="31"/>
    <n v="1"/>
    <d v="2019-09-30T00:00:00"/>
    <s v="Aguardando manifestação da CAF, aja vista a manifestação da secretaria de agricultura e meio ambiente."/>
    <s v="-"/>
    <s v="GPI"/>
    <x v="1"/>
  </r>
  <r>
    <x v="425"/>
    <x v="61"/>
    <x v="0"/>
    <s v="UCE"/>
    <s v="GM"/>
    <x v="11"/>
    <x v="1"/>
    <x v="288"/>
    <s v="BR 101 - São marcos."/>
    <x v="1"/>
    <x v="2"/>
    <x v="31"/>
    <n v="1"/>
    <d v="2020-06-09T00:00:00"/>
    <s v="Prefeitura de Joinville se manifesta no seguinte sentido: o processo somente poderá ser analisado pela Secretaria Municipal após celebrado Termo de delegação específico junto ao IMA, para análise do pedido de supressão de vegetação. Considerando o Termo de Delegação de Atribuição de Gestão Florestal celebrado entre_x000a_o Instituto do Meio Ambiente de Santa Catarina - IMA e o Município, o qual limita a Autorização de Supressão limitado até 3,0 ha de área de corte; Considerando que a área de corte solicitada para o empreendimento em tela está estimada em 72.750,10 m² (7,2 ha). Ressalta-se que já foi solicitado junto ao IMA o referido termo."/>
    <s v="-"/>
    <s v="GPI"/>
    <x v="1"/>
  </r>
  <r>
    <x v="425"/>
    <x v="61"/>
    <x v="0"/>
    <s v="UCE"/>
    <s v="GM"/>
    <x v="11"/>
    <x v="1"/>
    <x v="288"/>
    <s v="BR 101 - São marcos."/>
    <x v="1"/>
    <x v="5"/>
    <x v="8"/>
    <n v="1"/>
    <d v="2020-03-05T00:00:00"/>
    <s v="Este caso integra a cisão II, conforme e-mail encaminhado pela gestora de Patrimônio Imobiliário ao núcleo de regularizações."/>
    <s v="-"/>
    <s v="GPI"/>
    <x v="1"/>
  </r>
  <r>
    <x v="425"/>
    <x v="61"/>
    <x v="0"/>
    <s v="UCE"/>
    <s v="GM"/>
    <x v="11"/>
    <x v="1"/>
    <x v="288"/>
    <s v="BR 101 - São marcos."/>
    <x v="1"/>
    <x v="5"/>
    <x v="8"/>
    <n v="1"/>
    <d v="2020-03-12T00:00:00"/>
    <s v="Núcleo de regularizações solicita a gestora de patrimônio imobiliário, informações a respeito da ata da assembleia e a relação de quais imóveis serão transmitidos para a ABEC e quais serão transmitidos para a APC. Sendo informado que a data da assembléia ocorrerá em 30/04/2020 e que não possui a informação da relação."/>
    <s v="-"/>
    <s v="GPI"/>
    <x v="1"/>
  </r>
  <r>
    <x v="425"/>
    <x v="61"/>
    <x v="0"/>
    <s v="UCE"/>
    <s v="GM"/>
    <x v="11"/>
    <x v="1"/>
    <x v="288"/>
    <s v="BR 101 - São marcos."/>
    <x v="1"/>
    <x v="5"/>
    <x v="8"/>
    <n v="1"/>
    <d v="2020-06-10T00:00:00"/>
    <s v="Núcleo de regularizações retoma a solicitação de informações a gestora de patrimônio imobiliário, quanto a Ata."/>
    <s v="-"/>
    <s v="GPI"/>
    <x v="1"/>
  </r>
  <r>
    <x v="425"/>
    <x v="61"/>
    <x v="0"/>
    <s v="UCE"/>
    <s v="GM"/>
    <x v="11"/>
    <x v="1"/>
    <x v="288"/>
    <s v="BR 101 - São marcos."/>
    <x v="1"/>
    <x v="5"/>
    <x v="8"/>
    <n v="1"/>
    <d v="2020-06-15T00:00:00"/>
    <s v="Gestora de patrimônio imobiliário encaminha a solicitação a procuradoria jurídica do Grupo Marista, na pessoa da Sra. Crislei. A qual informa que as Atas da CISÃO estão em cartório, em Curitiba já foram protocoladas, em São Paulo devido ao fluxo dos correios e do Dr. Orly deverá ser protocolada nesta data."/>
    <s v="-"/>
    <s v="GPI"/>
    <x v="1"/>
  </r>
  <r>
    <x v="425"/>
    <x v="61"/>
    <x v="0"/>
    <s v="UCE"/>
    <s v="GM"/>
    <x v="11"/>
    <x v="1"/>
    <x v="288"/>
    <s v="BR 101 - São marcos."/>
    <x v="1"/>
    <x v="5"/>
    <x v="8"/>
    <n v="1"/>
    <d v="2020-06-17T00:00:00"/>
    <s v="Núcleo de regularizações interpela diretamente junto a Projur, solicitando para seja informado os prazos cartorários. Crislei informa que a Ata da APC prenotou e que o Dr. Bruno está cumprindo as exigências e quanto a Ata de São Paulo ainda não foi protocolada, nesta data o Dr. Orly comparecerá no cartório. Por fim, relata que estão enfrentando problemas no fluxo devido a COVID._x000a__x000a_Vamos começar a enviar as Atas on line, com assinatura digital do Irmão e do Dr. Bruno, porém, a Ata de CISÃO não pudemos fazer isso devido ao valor, já que atas on line tem que ser pago a vista. _x000a_"/>
    <s v="-"/>
    <s v="GPI"/>
    <x v="1"/>
  </r>
  <r>
    <x v="425"/>
    <x v="61"/>
    <x v="0"/>
    <s v="UCE"/>
    <s v="GM"/>
    <x v="11"/>
    <x v="1"/>
    <x v="288"/>
    <s v="BR 101 - São marcos."/>
    <x v="1"/>
    <x v="5"/>
    <x v="8"/>
    <n v="1"/>
    <d v="2020-07-02T00:00:00"/>
    <s v="Núcleo de regularizações retoma a solicitação de informações junto a PROJUR, na pessoa da Sra. Crislei."/>
    <s v="-"/>
    <s v="GPI"/>
    <x v="1"/>
  </r>
  <r>
    <x v="425"/>
    <x v="61"/>
    <x v="0"/>
    <s v="UCE"/>
    <s v="GM"/>
    <x v="11"/>
    <x v="1"/>
    <x v="288"/>
    <s v="BR 101 - São marcos."/>
    <x v="1"/>
    <x v="2"/>
    <x v="31"/>
    <n v="1"/>
    <d v="2020-07-23T00:00:00"/>
    <s v="Núcleo de regularizações questiona a assessoria CAF, sobre o andamento do assunto. Por sua vez a CAF, estabeleceu contato com o Instituto do Meio Ambiente de Santa Catarina, sobre o termo de delegação. Assunto encaminhado internamente, sendo informado que o termo foi elaborado dentro do prazo previsto e enviado a SAMA para análise e coleta de assinatura do Prefeito Municipal, porém, após algum tempo foi devolvido solicitando adequação em uma das cláusulas, então encaminhado a Projur do IMA para análise e adequações. No dia 15/07 reenviamos o Termo para SAMA, para análise e coleta de assinaturas e estão aguardando a devolução do mesmo assinado para coleta da assinatura do Presidente do IMA, e a partir daí o Termo entra em vigor."/>
    <s v="-"/>
    <s v="GPI"/>
    <x v="1"/>
  </r>
  <r>
    <x v="426"/>
    <x v="38"/>
    <x v="0"/>
    <s v="ABEC"/>
    <s v="PMBCS"/>
    <x v="33"/>
    <x v="3"/>
    <x v="82"/>
    <s v="Rua Justo Azambuja, 121 / 185 / 229 - Cambuci."/>
    <x v="1"/>
    <x v="1"/>
    <x v="8"/>
    <n v="1"/>
    <d v="2020-07-16T00:00:00"/>
    <s v="Processo de alteração de titularidade ainda não realizado."/>
    <s v="-"/>
    <s v="Jurídico Externo"/>
    <x v="1"/>
  </r>
  <r>
    <x v="427"/>
    <x v="63"/>
    <x v="0"/>
    <s v="ABEC"/>
    <s v="GM"/>
    <x v="33"/>
    <x v="3"/>
    <x v="289"/>
    <s v="Rua Rui Barbosa 78 / 82 / 88 / 112 / 124 - Bela Vista."/>
    <x v="1"/>
    <x v="2"/>
    <x v="8"/>
    <n v="1"/>
    <m/>
    <s v="-"/>
    <s v="-"/>
    <s v="Vitacon"/>
    <x v="1"/>
  </r>
  <r>
    <x v="428"/>
    <x v="21"/>
    <x v="0"/>
    <s v="ABEC"/>
    <s v="PMBCS"/>
    <x v="50"/>
    <x v="3"/>
    <x v="290"/>
    <s v="Rua Cerqueira César, 1070 - Setor Central."/>
    <x v="2"/>
    <x v="0"/>
    <x v="0"/>
    <n v="0"/>
    <d v="2020-06-30T00:00:00"/>
    <s v="A transmissão perante o registro de imóveis ocorreu em 08/04/2020 e nesta data o escritório encaminha o documento que comprova a transferência da titularidade perante a Prefeitura."/>
    <s v="-"/>
    <s v="Jurídico Externo"/>
    <x v="29"/>
  </r>
  <r>
    <x v="429"/>
    <x v="64"/>
    <x v="0"/>
    <s v="ABEC"/>
    <s v="PMBCS"/>
    <x v="51"/>
    <x v="4"/>
    <x v="291"/>
    <s v="Avenida 85 - Lote 13 - Quadra D-12-A - Setor Marista."/>
    <x v="1"/>
    <x v="1"/>
    <x v="8"/>
    <n v="1"/>
    <d v="2020-07-16T00:00:00"/>
    <s v="Processo de alteração de titularidade ainda não realizado."/>
    <s v="-"/>
    <s v="Jurídico Externo"/>
    <x v="1"/>
  </r>
  <r>
    <x v="430"/>
    <x v="55"/>
    <x v="0"/>
    <s v="UCE"/>
    <s v="GM"/>
    <x v="8"/>
    <x v="1"/>
    <x v="160"/>
    <s v="Rua Sertão do Assopro, s/nº CEP 88062-002 - Morro da Lagoa."/>
    <x v="1"/>
    <x v="2"/>
    <x v="12"/>
    <n v="1"/>
    <d v="2019-07-25T00:00:00"/>
    <s v="Realizada a exigência pelo Cartório."/>
    <s v="-"/>
    <s v="Jurídico Externo"/>
    <x v="1"/>
  </r>
  <r>
    <x v="430"/>
    <x v="55"/>
    <x v="0"/>
    <s v="UCE"/>
    <s v="GM"/>
    <x v="8"/>
    <x v="1"/>
    <x v="160"/>
    <s v="Rua Sertão do Assopro, s/nº CEP 88062-002 - Morro da Lagoa."/>
    <x v="1"/>
    <x v="2"/>
    <x v="12"/>
    <n v="1"/>
    <d v="2019-09-17T00:00:00"/>
    <s v="Resolvendo os pontos da qualificação negativa."/>
    <s v="-"/>
    <s v="Jurídico Externo"/>
    <x v="1"/>
  </r>
  <r>
    <x v="430"/>
    <x v="55"/>
    <x v="0"/>
    <s v="UCE"/>
    <s v="GM"/>
    <x v="8"/>
    <x v="1"/>
    <x v="160"/>
    <s v="Rua Sertão do Assopro, s/nº CEP 88062-002 - Morro da Lagoa."/>
    <x v="1"/>
    <x v="2"/>
    <x v="12"/>
    <n v="1"/>
    <d v="2019-10-15T00:00:00"/>
    <s v="Foram enviadas as informações disponíveis ao tabelionato para retificar a Ata Notarial, como a inclusão da certidão de confrontantes do município de Florianópolis."/>
    <s v="-"/>
    <s v="Jurídico Externo"/>
    <x v="1"/>
  </r>
  <r>
    <x v="430"/>
    <x v="55"/>
    <x v="0"/>
    <s v="UCE"/>
    <s v="GM"/>
    <x v="8"/>
    <x v="1"/>
    <x v="160"/>
    <s v="Rua Sertão do Assopro, s/nº CEP 88062-002 - Morro da Lagoa."/>
    <x v="1"/>
    <x v="2"/>
    <x v="12"/>
    <n v="1"/>
    <d v="2020-01-07T00:00:00"/>
    <s v="Contato com Dayana, solicitou a indicação das 03 testemunhas. Conversado com Grasiela (já definido Pedro Paulo, Grasiela) e ficou de conversar com o Ir. Délcio sobre a terceira pessoa ser o Ir. Hermes."/>
    <s v="-"/>
    <s v="Jurídico Externo"/>
    <x v="1"/>
  </r>
  <r>
    <x v="430"/>
    <x v="55"/>
    <x v="0"/>
    <s v="UCE"/>
    <s v="GM"/>
    <x v="8"/>
    <x v="1"/>
    <x v="160"/>
    <s v="Rua Sertão do Assopro, s/nº CEP 88062-002 - Morro da Lagoa."/>
    <x v="1"/>
    <x v="2"/>
    <x v="12"/>
    <n v="1"/>
    <d v="2020-01-13T00:00:00"/>
    <s v="Contato com Grasiela, comunicou que está aguardando o retorno de férias do Ir. Lino para verificar se o mesmo pode substituir o Ir. Hermes."/>
    <s v="-"/>
    <s v="Jurídico Externo"/>
    <x v="1"/>
  </r>
  <r>
    <x v="430"/>
    <x v="55"/>
    <x v="0"/>
    <s v="UCE"/>
    <s v="GM"/>
    <x v="8"/>
    <x v="1"/>
    <x v="160"/>
    <s v="Rua Sertão do Assopro, s/nº CEP 88062-002 - Morro da Lagoa."/>
    <x v="1"/>
    <x v="2"/>
    <x v="12"/>
    <n v="1"/>
    <d v="2020-01-17T00:00:00"/>
    <s v="Mediante a dificuldade de identificação dos confrontantes, o escritório acordou com o Registro de Imóveis de apresentar requerimento para notificação do Estado de SC sobre a possibilidade da área do confrontante não localizado ser considerada como àreas devolutas, e conjunto com o memorial descritivo e o levantamento topográfico alterado, solicitadas as alterações ao Luiz (técnico)."/>
    <s v="-"/>
    <s v="Jurídico Externo"/>
    <x v="1"/>
  </r>
  <r>
    <x v="430"/>
    <x v="55"/>
    <x v="0"/>
    <s v="UCE"/>
    <s v="GM"/>
    <x v="8"/>
    <x v="1"/>
    <x v="160"/>
    <s v="Rua Sertão do Assopro, s/nº CEP 88062-002 - Morro da Lagoa."/>
    <x v="1"/>
    <x v="2"/>
    <x v="12"/>
    <n v="1"/>
    <d v="2020-03-16T00:00:00"/>
    <s v="Tendo em vista a diferença existente entre a área da escritura e a área medida em 2019 pelo topógrafo. A gestão solicitou o comparecimento no imóvel. Em 19/03/2020 comperecerá no imóvel o Irmão Lino; o responsável técnico Luis da Transição Topografia e Dickson para verificar o marco. Caso referido marco seja considerado no levantamento a área será diminuida ainda mais."/>
    <s v="-"/>
    <s v="Jurídico Externo"/>
    <x v="1"/>
  </r>
  <r>
    <x v="430"/>
    <x v="55"/>
    <x v="0"/>
    <s v="UCE"/>
    <s v="GM"/>
    <x v="8"/>
    <x v="1"/>
    <x v="160"/>
    <s v="Rua Sertão do Assopro, s/nº CEP 88062-002 - Morro da Lagoa."/>
    <x v="1"/>
    <x v="2"/>
    <x v="12"/>
    <n v="1"/>
    <d v="2020-04-17T00:00:00"/>
    <s v="Não conseguimos contato neste mês com os funcionários da Floram, mas as últimas informações foram de que os estudos ainda continuam, que a decisão será postergado por mais alguns meses. O escritório aguarda informações sobre o novo levantamento da área total do Recanto, que diz respeito a questão apresentada no último andamento. Os documentos históricos enviados pelo Patrimonio foram analisados, mas não foi possível verificar nenhum documento que pudesse ser útil na Usucapiao, apenas comprovam que houve aprovações de diversos projetos para as construções, mas não sobre como foi adquirida a posse."/>
    <s v="-"/>
    <s v="Jurídico Externo"/>
    <x v="1"/>
  </r>
  <r>
    <x v="430"/>
    <x v="55"/>
    <x v="0"/>
    <s v="UCE"/>
    <s v="GM"/>
    <x v="8"/>
    <x v="1"/>
    <x v="160"/>
    <s v="Rua Sertão do Assopro, s/nº CEP 88062-002 - Morro da Lagoa."/>
    <x v="1"/>
    <x v="2"/>
    <x v="12"/>
    <n v="1"/>
    <d v="2020-05-11T00:00:00"/>
    <s v="O escritório aguarda manifestação por parte do Grupo Marista quanto a definição da área. Informado ao escritório que pela situação do Covid o comparecimento no imóvel foi suspenso pela gestora e pelo irmão. Reiterada a questão a gestora e no aguardo de uma posição."/>
    <s v="-"/>
    <s v="Jurídico Externo"/>
    <x v="1"/>
  </r>
  <r>
    <x v="430"/>
    <x v="55"/>
    <x v="0"/>
    <s v="UCE"/>
    <s v="GM"/>
    <x v="8"/>
    <x v="1"/>
    <x v="160"/>
    <s v="Rua Sertão do Assopro, s/nº CEP 88062-002 - Morro da Lagoa."/>
    <x v="1"/>
    <x v="2"/>
    <x v="12"/>
    <n v="1"/>
    <d v="2020-06-16T00:00:00"/>
    <s v="O escritório permanece no aguardo da disponibilização do levantamento topográfico e memorial por parte do Grupo Marista. Situação que ficou prejudicada tendo em vista a visita planejada para a definição quanto a área."/>
    <s v="-"/>
    <s v="Jurídico Externo"/>
    <x v="1"/>
  </r>
  <r>
    <x v="430"/>
    <x v="55"/>
    <x v="0"/>
    <s v="UCE"/>
    <s v="GM"/>
    <x v="8"/>
    <x v="1"/>
    <x v="160"/>
    <s v="Rua Sertão do Assopro, s/nº CEP 88062-002 - Morro da Lagoa."/>
    <x v="1"/>
    <x v="2"/>
    <x v="12"/>
    <n v="1"/>
    <d v="2020-07-16T00:00:00"/>
    <s v="O escritório permanece no aguardo da disponibilização do levantamento topográfico e memorial por parte do Grupo Marista, tendo em vista que o trâmite será na esfera judicial. Situação que ficou prejudicada tendo em vista a visita planejada para a definição quanto a área. Não tivemos novas informações sobre estudos pela Floram sobre a REVIS, continuam não atendendo os telefones. A Associação de moradores impugnou a validade das audiências públicas e ainda estão aguardando resposta."/>
    <s v="-"/>
    <s v="Jurídico Externo"/>
    <x v="1"/>
  </r>
  <r>
    <x v="431"/>
    <x v="1"/>
    <x v="0"/>
    <s v="ABEC"/>
    <s v="PMBCS"/>
    <x v="1"/>
    <x v="0"/>
    <x v="28"/>
    <s v="Rua Guabirotuba, 258 - Prado Velho."/>
    <x v="2"/>
    <x v="0"/>
    <x v="0"/>
    <n v="0"/>
    <d v="2020-07-31T00:00:00"/>
    <s v="Processo de alteração de titularidade realizado."/>
    <s v="-"/>
    <s v="Jurídico Externo"/>
    <x v="12"/>
  </r>
  <r>
    <x v="168"/>
    <x v="1"/>
    <x v="0"/>
    <s v="ABEC"/>
    <s v="GM"/>
    <x v="1"/>
    <x v="0"/>
    <x v="92"/>
    <s v="Avenida Marechal Floriano Peixoto, 2.659 - Prado Velho."/>
    <x v="1"/>
    <x v="2"/>
    <x v="32"/>
    <n v="1"/>
    <d v="2020-09-17T00:00:00"/>
    <s v="Segundo trocas de e-mails, os FUNREJUS estão pagos, aguardando assinatura da escritura. "/>
    <s v="Não se aplica"/>
    <s v="Jurídico Externo"/>
    <x v="1"/>
  </r>
  <r>
    <x v="147"/>
    <x v="1"/>
    <x v="0"/>
    <s v="APC"/>
    <s v="GM"/>
    <x v="1"/>
    <x v="0"/>
    <x v="29"/>
    <s v="-"/>
    <x v="1"/>
    <x v="2"/>
    <x v="12"/>
    <n v="1"/>
    <d v="2020-08-20T00:00:00"/>
    <s v="Aguardando finalização da Ata Notarial "/>
    <s v="-"/>
    <s v="Jurídico Externo"/>
    <x v="1"/>
  </r>
  <r>
    <x v="108"/>
    <x v="6"/>
    <x v="0"/>
    <s v="ABEC"/>
    <s v="PMBCS"/>
    <x v="1"/>
    <x v="0"/>
    <x v="16"/>
    <s v="Rua Prof. Joaquim de Matos Barreto, nº 98 - São Lourenço."/>
    <x v="1"/>
    <x v="2"/>
    <x v="22"/>
    <n v="1"/>
    <d v="2020-09-15T00:00:00"/>
    <s v="peticionamos junto ao processo solitando manifetação por parte do Municipio, tendo em vista o não andamento.  "/>
    <s v="-"/>
    <s v="Jurídico Externo"/>
    <x v="1"/>
  </r>
  <r>
    <x v="109"/>
    <x v="6"/>
    <x v="0"/>
    <s v="ABEC"/>
    <s v="PMBCS"/>
    <x v="1"/>
    <x v="0"/>
    <x v="50"/>
    <s v="Rua Nilo Peçanha, nº 3.640 / 3.660 - Pilarzinho / São Lourenço."/>
    <x v="1"/>
    <x v="3"/>
    <x v="9"/>
    <n v="1"/>
    <d v="2020-09-02T00:00:00"/>
    <s v="Nova exigência do RI solicitando documento de Representatividade do Irmão Délcio. Solicitado o documento para a Crislei. Aguardando. "/>
    <s v="-"/>
    <s v="Jurídico Externo"/>
    <x v="1"/>
  </r>
  <r>
    <x v="14"/>
    <x v="3"/>
    <x v="0"/>
    <s v="UCE"/>
    <s v="PMBCS"/>
    <x v="3"/>
    <x v="1"/>
    <x v="3"/>
    <s v="Rua Irmãos Maristas, nº 513 - Centro."/>
    <x v="1"/>
    <x v="3"/>
    <x v="9"/>
    <n v="1"/>
    <d v="2020-09-03T00:00:00"/>
    <s v="Aguardando o envio das plantas pela empresa GenGeo "/>
    <s v="-"/>
    <s v="Jurídico Externo"/>
    <x v="1"/>
  </r>
  <r>
    <x v="260"/>
    <x v="2"/>
    <x v="0"/>
    <s v="APC"/>
    <s v="PMBCS"/>
    <x v="2"/>
    <x v="0"/>
    <x v="155"/>
    <s v="-"/>
    <x v="1"/>
    <x v="2"/>
    <x v="32"/>
    <n v="1"/>
    <d v="2020-08-26T00:00:00"/>
    <s v="Aguardando novo levantamento topográfico apenas da área das APC para seguir com a Prodiviso. "/>
    <s v="-"/>
    <s v="Jurídico Externo"/>
    <x v="1"/>
  </r>
  <r>
    <x v="17"/>
    <x v="11"/>
    <x v="0"/>
    <s v="ABEC"/>
    <s v="PMBCS"/>
    <x v="10"/>
    <x v="0"/>
    <x v="13"/>
    <s v="Rua Bonifacio Vilela, nº 1.155 - Jardim Carvalho."/>
    <x v="1"/>
    <x v="2"/>
    <x v="12"/>
    <n v="1"/>
    <d v="2020-09-10T00:00:00"/>
    <s v="Imóvel em processo de Usucapião "/>
    <s v="-"/>
    <s v="Jurídico Externo"/>
    <x v="1"/>
  </r>
  <r>
    <x v="201"/>
    <x v="49"/>
    <x v="0"/>
    <s v="UCE"/>
    <s v="GM"/>
    <x v="44"/>
    <x v="1"/>
    <x v="106"/>
    <s v="Rod. SC 480, Km 4 - Rodeio Chato."/>
    <x v="1"/>
    <x v="3"/>
    <x v="35"/>
    <n v="1"/>
    <d v="2020-08-31T00:00:00"/>
    <s v="Requerimento protocolizado junto ao RI de Chapecó, recebemos a exigência para cumprimento. Prinicipais pontas que precisamos apresentar: Escritura de Divisão amigável, requerimento solicitando a atualização do perímetro, esclarecimentos sobre a anuencia do munícipio de Chapecó, a procuração da Cargill deve ser regularizada, comprovação da incorporação da Cargill, cópia do termo de inventariante da família Almeida, certidão de Casamento de Maria Almeida,  estado civil de Neiva, a Cargill tera que assinar o memorial antigo."/>
    <s v="-"/>
    <s v="Jurídico Externo"/>
    <x v="1"/>
  </r>
  <r>
    <x v="168"/>
    <x v="1"/>
    <x v="0"/>
    <s v="APC/ABEC"/>
    <s v="GM"/>
    <x v="1"/>
    <x v="0"/>
    <x v="92"/>
    <s v="Avenida Marechal Floriano Peixoto, 2.659 - Prado Velho."/>
    <x v="1"/>
    <x v="2"/>
    <x v="32"/>
    <n v="1"/>
    <d v="2020-10-26T00:00:00"/>
    <s v="Protocolado junto ao RI processo de subdivisão e escritura de divisão amigável para Registro"/>
    <s v="Não se aplica"/>
    <s v="Jurídico Externo"/>
    <x v="1"/>
  </r>
  <r>
    <x v="17"/>
    <x v="11"/>
    <x v="0"/>
    <s v="ABEC"/>
    <s v="PMBCS"/>
    <x v="10"/>
    <x v="0"/>
    <x v="13"/>
    <s v="Rua Bonifacio Vilela, nº 1.155 - Jardim Carvalho."/>
    <x v="1"/>
    <x v="3"/>
    <x v="35"/>
    <n v="1"/>
    <d v="2020-10-26T00:00:00"/>
    <s v="Realizada a visita pelo topógrafo, aguardando a entrega da nova planta."/>
    <m/>
    <s v="Jurídico Externo"/>
    <x v="1"/>
  </r>
  <r>
    <x v="201"/>
    <x v="49"/>
    <x v="0"/>
    <s v="UCE"/>
    <s v="GM"/>
    <x v="44"/>
    <x v="1"/>
    <x v="106"/>
    <s v="Rod. SC 480, Km 4 - Rodeio Chato."/>
    <x v="1"/>
    <x v="3"/>
    <x v="35"/>
    <n v="1"/>
    <d v="2020-09-24T00:00:00"/>
    <s v="Recebemos a exigência do Regsitro de Imovel, solicitando alterações no requerimento pela Cargill e familia Almeda, copia de docucmentos. Estamos alinhando com os demais coproprietrios"/>
    <m/>
    <s v="Jurídico Externo"/>
    <x v="1"/>
  </r>
  <r>
    <x v="51"/>
    <x v="20"/>
    <x v="0"/>
    <s v="ABEC"/>
    <s v="PMBCS"/>
    <x v="18"/>
    <x v="0"/>
    <x v="30"/>
    <s v="Rua Marcelino Champagnat esq c/ Fernando Ferrari - Lote 02 - Quadra 55 - Centro."/>
    <x v="1"/>
    <x v="1"/>
    <x v="1"/>
    <n v="1"/>
    <d v="2020-10-16T00:00:00"/>
    <s v="Enviado escritura para Registro por correspondência "/>
    <m/>
    <s v="Jurídico Externo"/>
    <x v="1"/>
  </r>
  <r>
    <x v="86"/>
    <x v="20"/>
    <x v="0"/>
    <s v="ABEC"/>
    <s v="PMBCS"/>
    <x v="18"/>
    <x v="0"/>
    <x v="46"/>
    <s v="Rua Presidente Kennedy - Centro."/>
    <x v="1"/>
    <x v="1"/>
    <x v="1"/>
    <n v="1"/>
    <d v="2020-10-16T00:00:00"/>
    <s v="Enviado escritura para Registro por correspondência "/>
    <m/>
    <s v="Jurídico Externo"/>
    <x v="1"/>
  </r>
  <r>
    <x v="311"/>
    <x v="7"/>
    <x v="0"/>
    <s v="ABEC"/>
    <s v="PMBCS"/>
    <x v="38"/>
    <x v="0"/>
    <x v="198"/>
    <s v="Rua Zacarias Alves Pereira, nº 1.011 - Jardim Aristocrata."/>
    <x v="1"/>
    <x v="1"/>
    <x v="1"/>
    <n v="1"/>
    <d v="2020-10-06T00:00:00"/>
    <s v="Protocolado escritura junto ao RI. Aguardando conferência"/>
    <m/>
    <s v="Jurídico Externo"/>
    <x v="1"/>
  </r>
  <r>
    <x v="323"/>
    <x v="7"/>
    <x v="0"/>
    <s v="ABEC"/>
    <s v="PMBCS"/>
    <x v="38"/>
    <x v="0"/>
    <x v="198"/>
    <s v="Rua Zacarias Alves Pereira, nº 1.011 - Jardim Aristocrata."/>
    <x v="1"/>
    <x v="1"/>
    <x v="1"/>
    <n v="1"/>
    <d v="2020-10-06T00:00:00"/>
    <s v="Protocolado escritura junto ao RI. Aguardando conferência"/>
    <m/>
    <s v="Jurídico Externo"/>
    <x v="1"/>
  </r>
  <r>
    <x v="192"/>
    <x v="20"/>
    <x v="0"/>
    <s v="ABEC"/>
    <s v="PMBCS"/>
    <x v="18"/>
    <x v="0"/>
    <x v="103"/>
    <s v="Rua Marcelino Champagnat, 308 - Centro."/>
    <x v="1"/>
    <x v="1"/>
    <x v="1"/>
    <n v="1"/>
    <d v="2020-10-16T00:00:00"/>
    <s v="Enviado escritura para Registro por correspondência "/>
    <m/>
    <s v="Jurídico Externo"/>
    <x v="1"/>
  </r>
  <r>
    <x v="193"/>
    <x v="20"/>
    <x v="0"/>
    <s v="ABEC"/>
    <s v="PMBCS"/>
    <x v="18"/>
    <x v="0"/>
    <x v="103"/>
    <s v="Rua Marcelino Champagnat, n.º 308."/>
    <x v="1"/>
    <x v="1"/>
    <x v="1"/>
    <n v="1"/>
    <d v="2020-10-16T00:00:00"/>
    <s v="Enviado escritura para Registro por correspondência "/>
    <m/>
    <s v="Jurídico Externo"/>
    <x v="1"/>
  </r>
  <r>
    <x v="194"/>
    <x v="20"/>
    <x v="0"/>
    <s v="ABEC"/>
    <s v="PMBCS"/>
    <x v="18"/>
    <x v="0"/>
    <x v="103"/>
    <s v="Rua Marcelino Champagnat, 308 - Centro."/>
    <x v="1"/>
    <x v="1"/>
    <x v="1"/>
    <n v="1"/>
    <d v="2020-10-16T00:00:00"/>
    <s v="Enviado escritura para Registro por correspondência "/>
    <m/>
    <s v="Jurídico Externo"/>
    <x v="1"/>
  </r>
  <r>
    <x v="195"/>
    <x v="20"/>
    <x v="0"/>
    <s v="ABEC"/>
    <s v="PMBCS"/>
    <x v="18"/>
    <x v="0"/>
    <x v="20"/>
    <s v="Rua Marcelino Champagnat, 308 - Centro."/>
    <x v="1"/>
    <x v="1"/>
    <x v="1"/>
    <n v="1"/>
    <d v="2020-10-16T00:00:00"/>
    <s v="Enviado escritura para Registro por correspondência "/>
    <m/>
    <s v="Jurídico Externo"/>
    <x v="1"/>
  </r>
  <r>
    <x v="196"/>
    <x v="20"/>
    <x v="0"/>
    <s v="ABEC"/>
    <s v="PMBCS"/>
    <x v="18"/>
    <x v="0"/>
    <x v="103"/>
    <s v="Rua Marcelino Champagnat, 308 - Centro."/>
    <x v="1"/>
    <x v="1"/>
    <x v="1"/>
    <n v="1"/>
    <d v="2020-10-16T00:00:00"/>
    <s v="Enviado escritura para Registro por correspondência "/>
    <m/>
    <s v="Jurídico Externo"/>
    <x v="1"/>
  </r>
  <r>
    <x v="168"/>
    <x v="1"/>
    <x v="0"/>
    <s v="APC/ABEC"/>
    <s v="GM"/>
    <x v="1"/>
    <x v="0"/>
    <x v="92"/>
    <s v="Avenida Marechal Floriano Peixoto, 2.659 - Prado Velho."/>
    <x v="1"/>
    <x v="2"/>
    <x v="32"/>
    <n v="1"/>
    <d v="2020-11-12T00:00:00"/>
    <s v="Cumprindo exigências do RI "/>
    <s v="Não se aplica"/>
    <s v="Jurídico Externo"/>
    <x v="1"/>
  </r>
  <r>
    <x v="168"/>
    <x v="1"/>
    <x v="0"/>
    <s v="APC/ABEC"/>
    <s v="GM"/>
    <x v="1"/>
    <x v="0"/>
    <x v="92"/>
    <s v="Avenida Marechal Floriano Peixoto, 2.659 - Prado Velho."/>
    <x v="1"/>
    <x v="2"/>
    <x v="22"/>
    <n v="1"/>
    <d v="2020-11-18T00:00:00"/>
    <s v="Processo em análise pela SMMA"/>
    <s v="Não se aplica"/>
    <s v="Jurídico Externo"/>
    <x v="1"/>
  </r>
  <r>
    <x v="267"/>
    <x v="49"/>
    <x v="0"/>
    <s v="UCE"/>
    <s v="GM"/>
    <x v="44"/>
    <x v="1"/>
    <x v="106"/>
    <s v="Rod. SC 480, Km 4 - Rodeio Chato."/>
    <x v="1"/>
    <x v="3"/>
    <x v="40"/>
    <n v="1"/>
    <d v="2020-11-17T00:00:00"/>
    <s v="Será resolvido primeiramente a pendência da Matrícula 40.125, para na sequencia regularziarmos este caso, ainda pendente a regularização da incorporação da Nutron pela Cargil."/>
    <s v="-"/>
    <s v="Jurídico Externo"/>
    <x v="1"/>
  </r>
  <r>
    <x v="201"/>
    <x v="49"/>
    <x v="0"/>
    <s v="UCE"/>
    <s v="GM"/>
    <x v="44"/>
    <x v="1"/>
    <x v="106"/>
    <s v="Rod. SC 480, Km 4 - Rodeio Chato."/>
    <x v="1"/>
    <x v="3"/>
    <x v="35"/>
    <n v="1"/>
    <d v="2020-11-16T00:00:00"/>
    <s v="Solicitamos os documentos à Cargill e família Almeida, realizada reunião com o RI e o topógrafo está fazendo plantas complementares sobre as ruas, as anuência do municipio nas plantas não froam suficientes para o RI."/>
    <m/>
    <s v="Jurídico Externo"/>
    <x v="1"/>
  </r>
  <r>
    <x v="17"/>
    <x v="11"/>
    <x v="0"/>
    <s v="ABEC"/>
    <s v="PMBCS"/>
    <x v="10"/>
    <x v="0"/>
    <x v="13"/>
    <s v="Rua Bonifacio Vilela, nº 1.155 - Jardim Carvalho."/>
    <x v="1"/>
    <x v="3"/>
    <x v="35"/>
    <n v="1"/>
    <d v="2020-11-13T00:00:00"/>
    <s v="Recebemos a nova planta e memorial, solicitamos algumas adaptações, de acordo com a certidão da prefeitura."/>
    <m/>
    <s v="Jurídico Externo"/>
    <x v="1"/>
  </r>
  <r>
    <x v="176"/>
    <x v="30"/>
    <x v="0"/>
    <s v="APC"/>
    <s v="GM"/>
    <x v="27"/>
    <x v="0"/>
    <x v="45"/>
    <s v="Rua General Carneiro - Prado Velho."/>
    <x v="2"/>
    <x v="2"/>
    <x v="33"/>
    <n v="0"/>
    <m/>
    <s v="Realizado permuta com a Mitra."/>
    <s v="-"/>
    <s v="GPI"/>
    <x v="32"/>
  </r>
  <r>
    <x v="22"/>
    <x v="15"/>
    <x v="0"/>
    <s v="ABEC"/>
    <s v="PMBCS"/>
    <x v="14"/>
    <x v="5"/>
    <x v="18"/>
    <s v="Rua Vandenkolk, 137 - Olaria."/>
    <x v="1"/>
    <x v="2"/>
    <x v="8"/>
    <n v="1"/>
    <d v="2020-08-13T00:00:00"/>
    <s v="Minuta da Escritura de Compra e Venda em  Andamento com o Cartório Leão; Aguardando retorno de CND's e documento societários da UCE, Sérgio e Maria de Fárima"/>
    <s v="-"/>
    <s v="Jurídico Externo"/>
    <x v="1"/>
  </r>
  <r>
    <x v="22"/>
    <x v="15"/>
    <x v="0"/>
    <s v="ABEC"/>
    <s v="PMBCS"/>
    <x v="14"/>
    <x v="5"/>
    <x v="18"/>
    <s v="Rua Vandenkolk, 137 - Olaria."/>
    <x v="0"/>
    <x v="2"/>
    <x v="8"/>
    <n v="0"/>
    <d v="2020-08-13T00:00:00"/>
    <s v="Realizado a tranferencia para ABEC"/>
    <s v="-"/>
    <s v="Jurídico Externo"/>
    <x v="32"/>
  </r>
  <r>
    <x v="168"/>
    <x v="1"/>
    <x v="0"/>
    <s v="APC/ABEC"/>
    <s v="PMBCS"/>
    <x v="1"/>
    <x v="0"/>
    <x v="292"/>
    <m/>
    <x v="1"/>
    <x v="4"/>
    <x v="45"/>
    <n v="1"/>
    <d v="2021-01-15T00:00:00"/>
    <s v="Título apto a registro/ Aguardando RI concluir"/>
    <s v="Não se aplica"/>
    <s v="Jurídico Externo"/>
    <x v="1"/>
  </r>
  <r>
    <x v="108"/>
    <x v="6"/>
    <x v="0"/>
    <s v="ABEC"/>
    <s v="PMBCS"/>
    <x v="1"/>
    <x v="0"/>
    <x v="293"/>
    <m/>
    <x v="1"/>
    <x v="4"/>
    <x v="46"/>
    <n v="1"/>
    <d v="2020-12-15T00:00:00"/>
    <s v="Processo encaminhado para o Departamento analise do IPPUC. Tramitando dentro da prefeitura. "/>
    <s v="Não se aplica"/>
    <s v="Jurídico Externo"/>
    <x v="1"/>
  </r>
  <r>
    <x v="109"/>
    <x v="6"/>
    <x v="0"/>
    <s v="ABEC"/>
    <s v="PMBCS"/>
    <x v="1"/>
    <x v="0"/>
    <x v="294"/>
    <m/>
    <x v="1"/>
    <x v="4"/>
    <x v="47"/>
    <n v="1"/>
    <d v="2020-12-24T00:00:00"/>
    <s v="Nova exigência do RI solicitando documento de Representatividade do Irmão Délcio. Conversei com a Grasi que ficou de verificar a possibilidade de fazermos uma ata.  Aguardando. "/>
    <s v="Não se aplica"/>
    <s v="Jurídico Externo"/>
    <x v="1"/>
  </r>
  <r>
    <x v="201"/>
    <x v="65"/>
    <x v="0"/>
    <s v="UCE"/>
    <s v="PMBCS"/>
    <x v="44"/>
    <x v="1"/>
    <x v="295"/>
    <s v="Chapecó"/>
    <x v="1"/>
    <x v="4"/>
    <x v="48"/>
    <n v="1"/>
    <d v="2021-01-08T00:00:00"/>
    <s v="Cumprimos as exigência em relação a família Almeida e os documentos sobre a Prefeitura de Chapecó e fizmos o protocolo no dia 23/12/2020. Tivemos o retorno do RI com a exigência de alteração a parte da planta em relação a alteração de confrontantes."/>
    <m/>
    <s v="Jurídico Externo"/>
    <x v="1"/>
  </r>
  <r>
    <x v="17"/>
    <x v="66"/>
    <x v="0"/>
    <s v="ABEC"/>
    <s v="PMBCS"/>
    <x v="10"/>
    <x v="0"/>
    <x v="296"/>
    <s v="Ponta Grossa"/>
    <x v="1"/>
    <x v="4"/>
    <x v="48"/>
    <n v="1"/>
    <d v="2021-01-15T00:00:00"/>
    <s v="Estamos em contato para alteração a Ata Notarial."/>
    <m/>
    <s v="Jurídico Externo"/>
    <x v="1"/>
  </r>
  <r>
    <x v="24"/>
    <x v="67"/>
    <x v="0"/>
    <s v="APC"/>
    <s v="PMBCS"/>
    <x v="15"/>
    <x v="1"/>
    <x v="28"/>
    <s v="Rua Dom Pedro II, 110"/>
    <x v="1"/>
    <x v="4"/>
    <x v="49"/>
    <n v="1"/>
    <d v="2021-01-13T00:00:00"/>
    <s v="enviado documentos para cumprimento de exigência"/>
    <n v="21914"/>
    <s v="Jurídico Externo"/>
    <x v="1"/>
  </r>
  <r>
    <x v="51"/>
    <x v="68"/>
    <x v="0"/>
    <s v="ABEC"/>
    <s v="PMBCS"/>
    <x v="18"/>
    <x v="0"/>
    <x v="297"/>
    <s v="Rua Marcelino Champagnat esq c/ Fernando Ferrari"/>
    <x v="1"/>
    <x v="4"/>
    <x v="49"/>
    <n v="1"/>
    <d v="2021-01-15T00:00:00"/>
    <s v="Cumprindo exigências do RI"/>
    <m/>
    <s v="Jurídico Externo"/>
    <x v="1"/>
  </r>
  <r>
    <x v="86"/>
    <x v="68"/>
    <x v="0"/>
    <s v="ABEC"/>
    <s v="PMBCS"/>
    <x v="18"/>
    <x v="0"/>
    <x v="298"/>
    <s v="Rua Presidente Kennedy, s/n°."/>
    <x v="1"/>
    <x v="4"/>
    <x v="49"/>
    <n v="1"/>
    <d v="2021-01-15T00:00:00"/>
    <s v="Cumprindo exigências do RI"/>
    <m/>
    <s v="Jurídico Externo"/>
    <x v="1"/>
  </r>
  <r>
    <x v="211"/>
    <x v="69"/>
    <x v="0"/>
    <s v="ABEC"/>
    <s v="PMBCS"/>
    <x v="47"/>
    <x v="9"/>
    <x v="299"/>
    <s v="Rua Ilacir Pereira Lima, nº 35."/>
    <x v="1"/>
    <x v="4"/>
    <x v="49"/>
    <n v="1"/>
    <d v="2021-01-13T00:00:00"/>
    <s v="temos imunidade - enviado para Natasha providênciar escritura.  "/>
    <m/>
    <s v="Jurídico Externo"/>
    <x v="1"/>
  </r>
  <r>
    <x v="311"/>
    <x v="70"/>
    <x v="0"/>
    <s v="ABEC"/>
    <s v="PMBCS"/>
    <x v="38"/>
    <x v="0"/>
    <x v="20"/>
    <s v="Rua Zacarias Alves Pereira, nº 1.011"/>
    <x v="1"/>
    <x v="4"/>
    <x v="49"/>
    <n v="1"/>
    <d v="2021-01-14T00:00:00"/>
    <s v="Registro concluído - enviado e-mail para a Grasi com as matrículas atualizadas"/>
    <m/>
    <s v="Jurídico Externo"/>
    <x v="33"/>
  </r>
  <r>
    <x v="323"/>
    <x v="70"/>
    <x v="0"/>
    <s v="ABEC"/>
    <s v="PMBCS"/>
    <x v="38"/>
    <x v="0"/>
    <x v="20"/>
    <s v="Rua Zacarias Alves Pereira, nº 1.011"/>
    <x v="1"/>
    <x v="4"/>
    <x v="49"/>
    <n v="1"/>
    <d v="2021-01-14T00:00:00"/>
    <s v="Registro concluído - enviado e-mail para a Grasi com as matrículas atualizadas"/>
    <m/>
    <s v="Jurídico Externo"/>
    <x v="33"/>
  </r>
  <r>
    <x v="192"/>
    <x v="68"/>
    <x v="0"/>
    <s v="ABEC"/>
    <s v="PMBCS"/>
    <x v="18"/>
    <x v="0"/>
    <x v="20"/>
    <s v="Rua Marcelino Champagnat, n.º 308."/>
    <x v="1"/>
    <x v="4"/>
    <x v="49"/>
    <n v="1"/>
    <d v="2021-01-15T00:00:00"/>
    <s v="Cumprindo exigências do RI"/>
    <m/>
    <s v="Jurídico Externo"/>
    <x v="1"/>
  </r>
  <r>
    <x v="193"/>
    <x v="68"/>
    <x v="0"/>
    <s v="ABEC"/>
    <s v="PMBCS"/>
    <x v="18"/>
    <x v="0"/>
    <x v="20"/>
    <s v="Rua Marcelino Champagnat, n.º 308."/>
    <x v="1"/>
    <x v="4"/>
    <x v="49"/>
    <n v="1"/>
    <d v="2021-01-15T00:00:00"/>
    <s v="Cumprindo exigências do RI"/>
    <m/>
    <s v="Jurídico Externo"/>
    <x v="1"/>
  </r>
  <r>
    <x v="194"/>
    <x v="68"/>
    <x v="0"/>
    <s v="ABEC"/>
    <s v="PMBCS"/>
    <x v="18"/>
    <x v="0"/>
    <x v="20"/>
    <s v="Rua Marcelino Champagnat, n.º 308."/>
    <x v="1"/>
    <x v="4"/>
    <x v="49"/>
    <n v="1"/>
    <d v="2021-01-15T00:00:00"/>
    <s v="Cumprindo exigências do RI"/>
    <m/>
    <s v="Jurídico Externo"/>
    <x v="1"/>
  </r>
  <r>
    <x v="195"/>
    <x v="68"/>
    <x v="0"/>
    <s v="ABEC"/>
    <s v="PMBCS"/>
    <x v="18"/>
    <x v="0"/>
    <x v="20"/>
    <s v="Rua Marcelino Champagnat, n.º 308."/>
    <x v="1"/>
    <x v="4"/>
    <x v="49"/>
    <n v="1"/>
    <d v="2021-01-15T00:00:00"/>
    <s v="Cumprindo exigências do RI"/>
    <m/>
    <s v="Jurídico Externo"/>
    <x v="1"/>
  </r>
  <r>
    <x v="196"/>
    <x v="68"/>
    <x v="0"/>
    <s v="ABEC"/>
    <s v="PMBCS"/>
    <x v="18"/>
    <x v="0"/>
    <x v="20"/>
    <s v="Rua Marcelino Champagnat, n.º 308."/>
    <x v="1"/>
    <x v="4"/>
    <x v="49"/>
    <n v="1"/>
    <d v="2021-01-15T00:00:00"/>
    <s v="Cumprindo exigências do RI"/>
    <m/>
    <s v="Jurídico Externo"/>
    <x v="1"/>
  </r>
  <r>
    <x v="432"/>
    <x v="71"/>
    <x v="0"/>
    <s v="APC"/>
    <s v="PMBCS"/>
    <x v="11"/>
    <x v="1"/>
    <x v="300"/>
    <m/>
    <x v="1"/>
    <x v="4"/>
    <x v="50"/>
    <n v="1"/>
    <d v="2020-12-09T00:00:00"/>
    <s v="Pedido matrículas atualizadas"/>
    <m/>
    <s v="Jurídico Externo"/>
    <x v="1"/>
  </r>
  <r>
    <x v="433"/>
    <x v="72"/>
    <x v="0"/>
    <s v="ABEC"/>
    <s v="PMBCS"/>
    <x v="8"/>
    <x v="1"/>
    <x v="300"/>
    <m/>
    <x v="1"/>
    <x v="4"/>
    <x v="50"/>
    <n v="1"/>
    <d v="2021-01-13T00:00:00"/>
    <s v="Solicitado imunidade para Prefeitura e enviado para analise do RI"/>
    <m/>
    <s v="Jurídico Externo"/>
    <x v="1"/>
  </r>
  <r>
    <x v="434"/>
    <x v="72"/>
    <x v="0"/>
    <s v="ABEC"/>
    <s v="PMBCS"/>
    <x v="8"/>
    <x v="1"/>
    <x v="300"/>
    <m/>
    <x v="1"/>
    <x v="4"/>
    <x v="50"/>
    <n v="1"/>
    <d v="2021-01-13T00:00:00"/>
    <s v="Solicitado imunidade para Prefeitura e enviado para analise do RI"/>
    <m/>
    <s v="Jurídico Externo"/>
    <x v="1"/>
  </r>
  <r>
    <x v="435"/>
    <x v="72"/>
    <x v="0"/>
    <s v="ABEC"/>
    <s v="PMBCS"/>
    <x v="8"/>
    <x v="1"/>
    <x v="300"/>
    <m/>
    <x v="1"/>
    <x v="4"/>
    <x v="50"/>
    <n v="1"/>
    <d v="2021-01-13T00:00:00"/>
    <s v="Solicitado imunidade para Prefeitura e enviado para analise do RI"/>
    <m/>
    <s v="Jurídico Externo"/>
    <x v="1"/>
  </r>
  <r>
    <x v="436"/>
    <x v="72"/>
    <x v="0"/>
    <s v="ABEC "/>
    <s v="PMBCS"/>
    <x v="8"/>
    <x v="1"/>
    <x v="300"/>
    <m/>
    <x v="1"/>
    <x v="4"/>
    <x v="50"/>
    <n v="1"/>
    <d v="2021-01-13T00:00:00"/>
    <s v="Solicitado imunidade para Prefeitura e enviado para analise do RI"/>
    <m/>
    <s v="Jurídico Externo"/>
    <x v="1"/>
  </r>
  <r>
    <x v="12"/>
    <x v="73"/>
    <x v="0"/>
    <s v="ABEC "/>
    <s v="PMBCS"/>
    <x v="8"/>
    <x v="1"/>
    <x v="300"/>
    <m/>
    <x v="1"/>
    <x v="4"/>
    <x v="50"/>
    <n v="1"/>
    <d v="2021-01-13T00:00:00"/>
    <s v="Solicitado imunidade para Prefeitura e enviado para analise do RI"/>
    <m/>
    <s v="Jurídico Externo"/>
    <x v="1"/>
  </r>
  <r>
    <x v="181"/>
    <x v="74"/>
    <x v="0"/>
    <s v="ABEC"/>
    <s v="PMBCS"/>
    <x v="52"/>
    <x v="1"/>
    <x v="300"/>
    <m/>
    <x v="1"/>
    <x v="4"/>
    <x v="50"/>
    <n v="1"/>
    <d v="2020-12-09T00:00:00"/>
    <s v="Pedido matrículas atualizadas"/>
    <m/>
    <s v="Jurídico Externo"/>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972534-08F3-4CBB-B9BD-778354A0CCDC}" name="Tabela dinâmica2" cacheId="7" applyNumberFormats="0" applyBorderFormats="0" applyFontFormats="0" applyPatternFormats="0" applyAlignmentFormats="0" applyWidthHeightFormats="1" dataCaption="Valores" updatedVersion="6" minRefreshableVersion="3" useAutoFormatting="1" rowGrandTotals="0" colGrandTotals="0" itemPrintTitles="1" createdVersion="6" indent="0" compact="0" compactData="0" multipleFieldFilters="0">
  <location ref="J4:L300" firstHeaderRow="1" firstDataRow="1" firstDataCol="3" rowPageCount="2" colPageCount="1"/>
  <pivotFields count="20">
    <pivotField axis="axisRow" compact="0" outline="0" subtotalTop="0" showAll="0" defaultSubtotal="0">
      <items count="555">
        <item x="0"/>
        <item x="1"/>
        <item x="2"/>
        <item x="3"/>
        <item m="1" x="543"/>
        <item x="4"/>
        <item x="5"/>
        <item x="6"/>
        <item x="7"/>
        <item x="8"/>
        <item m="1" x="480"/>
        <item x="9"/>
        <item x="10"/>
        <item x="11"/>
        <item m="1" x="525"/>
        <item x="12"/>
        <item x="431"/>
        <item x="13"/>
        <item x="14"/>
        <item m="1" x="482"/>
        <item x="15"/>
        <item x="16"/>
        <item x="17"/>
        <item x="18"/>
        <item x="19"/>
        <item x="20"/>
        <item m="1" x="466"/>
        <item x="21"/>
        <item x="22"/>
        <item x="23"/>
        <item m="1" x="442"/>
        <item x="24"/>
        <item x="25"/>
        <item x="26"/>
        <item x="27"/>
        <item x="28"/>
        <item x="29"/>
        <item x="30"/>
        <item x="31"/>
        <item x="32"/>
        <item x="33"/>
        <item x="34"/>
        <item x="35"/>
        <item x="36"/>
        <item x="37"/>
        <item x="38"/>
        <item x="39"/>
        <item x="40"/>
        <item x="41"/>
        <item x="42"/>
        <item x="43"/>
        <item x="44"/>
        <item x="45"/>
        <item x="46"/>
        <item x="47"/>
        <item x="48"/>
        <item x="49"/>
        <item m="1" x="541"/>
        <item x="50"/>
        <item x="51"/>
        <item x="52"/>
        <item x="53"/>
        <item x="54"/>
        <item x="55"/>
        <item m="1" x="465"/>
        <item x="56"/>
        <item x="57"/>
        <item x="58"/>
        <item x="59"/>
        <item x="60"/>
        <item x="61"/>
        <item x="62"/>
        <item x="63"/>
        <item x="64"/>
        <item x="65"/>
        <item x="66"/>
        <item x="67"/>
        <item x="68"/>
        <item x="69"/>
        <item x="70"/>
        <item x="71"/>
        <item x="72"/>
        <item x="73"/>
        <item m="1" x="502"/>
        <item m="1" x="518"/>
        <item m="1" x="527"/>
        <item m="1" x="540"/>
        <item m="1" x="548"/>
        <item m="1" x="445"/>
        <item m="1" x="451"/>
        <item x="74"/>
        <item x="75"/>
        <item x="76"/>
        <item x="77"/>
        <item x="78"/>
        <item x="79"/>
        <item x="80"/>
        <item x="81"/>
        <item x="82"/>
        <item x="83"/>
        <item x="84"/>
        <item x="85"/>
        <item m="1" x="472"/>
        <item m="1" x="513"/>
        <item m="1" x="474"/>
        <item x="86"/>
        <item x="87"/>
        <item m="1" x="506"/>
        <item m="1" x="523"/>
        <item m="1" x="450"/>
        <item x="88"/>
        <item m="1" x="487"/>
        <item m="1" x="496"/>
        <item m="1" x="503"/>
        <item m="1" x="507"/>
        <item m="1" x="511"/>
        <item x="89"/>
        <item x="90"/>
        <item x="91"/>
        <item x="92"/>
        <item m="1" x="486"/>
        <item m="1" x="439"/>
        <item x="93"/>
        <item x="94"/>
        <item m="1" x="554"/>
        <item x="95"/>
        <item x="96"/>
        <item x="97"/>
        <item x="98"/>
        <item x="99"/>
        <item x="100"/>
        <item x="101"/>
        <item x="102"/>
        <item x="103"/>
        <item x="104"/>
        <item x="105"/>
        <item x="106"/>
        <item x="107"/>
        <item m="1" x="491"/>
        <item x="108"/>
        <item m="1" x="470"/>
        <item x="109"/>
        <item x="110"/>
        <item m="1" x="509"/>
        <item x="111"/>
        <item m="1" x="528"/>
        <item m="1" x="549"/>
        <item x="112"/>
        <item x="113"/>
        <item x="114"/>
        <item x="115"/>
        <item x="116"/>
        <item x="117"/>
        <item x="118"/>
        <item x="119"/>
        <item x="120"/>
        <item x="121"/>
        <item x="122"/>
        <item x="123"/>
        <item x="124"/>
        <item x="125"/>
        <item m="1" x="476"/>
        <item x="126"/>
        <item x="127"/>
        <item x="128"/>
        <item x="129"/>
        <item x="130"/>
        <item x="131"/>
        <item x="132"/>
        <item x="133"/>
        <item x="134"/>
        <item m="1" x="443"/>
        <item x="135"/>
        <item x="136"/>
        <item x="137"/>
        <item x="138"/>
        <item m="1" x="454"/>
        <item x="139"/>
        <item x="140"/>
        <item x="141"/>
        <item x="142"/>
        <item m="1" x="493"/>
        <item m="1" x="516"/>
        <item x="143"/>
        <item x="144"/>
        <item x="145"/>
        <item x="146"/>
        <item x="147"/>
        <item m="1" x="485"/>
        <item x="148"/>
        <item x="149"/>
        <item m="1" x="458"/>
        <item m="1" x="481"/>
        <item m="1" x="462"/>
        <item m="1" x="437"/>
        <item m="1" x="495"/>
        <item m="1" x="471"/>
        <item x="150"/>
        <item x="151"/>
        <item m="1" x="467"/>
        <item x="152"/>
        <item m="1" x="517"/>
        <item x="153"/>
        <item x="154"/>
        <item m="1" x="500"/>
        <item m="1" x="464"/>
        <item x="155"/>
        <item x="156"/>
        <item m="1" x="538"/>
        <item x="157"/>
        <item m="1" x="484"/>
        <item x="158"/>
        <item m="1" x="514"/>
        <item m="1" x="539"/>
        <item m="1" x="452"/>
        <item m="1" x="498"/>
        <item x="159"/>
        <item x="160"/>
        <item x="161"/>
        <item x="162"/>
        <item x="163"/>
        <item m="1" x="460"/>
        <item x="164"/>
        <item x="165"/>
        <item x="166"/>
        <item x="167"/>
        <item x="168"/>
        <item m="1" x="475"/>
        <item x="169"/>
        <item x="170"/>
        <item m="1" x="501"/>
        <item m="1" x="544"/>
        <item m="1" x="505"/>
        <item x="171"/>
        <item x="172"/>
        <item m="1" x="524"/>
        <item m="1" x="535"/>
        <item x="173"/>
        <item x="174"/>
        <item m="1" x="534"/>
        <item x="175"/>
        <item x="176"/>
        <item m="1" x="492"/>
        <item m="1" x="537"/>
        <item x="177"/>
        <item x="178"/>
        <item m="1" x="508"/>
        <item x="179"/>
        <item m="1" x="479"/>
        <item m="1" x="438"/>
        <item x="180"/>
        <item m="1" x="512"/>
        <item m="1" x="551"/>
        <item x="181"/>
        <item x="182"/>
        <item x="183"/>
        <item m="1" x="468"/>
        <item m="1" x="469"/>
        <item x="184"/>
        <item x="185"/>
        <item m="1" x="497"/>
        <item x="186"/>
        <item x="187"/>
        <item x="188"/>
        <item x="189"/>
        <item x="190"/>
        <item x="191"/>
        <item x="192"/>
        <item x="193"/>
        <item x="194"/>
        <item x="195"/>
        <item x="196"/>
        <item x="197"/>
        <item x="198"/>
        <item m="1" x="448"/>
        <item x="199"/>
        <item x="200"/>
        <item x="201"/>
        <item x="202"/>
        <item m="1" x="547"/>
        <item m="1" x="550"/>
        <item m="1" x="552"/>
        <item x="203"/>
        <item x="204"/>
        <item x="205"/>
        <item x="206"/>
        <item x="207"/>
        <item m="1" x="504"/>
        <item x="208"/>
        <item x="209"/>
        <item x="210"/>
        <item m="1" x="531"/>
        <item x="211"/>
        <item x="212"/>
        <item x="213"/>
        <item x="214"/>
        <item x="215"/>
        <item m="1" x="499"/>
        <item x="216"/>
        <item x="217"/>
        <item m="1" x="473"/>
        <item m="1" x="510"/>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m="1" x="477"/>
        <item x="256"/>
        <item x="257"/>
        <item x="258"/>
        <item x="259"/>
        <item x="260"/>
        <item x="261"/>
        <item x="262"/>
        <item x="263"/>
        <item x="264"/>
        <item x="265"/>
        <item x="266"/>
        <item m="1" x="490"/>
        <item x="267"/>
        <item x="268"/>
        <item x="269"/>
        <item m="1" x="446"/>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m="1" x="519"/>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m="1" x="444"/>
        <item x="387"/>
        <item x="388"/>
        <item x="389"/>
        <item x="390"/>
        <item x="391"/>
        <item m="1" x="553"/>
        <item m="1" x="441"/>
        <item m="1" x="447"/>
        <item x="392"/>
        <item x="393"/>
        <item m="1" x="440"/>
        <item x="394"/>
        <item m="1" x="478"/>
        <item x="395"/>
        <item x="396"/>
        <item x="397"/>
        <item m="1" x="483"/>
        <item m="1" x="456"/>
        <item m="1" x="459"/>
        <item m="1" x="463"/>
        <item m="1" x="489"/>
        <item m="1" x="494"/>
        <item x="398"/>
        <item m="1" x="515"/>
        <item x="399"/>
        <item m="1" x="449"/>
        <item m="1" x="461"/>
        <item m="1" x="530"/>
        <item m="1" x="532"/>
        <item m="1" x="533"/>
        <item x="400"/>
        <item m="1" x="526"/>
        <item m="1" x="529"/>
        <item m="1" x="522"/>
        <item x="401"/>
        <item x="402"/>
        <item x="403"/>
        <item x="404"/>
        <item x="405"/>
        <item m="1" x="546"/>
        <item m="1" x="457"/>
        <item x="406"/>
        <item m="1" x="542"/>
        <item m="1" x="545"/>
        <item x="407"/>
        <item x="408"/>
        <item x="409"/>
        <item x="410"/>
        <item x="411"/>
        <item x="412"/>
        <item x="413"/>
        <item x="414"/>
        <item x="415"/>
        <item x="416"/>
        <item x="417"/>
        <item m="1" x="455"/>
        <item x="418"/>
        <item m="1" x="453"/>
        <item x="419"/>
        <item x="420"/>
        <item x="421"/>
        <item x="422"/>
        <item x="423"/>
        <item x="424"/>
        <item x="425"/>
        <item x="426"/>
        <item m="1" x="520"/>
        <item m="1" x="521"/>
        <item m="1" x="488"/>
        <item x="427"/>
        <item m="1" x="536"/>
        <item x="428"/>
        <item x="429"/>
        <item x="430"/>
        <item x="432"/>
        <item x="433"/>
        <item x="434"/>
        <item x="435"/>
        <item x="436"/>
      </items>
    </pivotField>
    <pivotField compact="0" outline="0" subtotalTop="0" showAll="0" defaultSubtotal="0"/>
    <pivotField axis="axisPage" compact="0" outline="0" showAll="0" defaultSubtotal="0">
      <items count="2">
        <item x="0"/>
        <item m="1" x="1"/>
      </items>
    </pivotField>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4">
        <item x="1"/>
        <item h="1" x="2"/>
        <item h="1" m="1" x="3"/>
        <item h="1" x="0"/>
      </items>
    </pivotField>
    <pivotField axis="axisRow" compact="0" outline="0" showAll="0" defaultSubtotal="0">
      <items count="7">
        <item x="2"/>
        <item x="6"/>
        <item x="3"/>
        <item x="1"/>
        <item x="5"/>
        <item x="4"/>
        <item x="0"/>
      </items>
    </pivotField>
    <pivotField axis="axisRow" compact="0" outline="0" showAll="0" defaultSubtotal="0">
      <items count="53">
        <item x="42"/>
        <item m="1" x="52"/>
        <item x="31"/>
        <item x="25"/>
        <item x="30"/>
        <item x="36"/>
        <item x="4"/>
        <item x="2"/>
        <item x="10"/>
        <item x="19"/>
        <item x="5"/>
        <item x="24"/>
        <item x="22"/>
        <item x="37"/>
        <item x="33"/>
        <item x="28"/>
        <item x="27"/>
        <item x="13"/>
        <item x="26"/>
        <item x="38"/>
        <item x="43"/>
        <item x="18"/>
        <item x="41"/>
        <item x="29"/>
        <item x="17"/>
        <item x="9"/>
        <item x="7"/>
        <item x="16"/>
        <item x="44"/>
        <item x="35"/>
        <item x="40"/>
        <item x="32"/>
        <item x="49"/>
        <item x="3"/>
        <item x="14"/>
        <item x="1"/>
        <item x="15"/>
        <item x="6"/>
        <item x="39"/>
        <item x="8"/>
        <item x="20"/>
        <item x="23"/>
        <item m="1" x="51"/>
        <item x="21"/>
        <item x="12"/>
        <item x="34"/>
        <item x="11"/>
        <item x="0"/>
        <item x="45"/>
        <item x="46"/>
        <item x="47"/>
        <item x="48"/>
        <item x="50"/>
      </items>
    </pivotField>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0"/>
    <field x="10"/>
    <field x="11"/>
  </rowFields>
  <rowItems count="296">
    <i>
      <x/>
      <x v="3"/>
      <x v="35"/>
    </i>
    <i>
      <x v="1"/>
      <x v="3"/>
      <x v="35"/>
    </i>
    <i>
      <x v="2"/>
      <x v="3"/>
      <x v="35"/>
    </i>
    <i>
      <x v="5"/>
      <x/>
      <x v="6"/>
    </i>
    <i r="2">
      <x v="7"/>
    </i>
    <i r="2">
      <x v="10"/>
    </i>
    <i r="1">
      <x v="3"/>
      <x v="37"/>
    </i>
    <i>
      <x v="6"/>
      <x/>
      <x v="6"/>
    </i>
    <i r="2">
      <x v="7"/>
    </i>
    <i r="2">
      <x v="10"/>
    </i>
    <i r="1">
      <x v="3"/>
      <x v="37"/>
    </i>
    <i>
      <x v="7"/>
      <x v="2"/>
      <x v="26"/>
    </i>
    <i>
      <x v="8"/>
      <x v="3"/>
      <x v="39"/>
    </i>
    <i>
      <x v="9"/>
      <x v="2"/>
      <x v="25"/>
    </i>
    <i r="1">
      <x v="3"/>
      <x v="39"/>
    </i>
    <i>
      <x v="12"/>
      <x/>
      <x v="8"/>
    </i>
    <i r="2">
      <x v="10"/>
    </i>
    <i r="2">
      <x v="35"/>
    </i>
    <i r="1">
      <x v="3"/>
      <x v="35"/>
    </i>
    <i>
      <x v="15"/>
      <x v="4"/>
      <x v="39"/>
    </i>
    <i r="1">
      <x v="5"/>
      <x v="52"/>
    </i>
    <i>
      <x v="18"/>
      <x v="2"/>
      <x v="25"/>
    </i>
    <i>
      <x v="22"/>
      <x/>
      <x v="44"/>
    </i>
    <i r="1">
      <x v="2"/>
      <x v="29"/>
    </i>
    <i r="1">
      <x v="3"/>
      <x v="39"/>
    </i>
    <i r="1">
      <x v="5"/>
      <x v="51"/>
    </i>
    <i>
      <x v="25"/>
      <x v="3"/>
      <x v="39"/>
    </i>
    <i>
      <x v="27"/>
      <x/>
      <x v="10"/>
    </i>
    <i r="2">
      <x v="17"/>
    </i>
    <i>
      <x v="28"/>
      <x/>
      <x v="39"/>
    </i>
    <i r="1">
      <x v="3"/>
      <x v="39"/>
    </i>
    <i r="1">
      <x v="4"/>
      <x v="39"/>
    </i>
    <i>
      <x v="29"/>
      <x/>
      <x v="34"/>
    </i>
    <i r="1">
      <x v="3"/>
      <x v="34"/>
    </i>
    <i>
      <x v="31"/>
      <x v="3"/>
      <x v="39"/>
    </i>
    <i r="1">
      <x v="5"/>
      <x v="32"/>
    </i>
    <i>
      <x v="32"/>
      <x v="2"/>
      <x v="25"/>
    </i>
    <i>
      <x v="33"/>
      <x/>
      <x v="6"/>
    </i>
    <i r="2">
      <x v="10"/>
    </i>
    <i>
      <x v="34"/>
      <x/>
      <x v="6"/>
    </i>
    <i r="2">
      <x v="10"/>
    </i>
    <i r="1">
      <x v="3"/>
      <x v="36"/>
    </i>
    <i>
      <x v="36"/>
      <x/>
      <x v="10"/>
    </i>
    <i r="1">
      <x v="2"/>
      <x v="27"/>
    </i>
    <i r="1">
      <x v="3"/>
      <x v="39"/>
    </i>
    <i>
      <x v="38"/>
      <x v="3"/>
      <x v="39"/>
    </i>
    <i>
      <x v="40"/>
      <x/>
      <x v="39"/>
    </i>
    <i>
      <x v="50"/>
      <x/>
      <x v="6"/>
    </i>
    <i r="2">
      <x v="10"/>
    </i>
    <i r="1">
      <x v="3"/>
      <x v="36"/>
    </i>
    <i>
      <x v="52"/>
      <x v="3"/>
      <x v="39"/>
    </i>
    <i>
      <x v="54"/>
      <x/>
      <x v="6"/>
    </i>
    <i r="2">
      <x v="10"/>
    </i>
    <i r="1">
      <x v="3"/>
      <x v="36"/>
    </i>
    <i>
      <x v="55"/>
      <x/>
      <x v="6"/>
    </i>
    <i r="2">
      <x v="10"/>
    </i>
    <i r="1">
      <x v="3"/>
      <x v="36"/>
    </i>
    <i>
      <x v="56"/>
      <x/>
      <x v="6"/>
    </i>
    <i r="2">
      <x v="10"/>
    </i>
    <i r="1">
      <x v="3"/>
      <x v="36"/>
    </i>
    <i>
      <x v="59"/>
      <x v="3"/>
      <x v="35"/>
    </i>
    <i r="2">
      <x v="39"/>
    </i>
    <i r="1">
      <x v="5"/>
      <x v="32"/>
    </i>
    <i>
      <x v="61"/>
      <x/>
      <x v="24"/>
    </i>
    <i>
      <x v="62"/>
      <x v="1"/>
      <x v="21"/>
    </i>
    <i>
      <x v="66"/>
      <x/>
      <x v="39"/>
    </i>
    <i>
      <x v="68"/>
      <x v="1"/>
      <x v="21"/>
    </i>
    <i>
      <x v="72"/>
      <x/>
      <x v="39"/>
    </i>
    <i r="1">
      <x v="3"/>
      <x v="39"/>
    </i>
    <i>
      <x v="77"/>
      <x/>
      <x v="9"/>
    </i>
    <i r="1">
      <x v="3"/>
      <x v="34"/>
    </i>
    <i>
      <x v="78"/>
      <x/>
      <x v="9"/>
    </i>
    <i r="1">
      <x v="3"/>
      <x v="34"/>
    </i>
    <i>
      <x v="79"/>
      <x/>
      <x v="9"/>
    </i>
    <i r="1">
      <x v="3"/>
      <x v="40"/>
    </i>
    <i>
      <x v="80"/>
      <x/>
      <x v="9"/>
    </i>
    <i r="1">
      <x v="3"/>
      <x v="39"/>
    </i>
    <i>
      <x v="82"/>
      <x/>
      <x v="43"/>
    </i>
    <i r="1">
      <x v="4"/>
      <x v="39"/>
    </i>
    <i>
      <x v="99"/>
      <x/>
      <x v="12"/>
    </i>
    <i>
      <x v="100"/>
      <x/>
      <x v="41"/>
    </i>
    <i>
      <x v="101"/>
      <x/>
      <x v="11"/>
    </i>
    <i>
      <x v="105"/>
      <x v="3"/>
      <x v="35"/>
    </i>
    <i r="2">
      <x v="39"/>
    </i>
    <i r="1">
      <x v="5"/>
      <x v="32"/>
    </i>
    <i>
      <x v="116"/>
      <x v="1"/>
      <x v="21"/>
    </i>
    <i>
      <x v="118"/>
      <x v="1"/>
      <x v="21"/>
    </i>
    <i>
      <x v="119"/>
      <x/>
      <x v="43"/>
    </i>
    <i r="1">
      <x v="4"/>
      <x v="39"/>
    </i>
    <i>
      <x v="122"/>
      <x/>
      <x v="3"/>
    </i>
    <i r="1">
      <x v="3"/>
      <x v="39"/>
    </i>
    <i>
      <x v="123"/>
      <x v="3"/>
      <x v="39"/>
    </i>
    <i>
      <x v="132"/>
      <x v="3"/>
      <x v="39"/>
    </i>
    <i>
      <x v="133"/>
      <x v="1"/>
      <x v="21"/>
    </i>
    <i>
      <x v="134"/>
      <x/>
      <x v="18"/>
    </i>
    <i r="1">
      <x v="1"/>
      <x v="21"/>
    </i>
    <i>
      <x v="135"/>
      <x v="1"/>
      <x v="21"/>
    </i>
    <i>
      <x v="136"/>
      <x v="1"/>
      <x v="21"/>
    </i>
    <i>
      <x v="139"/>
      <x/>
      <x v="12"/>
    </i>
    <i r="1">
      <x v="3"/>
      <x v="39"/>
    </i>
    <i r="1">
      <x v="5"/>
      <x v="49"/>
    </i>
    <i>
      <x v="141"/>
      <x v="2"/>
      <x v="25"/>
    </i>
    <i r="1">
      <x v="3"/>
      <x v="39"/>
    </i>
    <i r="1">
      <x v="5"/>
      <x v="50"/>
    </i>
    <i>
      <x v="144"/>
      <x v="3"/>
      <x v="39"/>
    </i>
    <i>
      <x v="147"/>
      <x/>
      <x v="16"/>
    </i>
    <i>
      <x v="148"/>
      <x/>
      <x v="16"/>
    </i>
    <i>
      <x v="149"/>
      <x/>
      <x v="16"/>
    </i>
    <i>
      <x v="150"/>
      <x/>
      <x v="16"/>
    </i>
    <i>
      <x v="151"/>
      <x/>
      <x v="16"/>
    </i>
    <i>
      <x v="152"/>
      <x/>
      <x v="16"/>
    </i>
    <i>
      <x v="153"/>
      <x/>
      <x v="16"/>
    </i>
    <i>
      <x v="154"/>
      <x/>
      <x v="16"/>
    </i>
    <i>
      <x v="155"/>
      <x/>
      <x v="16"/>
    </i>
    <i>
      <x v="156"/>
      <x/>
      <x v="16"/>
    </i>
    <i>
      <x v="157"/>
      <x/>
      <x v="16"/>
    </i>
    <i>
      <x v="158"/>
      <x/>
      <x v="16"/>
    </i>
    <i>
      <x v="163"/>
      <x v="3"/>
      <x v="39"/>
    </i>
    <i>
      <x v="164"/>
      <x/>
      <x v="10"/>
    </i>
    <i r="2">
      <x v="39"/>
    </i>
    <i r="1">
      <x v="3"/>
      <x v="39"/>
    </i>
    <i>
      <x v="165"/>
      <x v="3"/>
      <x v="39"/>
    </i>
    <i>
      <x v="166"/>
      <x v="3"/>
      <x v="39"/>
    </i>
    <i>
      <x v="167"/>
      <x v="3"/>
      <x v="39"/>
    </i>
    <i>
      <x v="168"/>
      <x v="3"/>
      <x v="39"/>
    </i>
    <i>
      <x v="169"/>
      <x v="3"/>
      <x v="39"/>
    </i>
    <i>
      <x v="170"/>
      <x v="3"/>
      <x v="39"/>
    </i>
    <i>
      <x v="177"/>
      <x/>
      <x v="10"/>
    </i>
    <i r="2">
      <x v="15"/>
    </i>
    <i r="1">
      <x v="3"/>
      <x v="39"/>
    </i>
    <i>
      <x v="179"/>
      <x/>
      <x v="23"/>
    </i>
    <i>
      <x v="180"/>
      <x v="3"/>
      <x v="39"/>
    </i>
    <i>
      <x v="187"/>
      <x/>
      <x v="44"/>
    </i>
    <i>
      <x v="189"/>
      <x v="3"/>
      <x v="39"/>
    </i>
    <i>
      <x v="190"/>
      <x/>
      <x v="4"/>
    </i>
    <i>
      <x v="197"/>
      <x/>
      <x v="23"/>
    </i>
    <i>
      <x v="198"/>
      <x v="3"/>
      <x v="39"/>
    </i>
    <i>
      <x v="206"/>
      <x v="3"/>
      <x v="39"/>
    </i>
    <i>
      <x v="207"/>
      <x v="2"/>
      <x v="25"/>
    </i>
    <i>
      <x v="209"/>
      <x v="3"/>
      <x v="39"/>
    </i>
    <i>
      <x v="218"/>
      <x/>
      <x v="39"/>
    </i>
    <i>
      <x v="219"/>
      <x/>
      <x v="39"/>
    </i>
    <i>
      <x v="220"/>
      <x/>
      <x v="39"/>
    </i>
    <i>
      <x v="222"/>
      <x v="3"/>
      <x v="39"/>
    </i>
    <i>
      <x v="223"/>
      <x/>
      <x v="4"/>
    </i>
    <i r="1">
      <x v="3"/>
      <x v="39"/>
    </i>
    <i>
      <x v="225"/>
      <x/>
      <x v="2"/>
    </i>
    <i r="2">
      <x v="10"/>
    </i>
    <i>
      <x v="226"/>
      <x/>
      <x v="12"/>
    </i>
    <i r="2">
      <x v="31"/>
    </i>
    <i r="1">
      <x v="5"/>
      <x v="48"/>
    </i>
    <i>
      <x v="228"/>
      <x v="3"/>
      <x v="39"/>
    </i>
    <i>
      <x v="233"/>
      <x/>
      <x v="31"/>
    </i>
    <i>
      <x v="234"/>
      <x/>
      <x v="39"/>
    </i>
    <i r="1">
      <x v="3"/>
      <x v="39"/>
    </i>
    <i>
      <x v="237"/>
      <x/>
      <x v="10"/>
    </i>
    <i r="2">
      <x v="39"/>
    </i>
    <i>
      <x v="238"/>
      <x/>
      <x v="10"/>
    </i>
    <i r="1">
      <x v="3"/>
      <x v="39"/>
    </i>
    <i>
      <x v="240"/>
      <x v="3"/>
      <x v="39"/>
    </i>
    <i>
      <x v="247"/>
      <x v="3"/>
      <x v="39"/>
    </i>
    <i>
      <x v="250"/>
      <x v="3"/>
      <x v="39"/>
    </i>
    <i>
      <x v="253"/>
      <x/>
      <x v="45"/>
    </i>
    <i r="1">
      <x v="4"/>
      <x v="39"/>
    </i>
    <i r="1">
      <x v="5"/>
      <x v="52"/>
    </i>
    <i>
      <x v="254"/>
      <x/>
      <x v="44"/>
    </i>
    <i r="1">
      <x v="3"/>
      <x v="39"/>
    </i>
    <i>
      <x v="255"/>
      <x/>
      <x v="43"/>
    </i>
    <i r="1">
      <x v="4"/>
      <x v="39"/>
    </i>
    <i>
      <x v="258"/>
      <x v="3"/>
      <x v="39"/>
    </i>
    <i>
      <x v="261"/>
      <x v="3"/>
      <x v="39"/>
    </i>
    <i>
      <x v="262"/>
      <x v="3"/>
      <x v="39"/>
    </i>
    <i>
      <x v="263"/>
      <x v="3"/>
      <x v="39"/>
    </i>
    <i>
      <x v="264"/>
      <x v="3"/>
      <x v="39"/>
    </i>
    <i>
      <x v="265"/>
      <x v="3"/>
      <x v="39"/>
    </i>
    <i>
      <x v="266"/>
      <x v="3"/>
      <x v="39"/>
    </i>
    <i>
      <x v="267"/>
      <x/>
      <x v="43"/>
    </i>
    <i r="1">
      <x v="3"/>
      <x v="35"/>
    </i>
    <i r="1">
      <x v="5"/>
      <x v="32"/>
    </i>
    <i>
      <x v="268"/>
      <x/>
      <x v="43"/>
    </i>
    <i r="1">
      <x v="3"/>
      <x v="35"/>
    </i>
    <i r="1">
      <x v="5"/>
      <x v="32"/>
    </i>
    <i>
      <x v="269"/>
      <x/>
      <x v="43"/>
    </i>
    <i r="1">
      <x v="3"/>
      <x v="35"/>
    </i>
    <i r="1">
      <x v="5"/>
      <x v="32"/>
    </i>
    <i>
      <x v="270"/>
      <x/>
      <x v="43"/>
    </i>
    <i r="1">
      <x v="3"/>
      <x v="35"/>
    </i>
    <i r="1">
      <x v="5"/>
      <x v="32"/>
    </i>
    <i>
      <x v="271"/>
      <x/>
      <x v="43"/>
    </i>
    <i r="1">
      <x v="3"/>
      <x v="35"/>
    </i>
    <i r="1">
      <x v="5"/>
      <x v="32"/>
    </i>
    <i>
      <x v="272"/>
      <x v="3"/>
      <x v="39"/>
    </i>
    <i>
      <x v="273"/>
      <x v="3"/>
      <x v="39"/>
    </i>
    <i>
      <x v="275"/>
      <x v="3"/>
      <x v="39"/>
    </i>
    <i>
      <x v="276"/>
      <x v="3"/>
      <x v="39"/>
    </i>
    <i>
      <x v="277"/>
      <x/>
      <x v="5"/>
    </i>
    <i r="1">
      <x v="2"/>
      <x v="29"/>
    </i>
    <i r="1">
      <x v="5"/>
      <x v="51"/>
    </i>
    <i>
      <x v="278"/>
      <x/>
      <x v="39"/>
    </i>
    <i>
      <x v="286"/>
      <x/>
      <x v="13"/>
    </i>
    <i>
      <x v="288"/>
      <x v="3"/>
      <x v="39"/>
    </i>
    <i>
      <x v="292"/>
      <x v="3"/>
      <x v="39"/>
    </i>
    <i r="1">
      <x v="5"/>
      <x v="32"/>
    </i>
    <i>
      <x v="294"/>
      <x/>
      <x v="40"/>
    </i>
    <i>
      <x v="295"/>
      <x v="3"/>
      <x v="39"/>
    </i>
    <i>
      <x v="296"/>
      <x/>
      <x v="39"/>
    </i>
    <i>
      <x v="298"/>
      <x v="2"/>
      <x v="25"/>
    </i>
    <i r="1">
      <x v="3"/>
      <x v="39"/>
    </i>
    <i>
      <x v="341"/>
      <x/>
      <x v="39"/>
    </i>
    <i>
      <x v="342"/>
      <x v="3"/>
      <x v="39"/>
    </i>
    <i>
      <x v="343"/>
      <x v="3"/>
      <x v="39"/>
    </i>
    <i>
      <x v="344"/>
      <x v="3"/>
      <x v="39"/>
    </i>
    <i>
      <x v="345"/>
      <x/>
      <x v="10"/>
    </i>
    <i r="2">
      <x v="31"/>
    </i>
    <i r="1">
      <x v="3"/>
      <x v="39"/>
    </i>
    <i>
      <x v="346"/>
      <x/>
      <x v="10"/>
    </i>
    <i r="2">
      <x v="15"/>
    </i>
    <i r="2">
      <x v="40"/>
    </i>
    <i r="1">
      <x v="3"/>
      <x v="39"/>
    </i>
    <i>
      <x v="347"/>
      <x v="3"/>
      <x v="39"/>
    </i>
    <i>
      <x v="348"/>
      <x/>
      <x v="19"/>
    </i>
    <i r="2">
      <x v="39"/>
    </i>
    <i>
      <x v="349"/>
      <x/>
      <x v="6"/>
    </i>
    <i r="2">
      <x v="10"/>
    </i>
    <i r="2">
      <x v="38"/>
    </i>
    <i r="2">
      <x v="39"/>
    </i>
    <i r="1">
      <x v="3"/>
      <x v="39"/>
    </i>
    <i>
      <x v="353"/>
      <x/>
      <x v="5"/>
    </i>
    <i r="1">
      <x v="2"/>
      <x v="30"/>
    </i>
    <i>
      <x v="354"/>
      <x/>
      <x v="40"/>
    </i>
    <i>
      <x v="355"/>
      <x v="3"/>
      <x v="39"/>
    </i>
    <i>
      <x v="360"/>
      <x v="2"/>
      <x v="25"/>
    </i>
    <i r="1">
      <x v="4"/>
      <x v="39"/>
    </i>
    <i>
      <x v="361"/>
      <x v="3"/>
      <x v="39"/>
    </i>
    <i>
      <x v="396"/>
      <x/>
      <x v="39"/>
    </i>
    <i>
      <x v="397"/>
      <x/>
      <x v="22"/>
    </i>
    <i>
      <x v="398"/>
      <x v="3"/>
      <x v="35"/>
    </i>
    <i r="2">
      <x v="39"/>
    </i>
    <i r="1">
      <x v="5"/>
      <x v="32"/>
    </i>
    <i>
      <x v="401"/>
      <x v="4"/>
      <x v="39"/>
    </i>
    <i>
      <x v="402"/>
      <x v="4"/>
      <x v="39"/>
    </i>
    <i>
      <x v="403"/>
      <x v="4"/>
      <x v="39"/>
    </i>
    <i>
      <x v="404"/>
      <x v="4"/>
      <x v="39"/>
    </i>
    <i>
      <x v="405"/>
      <x v="4"/>
      <x v="39"/>
    </i>
    <i>
      <x v="406"/>
      <x v="4"/>
      <x v="39"/>
    </i>
    <i>
      <x v="407"/>
      <x v="3"/>
      <x v="39"/>
    </i>
    <i>
      <x v="408"/>
      <x/>
      <x/>
    </i>
    <i r="1">
      <x v="3"/>
      <x v="39"/>
    </i>
    <i>
      <x v="410"/>
      <x v="3"/>
      <x v="35"/>
    </i>
    <i r="2">
      <x v="39"/>
    </i>
    <i r="1">
      <x v="5"/>
      <x v="32"/>
    </i>
    <i>
      <x v="413"/>
      <x v="2"/>
      <x v="25"/>
    </i>
    <i>
      <x v="441"/>
      <x/>
      <x v="22"/>
    </i>
    <i>
      <x v="474"/>
      <x/>
      <x v="22"/>
    </i>
    <i>
      <x v="476"/>
      <x/>
      <x v="10"/>
    </i>
    <i r="2">
      <x v="39"/>
    </i>
    <i>
      <x v="477"/>
      <x/>
      <x v="6"/>
    </i>
    <i r="2">
      <x v="7"/>
    </i>
    <i r="2">
      <x v="10"/>
    </i>
    <i r="2">
      <x v="36"/>
    </i>
    <i r="1">
      <x v="3"/>
      <x v="36"/>
    </i>
    <i>
      <x v="478"/>
      <x/>
      <x v="6"/>
    </i>
    <i r="2">
      <x v="10"/>
    </i>
    <i r="2">
      <x v="36"/>
    </i>
    <i>
      <x v="485"/>
      <x/>
      <x v="10"/>
    </i>
    <i r="2">
      <x v="15"/>
    </i>
    <i r="1">
      <x v="3"/>
      <x v="37"/>
    </i>
    <i>
      <x v="487"/>
      <x v="2"/>
      <x v="20"/>
    </i>
    <i r="1">
      <x v="3"/>
      <x v="39"/>
    </i>
    <i>
      <x v="489"/>
      <x v="3"/>
      <x v="39"/>
    </i>
    <i>
      <x v="490"/>
      <x/>
      <x v="10"/>
    </i>
    <i r="2">
      <x v="39"/>
    </i>
    <i>
      <x v="491"/>
      <x/>
      <x v="35"/>
    </i>
    <i r="1">
      <x v="3"/>
      <x v="39"/>
    </i>
    <i>
      <x v="498"/>
      <x/>
      <x v="22"/>
    </i>
    <i>
      <x v="506"/>
      <x v="3"/>
      <x v="39"/>
    </i>
    <i>
      <x v="511"/>
      <x v="2"/>
      <x v="28"/>
    </i>
    <i r="1">
      <x v="3"/>
      <x v="39"/>
    </i>
    <i>
      <x v="512"/>
      <x v="3"/>
      <x v="39"/>
    </i>
    <i>
      <x v="513"/>
      <x v="3"/>
      <x v="39"/>
    </i>
    <i>
      <x v="514"/>
      <x v="2"/>
      <x v="25"/>
    </i>
    <i r="1">
      <x v="3"/>
      <x v="39"/>
    </i>
    <i>
      <x v="517"/>
      <x v="3"/>
      <x v="39"/>
    </i>
    <i>
      <x v="528"/>
      <x/>
      <x v="34"/>
    </i>
    <i>
      <x v="530"/>
      <x v="3"/>
      <x v="39"/>
    </i>
    <i>
      <x v="540"/>
      <x/>
      <x v="2"/>
    </i>
    <i r="1">
      <x v="4"/>
      <x v="39"/>
    </i>
    <i>
      <x v="541"/>
      <x v="3"/>
      <x v="39"/>
    </i>
    <i>
      <x v="545"/>
      <x/>
      <x v="39"/>
    </i>
    <i>
      <x v="548"/>
      <x v="3"/>
      <x v="39"/>
    </i>
    <i>
      <x v="549"/>
      <x/>
      <x v="44"/>
    </i>
    <i>
      <x v="550"/>
      <x v="5"/>
      <x v="52"/>
    </i>
    <i>
      <x v="551"/>
      <x v="5"/>
      <x v="52"/>
    </i>
    <i>
      <x v="552"/>
      <x v="5"/>
      <x v="52"/>
    </i>
    <i>
      <x v="553"/>
      <x v="5"/>
      <x v="52"/>
    </i>
    <i>
      <x v="554"/>
      <x v="5"/>
      <x v="52"/>
    </i>
  </rowItems>
  <colItems count="1">
    <i/>
  </colItems>
  <pageFields count="2">
    <pageField fld="2" item="0" hier="-1"/>
    <pageField fld="9" hier="-1"/>
  </pageFields>
  <formats count="1160">
    <format dxfId="1200">
      <pivotArea type="all" dataOnly="0" outline="0" fieldPosition="0"/>
    </format>
    <format dxfId="1199">
      <pivotArea field="0" type="button" dataOnly="0" labelOnly="1" outline="0" axis="axisRow" fieldPosition="0"/>
    </format>
    <format dxfId="1198">
      <pivotArea field="9" type="button" dataOnly="0" labelOnly="1" outline="0" axis="axisPage" fieldPosition="1"/>
    </format>
    <format dxfId="1197">
      <pivotArea dataOnly="0" labelOnly="1" outline="0" fieldPosition="0">
        <references count="1">
          <reference field="0" count="50">
            <x v="0"/>
            <x v="1"/>
            <x v="2"/>
            <x v="3"/>
            <x v="5"/>
            <x v="6"/>
            <x v="7"/>
            <x v="8"/>
            <x v="9"/>
            <x v="11"/>
            <x v="12"/>
            <x v="13"/>
            <x v="15"/>
            <x v="16"/>
            <x v="17"/>
            <x v="18"/>
            <x v="20"/>
            <x v="21"/>
            <x v="22"/>
            <x v="23"/>
            <x v="24"/>
            <x v="25"/>
            <x v="27"/>
            <x v="28"/>
            <x v="29"/>
            <x v="31"/>
            <x v="32"/>
            <x v="33"/>
            <x v="34"/>
            <x v="35"/>
            <x v="36"/>
            <x v="37"/>
            <x v="38"/>
            <x v="39"/>
            <x v="40"/>
            <x v="41"/>
            <x v="42"/>
            <x v="43"/>
            <x v="44"/>
            <x v="45"/>
            <x v="46"/>
            <x v="47"/>
            <x v="48"/>
            <x v="49"/>
            <x v="50"/>
            <x v="51"/>
            <x v="52"/>
            <x v="53"/>
            <x v="54"/>
            <x v="55"/>
          </reference>
        </references>
      </pivotArea>
    </format>
    <format dxfId="1196">
      <pivotArea dataOnly="0" labelOnly="1" outline="0" fieldPosition="0">
        <references count="1">
          <reference field="0" count="50">
            <x v="56"/>
            <x v="58"/>
            <x v="59"/>
            <x v="60"/>
            <x v="61"/>
            <x v="62"/>
            <x v="63"/>
            <x v="65"/>
            <x v="66"/>
            <x v="67"/>
            <x v="68"/>
            <x v="69"/>
            <x v="70"/>
            <x v="71"/>
            <x v="72"/>
            <x v="73"/>
            <x v="74"/>
            <x v="75"/>
            <x v="76"/>
            <x v="77"/>
            <x v="78"/>
            <x v="79"/>
            <x v="80"/>
            <x v="81"/>
            <x v="82"/>
            <x v="90"/>
            <x v="91"/>
            <x v="92"/>
            <x v="93"/>
            <x v="94"/>
            <x v="95"/>
            <x v="96"/>
            <x v="97"/>
            <x v="98"/>
            <x v="99"/>
            <x v="100"/>
            <x v="101"/>
            <x v="105"/>
            <x v="106"/>
            <x v="110"/>
            <x v="116"/>
            <x v="117"/>
            <x v="118"/>
            <x v="119"/>
            <x v="122"/>
            <x v="123"/>
            <x v="125"/>
            <x v="126"/>
            <x v="127"/>
            <x v="128"/>
          </reference>
        </references>
      </pivotArea>
    </format>
    <format dxfId="1195">
      <pivotArea dataOnly="0" labelOnly="1" outline="0" fieldPosition="0">
        <references count="1">
          <reference field="0" count="50">
            <x v="129"/>
            <x v="130"/>
            <x v="131"/>
            <x v="132"/>
            <x v="133"/>
            <x v="134"/>
            <x v="135"/>
            <x v="136"/>
            <x v="137"/>
            <x v="139"/>
            <x v="141"/>
            <x v="142"/>
            <x v="144"/>
            <x v="147"/>
            <x v="148"/>
            <x v="149"/>
            <x v="150"/>
            <x v="151"/>
            <x v="152"/>
            <x v="153"/>
            <x v="154"/>
            <x v="155"/>
            <x v="156"/>
            <x v="157"/>
            <x v="158"/>
            <x v="159"/>
            <x v="160"/>
            <x v="162"/>
            <x v="163"/>
            <x v="164"/>
            <x v="165"/>
            <x v="166"/>
            <x v="167"/>
            <x v="168"/>
            <x v="169"/>
            <x v="170"/>
            <x v="172"/>
            <x v="173"/>
            <x v="174"/>
            <x v="175"/>
            <x v="177"/>
            <x v="178"/>
            <x v="179"/>
            <x v="180"/>
            <x v="183"/>
            <x v="184"/>
            <x v="185"/>
            <x v="186"/>
            <x v="187"/>
            <x v="189"/>
          </reference>
        </references>
      </pivotArea>
    </format>
    <format dxfId="1194">
      <pivotArea dataOnly="0" labelOnly="1" outline="0" fieldPosition="0">
        <references count="1">
          <reference field="0" count="50">
            <x v="190"/>
            <x v="197"/>
            <x v="198"/>
            <x v="200"/>
            <x v="202"/>
            <x v="203"/>
            <x v="206"/>
            <x v="207"/>
            <x v="209"/>
            <x v="211"/>
            <x v="216"/>
            <x v="217"/>
            <x v="218"/>
            <x v="219"/>
            <x v="220"/>
            <x v="222"/>
            <x v="223"/>
            <x v="224"/>
            <x v="225"/>
            <x v="226"/>
            <x v="228"/>
            <x v="229"/>
            <x v="233"/>
            <x v="234"/>
            <x v="237"/>
            <x v="238"/>
            <x v="240"/>
            <x v="241"/>
            <x v="244"/>
            <x v="245"/>
            <x v="247"/>
            <x v="250"/>
            <x v="253"/>
            <x v="254"/>
            <x v="255"/>
            <x v="258"/>
            <x v="259"/>
            <x v="261"/>
            <x v="262"/>
            <x v="263"/>
            <x v="264"/>
            <x v="265"/>
            <x v="266"/>
            <x v="267"/>
            <x v="268"/>
            <x v="269"/>
            <x v="270"/>
            <x v="271"/>
            <x v="272"/>
            <x v="273"/>
          </reference>
        </references>
      </pivotArea>
    </format>
    <format dxfId="1193">
      <pivotArea dataOnly="0" labelOnly="1" outline="0" fieldPosition="0">
        <references count="1">
          <reference field="0" count="50">
            <x v="275"/>
            <x v="276"/>
            <x v="277"/>
            <x v="278"/>
            <x v="282"/>
            <x v="283"/>
            <x v="284"/>
            <x v="285"/>
            <x v="286"/>
            <x v="288"/>
            <x v="289"/>
            <x v="290"/>
            <x v="292"/>
            <x v="293"/>
            <x v="294"/>
            <x v="295"/>
            <x v="296"/>
            <x v="298"/>
            <x v="299"/>
            <x v="302"/>
            <x v="303"/>
            <x v="304"/>
            <x v="305"/>
            <x v="306"/>
            <x v="307"/>
            <x v="308"/>
            <x v="309"/>
            <x v="310"/>
            <x v="311"/>
            <x v="312"/>
            <x v="313"/>
            <x v="314"/>
            <x v="315"/>
            <x v="316"/>
            <x v="317"/>
            <x v="318"/>
            <x v="319"/>
            <x v="320"/>
            <x v="321"/>
            <x v="322"/>
            <x v="323"/>
            <x v="324"/>
            <x v="325"/>
            <x v="326"/>
            <x v="327"/>
            <x v="328"/>
            <x v="329"/>
            <x v="330"/>
            <x v="331"/>
            <x v="332"/>
          </reference>
        </references>
      </pivotArea>
    </format>
    <format dxfId="1192">
      <pivotArea dataOnly="0" labelOnly="1" outline="0" fieldPosition="0">
        <references count="1">
          <reference field="0" count="50">
            <x v="333"/>
            <x v="334"/>
            <x v="335"/>
            <x v="336"/>
            <x v="337"/>
            <x v="338"/>
            <x v="339"/>
            <x v="341"/>
            <x v="342"/>
            <x v="343"/>
            <x v="344"/>
            <x v="345"/>
            <x v="346"/>
            <x v="347"/>
            <x v="348"/>
            <x v="349"/>
            <x v="350"/>
            <x v="351"/>
            <x v="353"/>
            <x v="354"/>
            <x v="355"/>
            <x v="357"/>
            <x v="358"/>
            <x v="359"/>
            <x v="360"/>
            <x v="361"/>
            <x v="362"/>
            <x v="363"/>
            <x v="364"/>
            <x v="365"/>
            <x v="366"/>
            <x v="367"/>
            <x v="368"/>
            <x v="369"/>
            <x v="370"/>
            <x v="371"/>
            <x v="372"/>
            <x v="373"/>
            <x v="374"/>
            <x v="375"/>
            <x v="376"/>
            <x v="377"/>
            <x v="378"/>
            <x v="379"/>
            <x v="380"/>
            <x v="381"/>
            <x v="382"/>
            <x v="383"/>
            <x v="384"/>
            <x v="385"/>
          </reference>
        </references>
      </pivotArea>
    </format>
    <format dxfId="1191">
      <pivotArea dataOnly="0" labelOnly="1" outline="0" fieldPosition="0">
        <references count="1">
          <reference field="0" count="50">
            <x v="386"/>
            <x v="387"/>
            <x v="388"/>
            <x v="389"/>
            <x v="390"/>
            <x v="391"/>
            <x v="392"/>
            <x v="393"/>
            <x v="394"/>
            <x v="395"/>
            <x v="396"/>
            <x v="397"/>
            <x v="398"/>
            <x v="399"/>
            <x v="400"/>
            <x v="401"/>
            <x v="402"/>
            <x v="403"/>
            <x v="404"/>
            <x v="405"/>
            <x v="406"/>
            <x v="407"/>
            <x v="408"/>
            <x v="409"/>
            <x v="410"/>
            <x v="411"/>
            <x v="412"/>
            <x v="413"/>
            <x v="414"/>
            <x v="416"/>
            <x v="417"/>
            <x v="418"/>
            <x v="419"/>
            <x v="420"/>
            <x v="421"/>
            <x v="422"/>
            <x v="423"/>
            <x v="424"/>
            <x v="425"/>
            <x v="426"/>
            <x v="427"/>
            <x v="428"/>
            <x v="429"/>
            <x v="430"/>
            <x v="431"/>
            <x v="432"/>
            <x v="433"/>
            <x v="434"/>
            <x v="435"/>
            <x v="436"/>
          </reference>
        </references>
      </pivotArea>
    </format>
    <format dxfId="1190">
      <pivotArea dataOnly="0" labelOnly="1" outline="0" fieldPosition="0">
        <references count="1">
          <reference field="0" count="50">
            <x v="437"/>
            <x v="438"/>
            <x v="439"/>
            <x v="440"/>
            <x v="441"/>
            <x v="442"/>
            <x v="443"/>
            <x v="444"/>
            <x v="445"/>
            <x v="446"/>
            <x v="447"/>
            <x v="448"/>
            <x v="449"/>
            <x v="450"/>
            <x v="451"/>
            <x v="452"/>
            <x v="453"/>
            <x v="454"/>
            <x v="455"/>
            <x v="456"/>
            <x v="457"/>
            <x v="458"/>
            <x v="459"/>
            <x v="460"/>
            <x v="461"/>
            <x v="462"/>
            <x v="463"/>
            <x v="464"/>
            <x v="465"/>
            <x v="466"/>
            <x v="467"/>
            <x v="468"/>
            <x v="469"/>
            <x v="470"/>
            <x v="471"/>
            <x v="472"/>
            <x v="473"/>
            <x v="474"/>
            <x v="476"/>
            <x v="477"/>
            <x v="478"/>
            <x v="479"/>
            <x v="480"/>
            <x v="484"/>
            <x v="485"/>
            <x v="487"/>
            <x v="489"/>
            <x v="490"/>
            <x v="491"/>
            <x v="498"/>
          </reference>
        </references>
      </pivotArea>
    </format>
    <format dxfId="1189">
      <pivotArea dataOnly="0" labelOnly="1" outline="0" fieldPosition="0">
        <references count="1">
          <reference field="0" count="32">
            <x v="500"/>
            <x v="506"/>
            <x v="510"/>
            <x v="511"/>
            <x v="512"/>
            <x v="513"/>
            <x v="514"/>
            <x v="517"/>
            <x v="520"/>
            <x v="521"/>
            <x v="522"/>
            <x v="523"/>
            <x v="524"/>
            <x v="525"/>
            <x v="526"/>
            <x v="527"/>
            <x v="528"/>
            <x v="529"/>
            <x v="530"/>
            <x v="532"/>
            <x v="534"/>
            <x v="535"/>
            <x v="536"/>
            <x v="537"/>
            <x v="538"/>
            <x v="539"/>
            <x v="540"/>
            <x v="541"/>
            <x v="545"/>
            <x v="547"/>
            <x v="548"/>
            <x v="549"/>
          </reference>
        </references>
      </pivotArea>
    </format>
    <format dxfId="1188">
      <pivotArea dataOnly="0" labelOnly="1" outline="0" fieldPosition="0">
        <references count="2">
          <reference field="0" count="1" selected="0">
            <x v="0"/>
          </reference>
          <reference field="9" count="1">
            <x v="0"/>
          </reference>
        </references>
      </pivotArea>
    </format>
    <format dxfId="1187">
      <pivotArea dataOnly="0" labelOnly="1" outline="0" fieldPosition="0">
        <references count="2">
          <reference field="0" count="1" selected="0">
            <x v="1"/>
          </reference>
          <reference field="9" count="1">
            <x v="0"/>
          </reference>
        </references>
      </pivotArea>
    </format>
    <format dxfId="1186">
      <pivotArea dataOnly="0" labelOnly="1" outline="0" fieldPosition="0">
        <references count="2">
          <reference field="0" count="1" selected="0">
            <x v="2"/>
          </reference>
          <reference field="9" count="1">
            <x v="0"/>
          </reference>
        </references>
      </pivotArea>
    </format>
    <format dxfId="1185">
      <pivotArea dataOnly="0" labelOnly="1" outline="0" fieldPosition="0">
        <references count="2">
          <reference field="0" count="1" selected="0">
            <x v="3"/>
          </reference>
          <reference field="9" count="1">
            <x v="1"/>
          </reference>
        </references>
      </pivotArea>
    </format>
    <format dxfId="1184">
      <pivotArea dataOnly="0" labelOnly="1" outline="0" fieldPosition="0">
        <references count="2">
          <reference field="0" count="1" selected="0">
            <x v="5"/>
          </reference>
          <reference field="9" count="1">
            <x v="0"/>
          </reference>
        </references>
      </pivotArea>
    </format>
    <format dxfId="1183">
      <pivotArea dataOnly="0" labelOnly="1" outline="0" fieldPosition="0">
        <references count="2">
          <reference field="0" count="1" selected="0">
            <x v="6"/>
          </reference>
          <reference field="9" count="1">
            <x v="0"/>
          </reference>
        </references>
      </pivotArea>
    </format>
    <format dxfId="1182">
      <pivotArea dataOnly="0" labelOnly="1" outline="0" fieldPosition="0">
        <references count="2">
          <reference field="0" count="1" selected="0">
            <x v="7"/>
          </reference>
          <reference field="9" count="1">
            <x v="0"/>
          </reference>
        </references>
      </pivotArea>
    </format>
    <format dxfId="1181">
      <pivotArea dataOnly="0" labelOnly="1" outline="0" fieldPosition="0">
        <references count="2">
          <reference field="0" count="1" selected="0">
            <x v="8"/>
          </reference>
          <reference field="9" count="1">
            <x v="0"/>
          </reference>
        </references>
      </pivotArea>
    </format>
    <format dxfId="1180">
      <pivotArea dataOnly="0" labelOnly="1" outline="0" fieldPosition="0">
        <references count="2">
          <reference field="0" count="1" selected="0">
            <x v="9"/>
          </reference>
          <reference field="9" count="1">
            <x v="0"/>
          </reference>
        </references>
      </pivotArea>
    </format>
    <format dxfId="1179">
      <pivotArea dataOnly="0" labelOnly="1" outline="0" fieldPosition="0">
        <references count="2">
          <reference field="0" count="1" selected="0">
            <x v="11"/>
          </reference>
          <reference field="9" count="1">
            <x v="1"/>
          </reference>
        </references>
      </pivotArea>
    </format>
    <format dxfId="1178">
      <pivotArea dataOnly="0" labelOnly="1" outline="0" fieldPosition="0">
        <references count="2">
          <reference field="0" count="1" selected="0">
            <x v="12"/>
          </reference>
          <reference field="9" count="1">
            <x v="0"/>
          </reference>
        </references>
      </pivotArea>
    </format>
    <format dxfId="1177">
      <pivotArea dataOnly="0" labelOnly="1" outline="0" fieldPosition="0">
        <references count="2">
          <reference field="0" count="1" selected="0">
            <x v="13"/>
          </reference>
          <reference field="9" count="1">
            <x v="0"/>
          </reference>
        </references>
      </pivotArea>
    </format>
    <format dxfId="1176">
      <pivotArea dataOnly="0" labelOnly="1" outline="0" fieldPosition="0">
        <references count="2">
          <reference field="0" count="1" selected="0">
            <x v="15"/>
          </reference>
          <reference field="9" count="1">
            <x v="0"/>
          </reference>
        </references>
      </pivotArea>
    </format>
    <format dxfId="1175">
      <pivotArea dataOnly="0" labelOnly="1" outline="0" fieldPosition="0">
        <references count="2">
          <reference field="0" count="1" selected="0">
            <x v="16"/>
          </reference>
          <reference field="9" count="1">
            <x v="1"/>
          </reference>
        </references>
      </pivotArea>
    </format>
    <format dxfId="1174">
      <pivotArea dataOnly="0" labelOnly="1" outline="0" fieldPosition="0">
        <references count="2">
          <reference field="0" count="1" selected="0">
            <x v="17"/>
          </reference>
          <reference field="9" count="1">
            <x v="1"/>
          </reference>
        </references>
      </pivotArea>
    </format>
    <format dxfId="1173">
      <pivotArea dataOnly="0" labelOnly="1" outline="0" fieldPosition="0">
        <references count="2">
          <reference field="0" count="1" selected="0">
            <x v="18"/>
          </reference>
          <reference field="9" count="1">
            <x v="0"/>
          </reference>
        </references>
      </pivotArea>
    </format>
    <format dxfId="1172">
      <pivotArea dataOnly="0" labelOnly="1" outline="0" fieldPosition="0">
        <references count="2">
          <reference field="0" count="1" selected="0">
            <x v="20"/>
          </reference>
          <reference field="9" count="1">
            <x v="0"/>
          </reference>
        </references>
      </pivotArea>
    </format>
    <format dxfId="1171">
      <pivotArea dataOnly="0" labelOnly="1" outline="0" fieldPosition="0">
        <references count="2">
          <reference field="0" count="1" selected="0">
            <x v="21"/>
          </reference>
          <reference field="9" count="1">
            <x v="1"/>
          </reference>
        </references>
      </pivotArea>
    </format>
    <format dxfId="1170">
      <pivotArea dataOnly="0" labelOnly="1" outline="0" fieldPosition="0">
        <references count="2">
          <reference field="0" count="1" selected="0">
            <x v="22"/>
          </reference>
          <reference field="9" count="1">
            <x v="0"/>
          </reference>
        </references>
      </pivotArea>
    </format>
    <format dxfId="1169">
      <pivotArea dataOnly="0" labelOnly="1" outline="0" fieldPosition="0">
        <references count="2">
          <reference field="0" count="1" selected="0">
            <x v="23"/>
          </reference>
          <reference field="9" count="1">
            <x v="1"/>
          </reference>
        </references>
      </pivotArea>
    </format>
    <format dxfId="1168">
      <pivotArea dataOnly="0" labelOnly="1" outline="0" fieldPosition="0">
        <references count="2">
          <reference field="0" count="1" selected="0">
            <x v="24"/>
          </reference>
          <reference field="9" count="1">
            <x v="1"/>
          </reference>
        </references>
      </pivotArea>
    </format>
    <format dxfId="1167">
      <pivotArea dataOnly="0" labelOnly="1" outline="0" fieldPosition="0">
        <references count="2">
          <reference field="0" count="1" selected="0">
            <x v="25"/>
          </reference>
          <reference field="9" count="1">
            <x v="0"/>
          </reference>
        </references>
      </pivotArea>
    </format>
    <format dxfId="1166">
      <pivotArea dataOnly="0" labelOnly="1" outline="0" fieldPosition="0">
        <references count="2">
          <reference field="0" count="1" selected="0">
            <x v="27"/>
          </reference>
          <reference field="9" count="1">
            <x v="0"/>
          </reference>
        </references>
      </pivotArea>
    </format>
    <format dxfId="1165">
      <pivotArea dataOnly="0" labelOnly="1" outline="0" fieldPosition="0">
        <references count="2">
          <reference field="0" count="1" selected="0">
            <x v="28"/>
          </reference>
          <reference field="9" count="1">
            <x v="0"/>
          </reference>
        </references>
      </pivotArea>
    </format>
    <format dxfId="1164">
      <pivotArea dataOnly="0" labelOnly="1" outline="0" fieldPosition="0">
        <references count="2">
          <reference field="0" count="1" selected="0">
            <x v="29"/>
          </reference>
          <reference field="9" count="1">
            <x v="0"/>
          </reference>
        </references>
      </pivotArea>
    </format>
    <format dxfId="1163">
      <pivotArea dataOnly="0" labelOnly="1" outline="0" fieldPosition="0">
        <references count="2">
          <reference field="0" count="1" selected="0">
            <x v="31"/>
          </reference>
          <reference field="9" count="1">
            <x v="0"/>
          </reference>
        </references>
      </pivotArea>
    </format>
    <format dxfId="1162">
      <pivotArea dataOnly="0" labelOnly="1" outline="0" fieldPosition="0">
        <references count="2">
          <reference field="0" count="1" selected="0">
            <x v="32"/>
          </reference>
          <reference field="9" count="1">
            <x v="0"/>
          </reference>
        </references>
      </pivotArea>
    </format>
    <format dxfId="1161">
      <pivotArea dataOnly="0" labelOnly="1" outline="0" fieldPosition="0">
        <references count="2">
          <reference field="0" count="1" selected="0">
            <x v="33"/>
          </reference>
          <reference field="9" count="1">
            <x v="0"/>
          </reference>
        </references>
      </pivotArea>
    </format>
    <format dxfId="1160">
      <pivotArea dataOnly="0" labelOnly="1" outline="0" fieldPosition="0">
        <references count="2">
          <reference field="0" count="1" selected="0">
            <x v="34"/>
          </reference>
          <reference field="9" count="1">
            <x v="0"/>
          </reference>
        </references>
      </pivotArea>
    </format>
    <format dxfId="1159">
      <pivotArea dataOnly="0" labelOnly="1" outline="0" fieldPosition="0">
        <references count="2">
          <reference field="0" count="1" selected="0">
            <x v="35"/>
          </reference>
          <reference field="9" count="1">
            <x v="1"/>
          </reference>
        </references>
      </pivotArea>
    </format>
    <format dxfId="1158">
      <pivotArea dataOnly="0" labelOnly="1" outline="0" fieldPosition="0">
        <references count="2">
          <reference field="0" count="1" selected="0">
            <x v="36"/>
          </reference>
          <reference field="9" count="1">
            <x v="0"/>
          </reference>
        </references>
      </pivotArea>
    </format>
    <format dxfId="1157">
      <pivotArea dataOnly="0" labelOnly="1" outline="0" fieldPosition="0">
        <references count="2">
          <reference field="0" count="1" selected="0">
            <x v="37"/>
          </reference>
          <reference field="9" count="1">
            <x v="1"/>
          </reference>
        </references>
      </pivotArea>
    </format>
    <format dxfId="1156">
      <pivotArea dataOnly="0" labelOnly="1" outline="0" fieldPosition="0">
        <references count="2">
          <reference field="0" count="1" selected="0">
            <x v="38"/>
          </reference>
          <reference field="9" count="1">
            <x v="0"/>
          </reference>
        </references>
      </pivotArea>
    </format>
    <format dxfId="1155">
      <pivotArea dataOnly="0" labelOnly="1" outline="0" fieldPosition="0">
        <references count="2">
          <reference field="0" count="1" selected="0">
            <x v="39"/>
          </reference>
          <reference field="9" count="1">
            <x v="1"/>
          </reference>
        </references>
      </pivotArea>
    </format>
    <format dxfId="1154">
      <pivotArea dataOnly="0" labelOnly="1" outline="0" fieldPosition="0">
        <references count="2">
          <reference field="0" count="1" selected="0">
            <x v="40"/>
          </reference>
          <reference field="9" count="1">
            <x v="0"/>
          </reference>
        </references>
      </pivotArea>
    </format>
    <format dxfId="1153">
      <pivotArea dataOnly="0" labelOnly="1" outline="0" fieldPosition="0">
        <references count="2">
          <reference field="0" count="1" selected="0">
            <x v="41"/>
          </reference>
          <reference field="9" count="1">
            <x v="1"/>
          </reference>
        </references>
      </pivotArea>
    </format>
    <format dxfId="1152">
      <pivotArea dataOnly="0" labelOnly="1" outline="0" fieldPosition="0">
        <references count="2">
          <reference field="0" count="1" selected="0">
            <x v="42"/>
          </reference>
          <reference field="9" count="1">
            <x v="1"/>
          </reference>
        </references>
      </pivotArea>
    </format>
    <format dxfId="1151">
      <pivotArea dataOnly="0" labelOnly="1" outline="0" fieldPosition="0">
        <references count="2">
          <reference field="0" count="1" selected="0">
            <x v="43"/>
          </reference>
          <reference field="9" count="1">
            <x v="1"/>
          </reference>
        </references>
      </pivotArea>
    </format>
    <format dxfId="1150">
      <pivotArea dataOnly="0" labelOnly="1" outline="0" fieldPosition="0">
        <references count="2">
          <reference field="0" count="1" selected="0">
            <x v="44"/>
          </reference>
          <reference field="9" count="1">
            <x v="1"/>
          </reference>
        </references>
      </pivotArea>
    </format>
    <format dxfId="1149">
      <pivotArea dataOnly="0" labelOnly="1" outline="0" fieldPosition="0">
        <references count="2">
          <reference field="0" count="1" selected="0">
            <x v="45"/>
          </reference>
          <reference field="9" count="1">
            <x v="1"/>
          </reference>
        </references>
      </pivotArea>
    </format>
    <format dxfId="1148">
      <pivotArea dataOnly="0" labelOnly="1" outline="0" fieldPosition="0">
        <references count="2">
          <reference field="0" count="1" selected="0">
            <x v="46"/>
          </reference>
          <reference field="9" count="1">
            <x v="1"/>
          </reference>
        </references>
      </pivotArea>
    </format>
    <format dxfId="1147">
      <pivotArea dataOnly="0" labelOnly="1" outline="0" fieldPosition="0">
        <references count="2">
          <reference field="0" count="1" selected="0">
            <x v="47"/>
          </reference>
          <reference field="9" count="1">
            <x v="1"/>
          </reference>
        </references>
      </pivotArea>
    </format>
    <format dxfId="1146">
      <pivotArea dataOnly="0" labelOnly="1" outline="0" fieldPosition="0">
        <references count="2">
          <reference field="0" count="1" selected="0">
            <x v="48"/>
          </reference>
          <reference field="9" count="1">
            <x v="1"/>
          </reference>
        </references>
      </pivotArea>
    </format>
    <format dxfId="1145">
      <pivotArea dataOnly="0" labelOnly="1" outline="0" fieldPosition="0">
        <references count="2">
          <reference field="0" count="1" selected="0">
            <x v="49"/>
          </reference>
          <reference field="9" count="1">
            <x v="1"/>
          </reference>
        </references>
      </pivotArea>
    </format>
    <format dxfId="1144">
      <pivotArea dataOnly="0" labelOnly="1" outline="0" fieldPosition="0">
        <references count="2">
          <reference field="0" count="1" selected="0">
            <x v="50"/>
          </reference>
          <reference field="9" count="1">
            <x v="0"/>
          </reference>
        </references>
      </pivotArea>
    </format>
    <format dxfId="1143">
      <pivotArea dataOnly="0" labelOnly="1" outline="0" fieldPosition="0">
        <references count="2">
          <reference field="0" count="1" selected="0">
            <x v="51"/>
          </reference>
          <reference field="9" count="1">
            <x v="1"/>
          </reference>
        </references>
      </pivotArea>
    </format>
    <format dxfId="1142">
      <pivotArea dataOnly="0" labelOnly="1" outline="0" fieldPosition="0">
        <references count="2">
          <reference field="0" count="1" selected="0">
            <x v="52"/>
          </reference>
          <reference field="9" count="1">
            <x v="0"/>
          </reference>
        </references>
      </pivotArea>
    </format>
    <format dxfId="1141">
      <pivotArea dataOnly="0" labelOnly="1" outline="0" fieldPosition="0">
        <references count="2">
          <reference field="0" count="1" selected="0">
            <x v="53"/>
          </reference>
          <reference field="9" count="1">
            <x v="1"/>
          </reference>
        </references>
      </pivotArea>
    </format>
    <format dxfId="1140">
      <pivotArea dataOnly="0" labelOnly="1" outline="0" fieldPosition="0">
        <references count="2">
          <reference field="0" count="1" selected="0">
            <x v="54"/>
          </reference>
          <reference field="9" count="1">
            <x v="0"/>
          </reference>
        </references>
      </pivotArea>
    </format>
    <format dxfId="1139">
      <pivotArea dataOnly="0" labelOnly="1" outline="0" fieldPosition="0">
        <references count="2">
          <reference field="0" count="1" selected="0">
            <x v="55"/>
          </reference>
          <reference field="9" count="1">
            <x v="0"/>
          </reference>
        </references>
      </pivotArea>
    </format>
    <format dxfId="1138">
      <pivotArea dataOnly="0" labelOnly="1" outline="0" fieldPosition="0">
        <references count="2">
          <reference field="0" count="1" selected="0">
            <x v="56"/>
          </reference>
          <reference field="9" count="1">
            <x v="0"/>
          </reference>
        </references>
      </pivotArea>
    </format>
    <format dxfId="1137">
      <pivotArea dataOnly="0" labelOnly="1" outline="0" fieldPosition="0">
        <references count="2">
          <reference field="0" count="1" selected="0">
            <x v="58"/>
          </reference>
          <reference field="9" count="1">
            <x v="1"/>
          </reference>
        </references>
      </pivotArea>
    </format>
    <format dxfId="1136">
      <pivotArea dataOnly="0" labelOnly="1" outline="0" fieldPosition="0">
        <references count="2">
          <reference field="0" count="1" selected="0">
            <x v="59"/>
          </reference>
          <reference field="9" count="1">
            <x v="0"/>
          </reference>
        </references>
      </pivotArea>
    </format>
    <format dxfId="1135">
      <pivotArea dataOnly="0" labelOnly="1" outline="0" fieldPosition="0">
        <references count="2">
          <reference field="0" count="1" selected="0">
            <x v="60"/>
          </reference>
          <reference field="9" count="1">
            <x v="1"/>
          </reference>
        </references>
      </pivotArea>
    </format>
    <format dxfId="1134">
      <pivotArea dataOnly="0" labelOnly="1" outline="0" fieldPosition="0">
        <references count="2">
          <reference field="0" count="1" selected="0">
            <x v="61"/>
          </reference>
          <reference field="9" count="1">
            <x v="0"/>
          </reference>
        </references>
      </pivotArea>
    </format>
    <format dxfId="1133">
      <pivotArea dataOnly="0" labelOnly="1" outline="0" fieldPosition="0">
        <references count="2">
          <reference field="0" count="1" selected="0">
            <x v="62"/>
          </reference>
          <reference field="9" count="1">
            <x v="0"/>
          </reference>
        </references>
      </pivotArea>
    </format>
    <format dxfId="1132">
      <pivotArea dataOnly="0" labelOnly="1" outline="0" fieldPosition="0">
        <references count="2">
          <reference field="0" count="1" selected="0">
            <x v="63"/>
          </reference>
          <reference field="9" count="1">
            <x v="0"/>
          </reference>
        </references>
      </pivotArea>
    </format>
    <format dxfId="1131">
      <pivotArea dataOnly="0" labelOnly="1" outline="0" fieldPosition="0">
        <references count="2">
          <reference field="0" count="1" selected="0">
            <x v="65"/>
          </reference>
          <reference field="9" count="1">
            <x v="1"/>
          </reference>
        </references>
      </pivotArea>
    </format>
    <format dxfId="1130">
      <pivotArea dataOnly="0" labelOnly="1" outline="0" fieldPosition="0">
        <references count="2">
          <reference field="0" count="1" selected="0">
            <x v="66"/>
          </reference>
          <reference field="9" count="1">
            <x v="0"/>
          </reference>
        </references>
      </pivotArea>
    </format>
    <format dxfId="1129">
      <pivotArea dataOnly="0" labelOnly="1" outline="0" fieldPosition="0">
        <references count="2">
          <reference field="0" count="1" selected="0">
            <x v="67"/>
          </reference>
          <reference field="9" count="1">
            <x v="1"/>
          </reference>
        </references>
      </pivotArea>
    </format>
    <format dxfId="1128">
      <pivotArea dataOnly="0" labelOnly="1" outline="0" fieldPosition="0">
        <references count="2">
          <reference field="0" count="1" selected="0">
            <x v="68"/>
          </reference>
          <reference field="9" count="1">
            <x v="0"/>
          </reference>
        </references>
      </pivotArea>
    </format>
    <format dxfId="1127">
      <pivotArea dataOnly="0" labelOnly="1" outline="0" fieldPosition="0">
        <references count="2">
          <reference field="0" count="1" selected="0">
            <x v="69"/>
          </reference>
          <reference field="9" count="1">
            <x v="1"/>
          </reference>
        </references>
      </pivotArea>
    </format>
    <format dxfId="1126">
      <pivotArea dataOnly="0" labelOnly="1" outline="0" fieldPosition="0">
        <references count="2">
          <reference field="0" count="1" selected="0">
            <x v="70"/>
          </reference>
          <reference field="9" count="1">
            <x v="1"/>
          </reference>
        </references>
      </pivotArea>
    </format>
    <format dxfId="1125">
      <pivotArea dataOnly="0" labelOnly="1" outline="0" fieldPosition="0">
        <references count="2">
          <reference field="0" count="1" selected="0">
            <x v="71"/>
          </reference>
          <reference field="9" count="1">
            <x v="1"/>
          </reference>
        </references>
      </pivotArea>
    </format>
    <format dxfId="1124">
      <pivotArea dataOnly="0" labelOnly="1" outline="0" fieldPosition="0">
        <references count="2">
          <reference field="0" count="1" selected="0">
            <x v="72"/>
          </reference>
          <reference field="9" count="1">
            <x v="0"/>
          </reference>
        </references>
      </pivotArea>
    </format>
    <format dxfId="1123">
      <pivotArea dataOnly="0" labelOnly="1" outline="0" fieldPosition="0">
        <references count="2">
          <reference field="0" count="1" selected="0">
            <x v="73"/>
          </reference>
          <reference field="9" count="1">
            <x v="1"/>
          </reference>
        </references>
      </pivotArea>
    </format>
    <format dxfId="1122">
      <pivotArea dataOnly="0" labelOnly="1" outline="0" fieldPosition="0">
        <references count="2">
          <reference field="0" count="1" selected="0">
            <x v="74"/>
          </reference>
          <reference field="9" count="1">
            <x v="1"/>
          </reference>
        </references>
      </pivotArea>
    </format>
    <format dxfId="1121">
      <pivotArea dataOnly="0" labelOnly="1" outline="0" fieldPosition="0">
        <references count="2">
          <reference field="0" count="1" selected="0">
            <x v="75"/>
          </reference>
          <reference field="9" count="1">
            <x v="1"/>
          </reference>
        </references>
      </pivotArea>
    </format>
    <format dxfId="1120">
      <pivotArea dataOnly="0" labelOnly="1" outline="0" fieldPosition="0">
        <references count="2">
          <reference field="0" count="1" selected="0">
            <x v="76"/>
          </reference>
          <reference field="9" count="1">
            <x v="1"/>
          </reference>
        </references>
      </pivotArea>
    </format>
    <format dxfId="1119">
      <pivotArea dataOnly="0" labelOnly="1" outline="0" fieldPosition="0">
        <references count="2">
          <reference field="0" count="1" selected="0">
            <x v="77"/>
          </reference>
          <reference field="9" count="1">
            <x v="0"/>
          </reference>
        </references>
      </pivotArea>
    </format>
    <format dxfId="1118">
      <pivotArea dataOnly="0" labelOnly="1" outline="0" fieldPosition="0">
        <references count="2">
          <reference field="0" count="1" selected="0">
            <x v="78"/>
          </reference>
          <reference field="9" count="1">
            <x v="0"/>
          </reference>
        </references>
      </pivotArea>
    </format>
    <format dxfId="1117">
      <pivotArea dataOnly="0" labelOnly="1" outline="0" fieldPosition="0">
        <references count="2">
          <reference field="0" count="1" selected="0">
            <x v="79"/>
          </reference>
          <reference field="9" count="1">
            <x v="0"/>
          </reference>
        </references>
      </pivotArea>
    </format>
    <format dxfId="1116">
      <pivotArea dataOnly="0" labelOnly="1" outline="0" fieldPosition="0">
        <references count="2">
          <reference field="0" count="1" selected="0">
            <x v="80"/>
          </reference>
          <reference field="9" count="1">
            <x v="0"/>
          </reference>
        </references>
      </pivotArea>
    </format>
    <format dxfId="1115">
      <pivotArea dataOnly="0" labelOnly="1" outline="0" fieldPosition="0">
        <references count="2">
          <reference field="0" count="1" selected="0">
            <x v="81"/>
          </reference>
          <reference field="9" count="1">
            <x v="1"/>
          </reference>
        </references>
      </pivotArea>
    </format>
    <format dxfId="1114">
      <pivotArea dataOnly="0" labelOnly="1" outline="0" fieldPosition="0">
        <references count="2">
          <reference field="0" count="1" selected="0">
            <x v="82"/>
          </reference>
          <reference field="9" count="1">
            <x v="0"/>
          </reference>
        </references>
      </pivotArea>
    </format>
    <format dxfId="1113">
      <pivotArea dataOnly="0" labelOnly="1" outline="0" fieldPosition="0">
        <references count="2">
          <reference field="0" count="1" selected="0">
            <x v="90"/>
          </reference>
          <reference field="9" count="1">
            <x v="1"/>
          </reference>
        </references>
      </pivotArea>
    </format>
    <format dxfId="1112">
      <pivotArea dataOnly="0" labelOnly="1" outline="0" fieldPosition="0">
        <references count="2">
          <reference field="0" count="1" selected="0">
            <x v="91"/>
          </reference>
          <reference field="9" count="1">
            <x v="1"/>
          </reference>
        </references>
      </pivotArea>
    </format>
    <format dxfId="1111">
      <pivotArea dataOnly="0" labelOnly="1" outline="0" fieldPosition="0">
        <references count="2">
          <reference field="0" count="1" selected="0">
            <x v="92"/>
          </reference>
          <reference field="9" count="1">
            <x v="1"/>
          </reference>
        </references>
      </pivotArea>
    </format>
    <format dxfId="1110">
      <pivotArea dataOnly="0" labelOnly="1" outline="0" fieldPosition="0">
        <references count="2">
          <reference field="0" count="1" selected="0">
            <x v="93"/>
          </reference>
          <reference field="9" count="1">
            <x v="1"/>
          </reference>
        </references>
      </pivotArea>
    </format>
    <format dxfId="1109">
      <pivotArea dataOnly="0" labelOnly="1" outline="0" fieldPosition="0">
        <references count="2">
          <reference field="0" count="1" selected="0">
            <x v="94"/>
          </reference>
          <reference field="9" count="1">
            <x v="1"/>
          </reference>
        </references>
      </pivotArea>
    </format>
    <format dxfId="1108">
      <pivotArea dataOnly="0" labelOnly="1" outline="0" fieldPosition="0">
        <references count="2">
          <reference field="0" count="1" selected="0">
            <x v="95"/>
          </reference>
          <reference field="9" count="1">
            <x v="1"/>
          </reference>
        </references>
      </pivotArea>
    </format>
    <format dxfId="1107">
      <pivotArea dataOnly="0" labelOnly="1" outline="0" fieldPosition="0">
        <references count="2">
          <reference field="0" count="1" selected="0">
            <x v="96"/>
          </reference>
          <reference field="9" count="1">
            <x v="1"/>
          </reference>
        </references>
      </pivotArea>
    </format>
    <format dxfId="1106">
      <pivotArea dataOnly="0" labelOnly="1" outline="0" fieldPosition="0">
        <references count="2">
          <reference field="0" count="1" selected="0">
            <x v="97"/>
          </reference>
          <reference field="9" count="1">
            <x v="1"/>
          </reference>
        </references>
      </pivotArea>
    </format>
    <format dxfId="1105">
      <pivotArea dataOnly="0" labelOnly="1" outline="0" fieldPosition="0">
        <references count="2">
          <reference field="0" count="1" selected="0">
            <x v="98"/>
          </reference>
          <reference field="9" count="1">
            <x v="1"/>
          </reference>
        </references>
      </pivotArea>
    </format>
    <format dxfId="1104">
      <pivotArea dataOnly="0" labelOnly="1" outline="0" fieldPosition="0">
        <references count="2">
          <reference field="0" count="1" selected="0">
            <x v="99"/>
          </reference>
          <reference field="9" count="1">
            <x v="0"/>
          </reference>
        </references>
      </pivotArea>
    </format>
    <format dxfId="1103">
      <pivotArea dataOnly="0" labelOnly="1" outline="0" fieldPosition="0">
        <references count="2">
          <reference field="0" count="1" selected="0">
            <x v="100"/>
          </reference>
          <reference field="9" count="1">
            <x v="0"/>
          </reference>
        </references>
      </pivotArea>
    </format>
    <format dxfId="1102">
      <pivotArea dataOnly="0" labelOnly="1" outline="0" fieldPosition="0">
        <references count="2">
          <reference field="0" count="1" selected="0">
            <x v="101"/>
          </reference>
          <reference field="9" count="1">
            <x v="0"/>
          </reference>
        </references>
      </pivotArea>
    </format>
    <format dxfId="1101">
      <pivotArea dataOnly="0" labelOnly="1" outline="0" fieldPosition="0">
        <references count="2">
          <reference field="0" count="1" selected="0">
            <x v="105"/>
          </reference>
          <reference field="9" count="1">
            <x v="0"/>
          </reference>
        </references>
      </pivotArea>
    </format>
    <format dxfId="1100">
      <pivotArea dataOnly="0" labelOnly="1" outline="0" fieldPosition="0">
        <references count="2">
          <reference field="0" count="1" selected="0">
            <x v="106"/>
          </reference>
          <reference field="9" count="1">
            <x v="1"/>
          </reference>
        </references>
      </pivotArea>
    </format>
    <format dxfId="1099">
      <pivotArea dataOnly="0" labelOnly="1" outline="0" fieldPosition="0">
        <references count="2">
          <reference field="0" count="1" selected="0">
            <x v="110"/>
          </reference>
          <reference field="9" count="1">
            <x v="1"/>
          </reference>
        </references>
      </pivotArea>
    </format>
    <format dxfId="1098">
      <pivotArea dataOnly="0" labelOnly="1" outline="0" fieldPosition="0">
        <references count="2">
          <reference field="0" count="1" selected="0">
            <x v="116"/>
          </reference>
          <reference field="9" count="1">
            <x v="0"/>
          </reference>
        </references>
      </pivotArea>
    </format>
    <format dxfId="1097">
      <pivotArea dataOnly="0" labelOnly="1" outline="0" fieldPosition="0">
        <references count="2">
          <reference field="0" count="1" selected="0">
            <x v="117"/>
          </reference>
          <reference field="9" count="1">
            <x v="1"/>
          </reference>
        </references>
      </pivotArea>
    </format>
    <format dxfId="1096">
      <pivotArea dataOnly="0" labelOnly="1" outline="0" fieldPosition="0">
        <references count="2">
          <reference field="0" count="1" selected="0">
            <x v="118"/>
          </reference>
          <reference field="9" count="1">
            <x v="0"/>
          </reference>
        </references>
      </pivotArea>
    </format>
    <format dxfId="1095">
      <pivotArea dataOnly="0" labelOnly="1" outline="0" fieldPosition="0">
        <references count="2">
          <reference field="0" count="1" selected="0">
            <x v="119"/>
          </reference>
          <reference field="9" count="1">
            <x v="0"/>
          </reference>
        </references>
      </pivotArea>
    </format>
    <format dxfId="1094">
      <pivotArea dataOnly="0" labelOnly="1" outline="0" fieldPosition="0">
        <references count="2">
          <reference field="0" count="1" selected="0">
            <x v="122"/>
          </reference>
          <reference field="9" count="1">
            <x v="0"/>
          </reference>
        </references>
      </pivotArea>
    </format>
    <format dxfId="1093">
      <pivotArea dataOnly="0" labelOnly="1" outline="0" fieldPosition="0">
        <references count="2">
          <reference field="0" count="1" selected="0">
            <x v="123"/>
          </reference>
          <reference field="9" count="1">
            <x v="0"/>
          </reference>
        </references>
      </pivotArea>
    </format>
    <format dxfId="1092">
      <pivotArea dataOnly="0" labelOnly="1" outline="0" fieldPosition="0">
        <references count="2">
          <reference field="0" count="1" selected="0">
            <x v="125"/>
          </reference>
          <reference field="9" count="1">
            <x v="1"/>
          </reference>
        </references>
      </pivotArea>
    </format>
    <format dxfId="1091">
      <pivotArea dataOnly="0" labelOnly="1" outline="0" fieldPosition="0">
        <references count="2">
          <reference field="0" count="1" selected="0">
            <x v="126"/>
          </reference>
          <reference field="9" count="1">
            <x v="1"/>
          </reference>
        </references>
      </pivotArea>
    </format>
    <format dxfId="1090">
      <pivotArea dataOnly="0" labelOnly="1" outline="0" fieldPosition="0">
        <references count="2">
          <reference field="0" count="1" selected="0">
            <x v="127"/>
          </reference>
          <reference field="9" count="1">
            <x v="1"/>
          </reference>
        </references>
      </pivotArea>
    </format>
    <format dxfId="1089">
      <pivotArea dataOnly="0" labelOnly="1" outline="0" fieldPosition="0">
        <references count="2">
          <reference field="0" count="1" selected="0">
            <x v="128"/>
          </reference>
          <reference field="9" count="1">
            <x v="1"/>
          </reference>
        </references>
      </pivotArea>
    </format>
    <format dxfId="1088">
      <pivotArea dataOnly="0" labelOnly="1" outline="0" fieldPosition="0">
        <references count="2">
          <reference field="0" count="1" selected="0">
            <x v="129"/>
          </reference>
          <reference field="9" count="1">
            <x v="1"/>
          </reference>
        </references>
      </pivotArea>
    </format>
    <format dxfId="1087">
      <pivotArea dataOnly="0" labelOnly="1" outline="0" fieldPosition="0">
        <references count="2">
          <reference field="0" count="1" selected="0">
            <x v="130"/>
          </reference>
          <reference field="9" count="1">
            <x v="1"/>
          </reference>
        </references>
      </pivotArea>
    </format>
    <format dxfId="1086">
      <pivotArea dataOnly="0" labelOnly="1" outline="0" fieldPosition="0">
        <references count="2">
          <reference field="0" count="1" selected="0">
            <x v="131"/>
          </reference>
          <reference field="9" count="1">
            <x v="1"/>
          </reference>
        </references>
      </pivotArea>
    </format>
    <format dxfId="1085">
      <pivotArea dataOnly="0" labelOnly="1" outline="0" fieldPosition="0">
        <references count="2">
          <reference field="0" count="1" selected="0">
            <x v="132"/>
          </reference>
          <reference field="9" count="1">
            <x v="0"/>
          </reference>
        </references>
      </pivotArea>
    </format>
    <format dxfId="1084">
      <pivotArea dataOnly="0" labelOnly="1" outline="0" fieldPosition="0">
        <references count="2">
          <reference field="0" count="1" selected="0">
            <x v="133"/>
          </reference>
          <reference field="9" count="1">
            <x v="0"/>
          </reference>
        </references>
      </pivotArea>
    </format>
    <format dxfId="1083">
      <pivotArea dataOnly="0" labelOnly="1" outline="0" fieldPosition="0">
        <references count="2">
          <reference field="0" count="1" selected="0">
            <x v="134"/>
          </reference>
          <reference field="9" count="1">
            <x v="0"/>
          </reference>
        </references>
      </pivotArea>
    </format>
    <format dxfId="1082">
      <pivotArea dataOnly="0" labelOnly="1" outline="0" fieldPosition="0">
        <references count="2">
          <reference field="0" count="1" selected="0">
            <x v="135"/>
          </reference>
          <reference field="9" count="1">
            <x v="0"/>
          </reference>
        </references>
      </pivotArea>
    </format>
    <format dxfId="1081">
      <pivotArea dataOnly="0" labelOnly="1" outline="0" fieldPosition="0">
        <references count="2">
          <reference field="0" count="1" selected="0">
            <x v="136"/>
          </reference>
          <reference field="9" count="1">
            <x v="0"/>
          </reference>
        </references>
      </pivotArea>
    </format>
    <format dxfId="1080">
      <pivotArea dataOnly="0" labelOnly="1" outline="0" fieldPosition="0">
        <references count="2">
          <reference field="0" count="1" selected="0">
            <x v="137"/>
          </reference>
          <reference field="9" count="1">
            <x v="1"/>
          </reference>
        </references>
      </pivotArea>
    </format>
    <format dxfId="1079">
      <pivotArea dataOnly="0" labelOnly="1" outline="0" fieldPosition="0">
        <references count="2">
          <reference field="0" count="1" selected="0">
            <x v="139"/>
          </reference>
          <reference field="9" count="1">
            <x v="0"/>
          </reference>
        </references>
      </pivotArea>
    </format>
    <format dxfId="1078">
      <pivotArea dataOnly="0" labelOnly="1" outline="0" fieldPosition="0">
        <references count="2">
          <reference field="0" count="1" selected="0">
            <x v="141"/>
          </reference>
          <reference field="9" count="1">
            <x v="0"/>
          </reference>
        </references>
      </pivotArea>
    </format>
    <format dxfId="1077">
      <pivotArea dataOnly="0" labelOnly="1" outline="0" fieldPosition="0">
        <references count="2">
          <reference field="0" count="1" selected="0">
            <x v="142"/>
          </reference>
          <reference field="9" count="1">
            <x v="1"/>
          </reference>
        </references>
      </pivotArea>
    </format>
    <format dxfId="1076">
      <pivotArea dataOnly="0" labelOnly="1" outline="0" fieldPosition="0">
        <references count="2">
          <reference field="0" count="1" selected="0">
            <x v="144"/>
          </reference>
          <reference field="9" count="1">
            <x v="0"/>
          </reference>
        </references>
      </pivotArea>
    </format>
    <format dxfId="1075">
      <pivotArea dataOnly="0" labelOnly="1" outline="0" fieldPosition="0">
        <references count="2">
          <reference field="0" count="1" selected="0">
            <x v="147"/>
          </reference>
          <reference field="9" count="1">
            <x v="0"/>
          </reference>
        </references>
      </pivotArea>
    </format>
    <format dxfId="1074">
      <pivotArea dataOnly="0" labelOnly="1" outline="0" fieldPosition="0">
        <references count="2">
          <reference field="0" count="1" selected="0">
            <x v="148"/>
          </reference>
          <reference field="9" count="1">
            <x v="0"/>
          </reference>
        </references>
      </pivotArea>
    </format>
    <format dxfId="1073">
      <pivotArea dataOnly="0" labelOnly="1" outline="0" fieldPosition="0">
        <references count="2">
          <reference field="0" count="1" selected="0">
            <x v="149"/>
          </reference>
          <reference field="9" count="1">
            <x v="0"/>
          </reference>
        </references>
      </pivotArea>
    </format>
    <format dxfId="1072">
      <pivotArea dataOnly="0" labelOnly="1" outline="0" fieldPosition="0">
        <references count="2">
          <reference field="0" count="1" selected="0">
            <x v="150"/>
          </reference>
          <reference field="9" count="1">
            <x v="0"/>
          </reference>
        </references>
      </pivotArea>
    </format>
    <format dxfId="1071">
      <pivotArea dataOnly="0" labelOnly="1" outline="0" fieldPosition="0">
        <references count="2">
          <reference field="0" count="1" selected="0">
            <x v="151"/>
          </reference>
          <reference field="9" count="1">
            <x v="0"/>
          </reference>
        </references>
      </pivotArea>
    </format>
    <format dxfId="1070">
      <pivotArea dataOnly="0" labelOnly="1" outline="0" fieldPosition="0">
        <references count="2">
          <reference field="0" count="1" selected="0">
            <x v="152"/>
          </reference>
          <reference field="9" count="1">
            <x v="0"/>
          </reference>
        </references>
      </pivotArea>
    </format>
    <format dxfId="1069">
      <pivotArea dataOnly="0" labelOnly="1" outline="0" fieldPosition="0">
        <references count="2">
          <reference field="0" count="1" selected="0">
            <x v="153"/>
          </reference>
          <reference field="9" count="1">
            <x v="0"/>
          </reference>
        </references>
      </pivotArea>
    </format>
    <format dxfId="1068">
      <pivotArea dataOnly="0" labelOnly="1" outline="0" fieldPosition="0">
        <references count="2">
          <reference field="0" count="1" selected="0">
            <x v="154"/>
          </reference>
          <reference field="9" count="1">
            <x v="0"/>
          </reference>
        </references>
      </pivotArea>
    </format>
    <format dxfId="1067">
      <pivotArea dataOnly="0" labelOnly="1" outline="0" fieldPosition="0">
        <references count="2">
          <reference field="0" count="1" selected="0">
            <x v="155"/>
          </reference>
          <reference field="9" count="1">
            <x v="0"/>
          </reference>
        </references>
      </pivotArea>
    </format>
    <format dxfId="1066">
      <pivotArea dataOnly="0" labelOnly="1" outline="0" fieldPosition="0">
        <references count="2">
          <reference field="0" count="1" selected="0">
            <x v="156"/>
          </reference>
          <reference field="9" count="1">
            <x v="0"/>
          </reference>
        </references>
      </pivotArea>
    </format>
    <format dxfId="1065">
      <pivotArea dataOnly="0" labelOnly="1" outline="0" fieldPosition="0">
        <references count="2">
          <reference field="0" count="1" selected="0">
            <x v="157"/>
          </reference>
          <reference field="9" count="1">
            <x v="0"/>
          </reference>
        </references>
      </pivotArea>
    </format>
    <format dxfId="1064">
      <pivotArea dataOnly="0" labelOnly="1" outline="0" fieldPosition="0">
        <references count="2">
          <reference field="0" count="1" selected="0">
            <x v="158"/>
          </reference>
          <reference field="9" count="1">
            <x v="0"/>
          </reference>
        </references>
      </pivotArea>
    </format>
    <format dxfId="1063">
      <pivotArea dataOnly="0" labelOnly="1" outline="0" fieldPosition="0">
        <references count="2">
          <reference field="0" count="1" selected="0">
            <x v="159"/>
          </reference>
          <reference field="9" count="1">
            <x v="1"/>
          </reference>
        </references>
      </pivotArea>
    </format>
    <format dxfId="1062">
      <pivotArea dataOnly="0" labelOnly="1" outline="0" fieldPosition="0">
        <references count="2">
          <reference field="0" count="1" selected="0">
            <x v="160"/>
          </reference>
          <reference field="9" count="1">
            <x v="1"/>
          </reference>
        </references>
      </pivotArea>
    </format>
    <format dxfId="1061">
      <pivotArea dataOnly="0" labelOnly="1" outline="0" fieldPosition="0">
        <references count="2">
          <reference field="0" count="1" selected="0">
            <x v="162"/>
          </reference>
          <reference field="9" count="1">
            <x v="1"/>
          </reference>
        </references>
      </pivotArea>
    </format>
    <format dxfId="1060">
      <pivotArea dataOnly="0" labelOnly="1" outline="0" fieldPosition="0">
        <references count="2">
          <reference field="0" count="1" selected="0">
            <x v="163"/>
          </reference>
          <reference field="9" count="1">
            <x v="0"/>
          </reference>
        </references>
      </pivotArea>
    </format>
    <format dxfId="1059">
      <pivotArea dataOnly="0" labelOnly="1" outline="0" fieldPosition="0">
        <references count="2">
          <reference field="0" count="1" selected="0">
            <x v="164"/>
          </reference>
          <reference field="9" count="1">
            <x v="0"/>
          </reference>
        </references>
      </pivotArea>
    </format>
    <format dxfId="1058">
      <pivotArea dataOnly="0" labelOnly="1" outline="0" fieldPosition="0">
        <references count="2">
          <reference field="0" count="1" selected="0">
            <x v="165"/>
          </reference>
          <reference field="9" count="1">
            <x v="0"/>
          </reference>
        </references>
      </pivotArea>
    </format>
    <format dxfId="1057">
      <pivotArea dataOnly="0" labelOnly="1" outline="0" fieldPosition="0">
        <references count="2">
          <reference field="0" count="1" selected="0">
            <x v="166"/>
          </reference>
          <reference field="9" count="1">
            <x v="0"/>
          </reference>
        </references>
      </pivotArea>
    </format>
    <format dxfId="1056">
      <pivotArea dataOnly="0" labelOnly="1" outline="0" fieldPosition="0">
        <references count="2">
          <reference field="0" count="1" selected="0">
            <x v="167"/>
          </reference>
          <reference field="9" count="1">
            <x v="0"/>
          </reference>
        </references>
      </pivotArea>
    </format>
    <format dxfId="1055">
      <pivotArea dataOnly="0" labelOnly="1" outline="0" fieldPosition="0">
        <references count="2">
          <reference field="0" count="1" selected="0">
            <x v="168"/>
          </reference>
          <reference field="9" count="1">
            <x v="0"/>
          </reference>
        </references>
      </pivotArea>
    </format>
    <format dxfId="1054">
      <pivotArea dataOnly="0" labelOnly="1" outline="0" fieldPosition="0">
        <references count="2">
          <reference field="0" count="1" selected="0">
            <x v="169"/>
          </reference>
          <reference field="9" count="1">
            <x v="0"/>
          </reference>
        </references>
      </pivotArea>
    </format>
    <format dxfId="1053">
      <pivotArea dataOnly="0" labelOnly="1" outline="0" fieldPosition="0">
        <references count="2">
          <reference field="0" count="1" selected="0">
            <x v="170"/>
          </reference>
          <reference field="9" count="1">
            <x v="0"/>
          </reference>
        </references>
      </pivotArea>
    </format>
    <format dxfId="1052">
      <pivotArea dataOnly="0" labelOnly="1" outline="0" fieldPosition="0">
        <references count="2">
          <reference field="0" count="1" selected="0">
            <x v="172"/>
          </reference>
          <reference field="9" count="1">
            <x v="1"/>
          </reference>
        </references>
      </pivotArea>
    </format>
    <format dxfId="1051">
      <pivotArea dataOnly="0" labelOnly="1" outline="0" fieldPosition="0">
        <references count="2">
          <reference field="0" count="1" selected="0">
            <x v="173"/>
          </reference>
          <reference field="9" count="1">
            <x v="1"/>
          </reference>
        </references>
      </pivotArea>
    </format>
    <format dxfId="1050">
      <pivotArea dataOnly="0" labelOnly="1" outline="0" fieldPosition="0">
        <references count="2">
          <reference field="0" count="1" selected="0">
            <x v="174"/>
          </reference>
          <reference field="9" count="1">
            <x v="1"/>
          </reference>
        </references>
      </pivotArea>
    </format>
    <format dxfId="1049">
      <pivotArea dataOnly="0" labelOnly="1" outline="0" fieldPosition="0">
        <references count="2">
          <reference field="0" count="1" selected="0">
            <x v="175"/>
          </reference>
          <reference field="9" count="1">
            <x v="1"/>
          </reference>
        </references>
      </pivotArea>
    </format>
    <format dxfId="1048">
      <pivotArea dataOnly="0" labelOnly="1" outline="0" fieldPosition="0">
        <references count="2">
          <reference field="0" count="1" selected="0">
            <x v="177"/>
          </reference>
          <reference field="9" count="1">
            <x v="0"/>
          </reference>
        </references>
      </pivotArea>
    </format>
    <format dxfId="1047">
      <pivotArea dataOnly="0" labelOnly="1" outline="0" fieldPosition="0">
        <references count="2">
          <reference field="0" count="1" selected="0">
            <x v="178"/>
          </reference>
          <reference field="9" count="1">
            <x v="1"/>
          </reference>
        </references>
      </pivotArea>
    </format>
    <format dxfId="1046">
      <pivotArea dataOnly="0" labelOnly="1" outline="0" fieldPosition="0">
        <references count="2">
          <reference field="0" count="1" selected="0">
            <x v="179"/>
          </reference>
          <reference field="9" count="1">
            <x v="0"/>
          </reference>
        </references>
      </pivotArea>
    </format>
    <format dxfId="1045">
      <pivotArea dataOnly="0" labelOnly="1" outline="0" fieldPosition="0">
        <references count="2">
          <reference field="0" count="1" selected="0">
            <x v="180"/>
          </reference>
          <reference field="9" count="1">
            <x v="0"/>
          </reference>
        </references>
      </pivotArea>
    </format>
    <format dxfId="1044">
      <pivotArea dataOnly="0" labelOnly="1" outline="0" fieldPosition="0">
        <references count="2">
          <reference field="0" count="1" selected="0">
            <x v="183"/>
          </reference>
          <reference field="9" count="1">
            <x v="1"/>
          </reference>
        </references>
      </pivotArea>
    </format>
    <format dxfId="1043">
      <pivotArea dataOnly="0" labelOnly="1" outline="0" fieldPosition="0">
        <references count="2">
          <reference field="0" count="1" selected="0">
            <x v="184"/>
          </reference>
          <reference field="9" count="1">
            <x v="1"/>
          </reference>
        </references>
      </pivotArea>
    </format>
    <format dxfId="1042">
      <pivotArea dataOnly="0" labelOnly="1" outline="0" fieldPosition="0">
        <references count="2">
          <reference field="0" count="1" selected="0">
            <x v="185"/>
          </reference>
          <reference field="9" count="1">
            <x v="1"/>
          </reference>
        </references>
      </pivotArea>
    </format>
    <format dxfId="1041">
      <pivotArea dataOnly="0" labelOnly="1" outline="0" fieldPosition="0">
        <references count="2">
          <reference field="0" count="1" selected="0">
            <x v="186"/>
          </reference>
          <reference field="9" count="1">
            <x v="1"/>
          </reference>
        </references>
      </pivotArea>
    </format>
    <format dxfId="1040">
      <pivotArea dataOnly="0" labelOnly="1" outline="0" fieldPosition="0">
        <references count="2">
          <reference field="0" count="1" selected="0">
            <x v="187"/>
          </reference>
          <reference field="9" count="1">
            <x v="0"/>
          </reference>
        </references>
      </pivotArea>
    </format>
    <format dxfId="1039">
      <pivotArea dataOnly="0" labelOnly="1" outline="0" fieldPosition="0">
        <references count="2">
          <reference field="0" count="1" selected="0">
            <x v="189"/>
          </reference>
          <reference field="9" count="1">
            <x v="0"/>
          </reference>
        </references>
      </pivotArea>
    </format>
    <format dxfId="1038">
      <pivotArea dataOnly="0" labelOnly="1" outline="0" fieldPosition="0">
        <references count="2">
          <reference field="0" count="1" selected="0">
            <x v="190"/>
          </reference>
          <reference field="9" count="1">
            <x v="0"/>
          </reference>
        </references>
      </pivotArea>
    </format>
    <format dxfId="1037">
      <pivotArea dataOnly="0" labelOnly="1" outline="0" fieldPosition="0">
        <references count="2">
          <reference field="0" count="1" selected="0">
            <x v="197"/>
          </reference>
          <reference field="9" count="1">
            <x v="0"/>
          </reference>
        </references>
      </pivotArea>
    </format>
    <format dxfId="1036">
      <pivotArea dataOnly="0" labelOnly="1" outline="0" fieldPosition="0">
        <references count="2">
          <reference field="0" count="1" selected="0">
            <x v="198"/>
          </reference>
          <reference field="9" count="1">
            <x v="0"/>
          </reference>
        </references>
      </pivotArea>
    </format>
    <format dxfId="1035">
      <pivotArea dataOnly="0" labelOnly="1" outline="0" fieldPosition="0">
        <references count="2">
          <reference field="0" count="1" selected="0">
            <x v="200"/>
          </reference>
          <reference field="9" count="1">
            <x v="1"/>
          </reference>
        </references>
      </pivotArea>
    </format>
    <format dxfId="1034">
      <pivotArea dataOnly="0" labelOnly="1" outline="0" fieldPosition="0">
        <references count="2">
          <reference field="0" count="1" selected="0">
            <x v="202"/>
          </reference>
          <reference field="9" count="1">
            <x v="1"/>
          </reference>
        </references>
      </pivotArea>
    </format>
    <format dxfId="1033">
      <pivotArea dataOnly="0" labelOnly="1" outline="0" fieldPosition="0">
        <references count="2">
          <reference field="0" count="1" selected="0">
            <x v="203"/>
          </reference>
          <reference field="9" count="1">
            <x v="1"/>
          </reference>
        </references>
      </pivotArea>
    </format>
    <format dxfId="1032">
      <pivotArea dataOnly="0" labelOnly="1" outline="0" fieldPosition="0">
        <references count="2">
          <reference field="0" count="1" selected="0">
            <x v="206"/>
          </reference>
          <reference field="9" count="1">
            <x v="0"/>
          </reference>
        </references>
      </pivotArea>
    </format>
    <format dxfId="1031">
      <pivotArea dataOnly="0" labelOnly="1" outline="0" fieldPosition="0">
        <references count="2">
          <reference field="0" count="1" selected="0">
            <x v="207"/>
          </reference>
          <reference field="9" count="1">
            <x v="0"/>
          </reference>
        </references>
      </pivotArea>
    </format>
    <format dxfId="1030">
      <pivotArea dataOnly="0" labelOnly="1" outline="0" fieldPosition="0">
        <references count="2">
          <reference field="0" count="1" selected="0">
            <x v="209"/>
          </reference>
          <reference field="9" count="1">
            <x v="0"/>
          </reference>
        </references>
      </pivotArea>
    </format>
    <format dxfId="1029">
      <pivotArea dataOnly="0" labelOnly="1" outline="0" fieldPosition="0">
        <references count="2">
          <reference field="0" count="1" selected="0">
            <x v="211"/>
          </reference>
          <reference field="9" count="1">
            <x v="1"/>
          </reference>
        </references>
      </pivotArea>
    </format>
    <format dxfId="1028">
      <pivotArea dataOnly="0" labelOnly="1" outline="0" fieldPosition="0">
        <references count="2">
          <reference field="0" count="1" selected="0">
            <x v="216"/>
          </reference>
          <reference field="9" count="1">
            <x v="1"/>
          </reference>
        </references>
      </pivotArea>
    </format>
    <format dxfId="1027">
      <pivotArea dataOnly="0" labelOnly="1" outline="0" fieldPosition="0">
        <references count="2">
          <reference field="0" count="1" selected="0">
            <x v="217"/>
          </reference>
          <reference field="9" count="1">
            <x v="1"/>
          </reference>
        </references>
      </pivotArea>
    </format>
    <format dxfId="1026">
      <pivotArea dataOnly="0" labelOnly="1" outline="0" fieldPosition="0">
        <references count="2">
          <reference field="0" count="1" selected="0">
            <x v="218"/>
          </reference>
          <reference field="9" count="1">
            <x v="0"/>
          </reference>
        </references>
      </pivotArea>
    </format>
    <format dxfId="1025">
      <pivotArea dataOnly="0" labelOnly="1" outline="0" fieldPosition="0">
        <references count="2">
          <reference field="0" count="1" selected="0">
            <x v="219"/>
          </reference>
          <reference field="9" count="1">
            <x v="0"/>
          </reference>
        </references>
      </pivotArea>
    </format>
    <format dxfId="1024">
      <pivotArea dataOnly="0" labelOnly="1" outline="0" fieldPosition="0">
        <references count="2">
          <reference field="0" count="1" selected="0">
            <x v="220"/>
          </reference>
          <reference field="9" count="1">
            <x v="0"/>
          </reference>
        </references>
      </pivotArea>
    </format>
    <format dxfId="1023">
      <pivotArea dataOnly="0" labelOnly="1" outline="0" fieldPosition="0">
        <references count="2">
          <reference field="0" count="1" selected="0">
            <x v="222"/>
          </reference>
          <reference field="9" count="1">
            <x v="0"/>
          </reference>
        </references>
      </pivotArea>
    </format>
    <format dxfId="1022">
      <pivotArea dataOnly="0" labelOnly="1" outline="0" fieldPosition="0">
        <references count="2">
          <reference field="0" count="1" selected="0">
            <x v="223"/>
          </reference>
          <reference field="9" count="1">
            <x v="0"/>
          </reference>
        </references>
      </pivotArea>
    </format>
    <format dxfId="1021">
      <pivotArea dataOnly="0" labelOnly="1" outline="0" fieldPosition="0">
        <references count="2">
          <reference field="0" count="1" selected="0">
            <x v="224"/>
          </reference>
          <reference field="9" count="1">
            <x v="1"/>
          </reference>
        </references>
      </pivotArea>
    </format>
    <format dxfId="1020">
      <pivotArea dataOnly="0" labelOnly="1" outline="0" fieldPosition="0">
        <references count="2">
          <reference field="0" count="1" selected="0">
            <x v="225"/>
          </reference>
          <reference field="9" count="1">
            <x v="0"/>
          </reference>
        </references>
      </pivotArea>
    </format>
    <format dxfId="1019">
      <pivotArea dataOnly="0" labelOnly="1" outline="0" fieldPosition="0">
        <references count="2">
          <reference field="0" count="1" selected="0">
            <x v="226"/>
          </reference>
          <reference field="9" count="1">
            <x v="0"/>
          </reference>
        </references>
      </pivotArea>
    </format>
    <format dxfId="1018">
      <pivotArea dataOnly="0" labelOnly="1" outline="0" fieldPosition="0">
        <references count="2">
          <reference field="0" count="1" selected="0">
            <x v="228"/>
          </reference>
          <reference field="9" count="1">
            <x v="0"/>
          </reference>
        </references>
      </pivotArea>
    </format>
    <format dxfId="1017">
      <pivotArea dataOnly="0" labelOnly="1" outline="0" fieldPosition="0">
        <references count="2">
          <reference field="0" count="1" selected="0">
            <x v="229"/>
          </reference>
          <reference field="9" count="1">
            <x v="1"/>
          </reference>
        </references>
      </pivotArea>
    </format>
    <format dxfId="1016">
      <pivotArea dataOnly="0" labelOnly="1" outline="0" fieldPosition="0">
        <references count="2">
          <reference field="0" count="1" selected="0">
            <x v="233"/>
          </reference>
          <reference field="9" count="1">
            <x v="0"/>
          </reference>
        </references>
      </pivotArea>
    </format>
    <format dxfId="1015">
      <pivotArea dataOnly="0" labelOnly="1" outline="0" fieldPosition="0">
        <references count="2">
          <reference field="0" count="1" selected="0">
            <x v="234"/>
          </reference>
          <reference field="9" count="1">
            <x v="0"/>
          </reference>
        </references>
      </pivotArea>
    </format>
    <format dxfId="1014">
      <pivotArea dataOnly="0" labelOnly="1" outline="0" fieldPosition="0">
        <references count="2">
          <reference field="0" count="1" selected="0">
            <x v="237"/>
          </reference>
          <reference field="9" count="1">
            <x v="0"/>
          </reference>
        </references>
      </pivotArea>
    </format>
    <format dxfId="1013">
      <pivotArea dataOnly="0" labelOnly="1" outline="0" fieldPosition="0">
        <references count="2">
          <reference field="0" count="1" selected="0">
            <x v="238"/>
          </reference>
          <reference field="9" count="1">
            <x v="0"/>
          </reference>
        </references>
      </pivotArea>
    </format>
    <format dxfId="1012">
      <pivotArea dataOnly="0" labelOnly="1" outline="0" fieldPosition="0">
        <references count="2">
          <reference field="0" count="1" selected="0">
            <x v="240"/>
          </reference>
          <reference field="9" count="1">
            <x v="0"/>
          </reference>
        </references>
      </pivotArea>
    </format>
    <format dxfId="1011">
      <pivotArea dataOnly="0" labelOnly="1" outline="0" fieldPosition="0">
        <references count="2">
          <reference field="0" count="1" selected="0">
            <x v="241"/>
          </reference>
          <reference field="9" count="1">
            <x v="0"/>
          </reference>
        </references>
      </pivotArea>
    </format>
    <format dxfId="1010">
      <pivotArea dataOnly="0" labelOnly="1" outline="0" fieldPosition="0">
        <references count="2">
          <reference field="0" count="1" selected="0">
            <x v="244"/>
          </reference>
          <reference field="9" count="1">
            <x v="1"/>
          </reference>
        </references>
      </pivotArea>
    </format>
    <format dxfId="1009">
      <pivotArea dataOnly="0" labelOnly="1" outline="0" fieldPosition="0">
        <references count="2">
          <reference field="0" count="1" selected="0">
            <x v="245"/>
          </reference>
          <reference field="9" count="1">
            <x v="1"/>
          </reference>
        </references>
      </pivotArea>
    </format>
    <format dxfId="1008">
      <pivotArea dataOnly="0" labelOnly="1" outline="0" fieldPosition="0">
        <references count="2">
          <reference field="0" count="1" selected="0">
            <x v="247"/>
          </reference>
          <reference field="9" count="1">
            <x v="0"/>
          </reference>
        </references>
      </pivotArea>
    </format>
    <format dxfId="1007">
      <pivotArea dataOnly="0" labelOnly="1" outline="0" fieldPosition="0">
        <references count="2">
          <reference field="0" count="1" selected="0">
            <x v="250"/>
          </reference>
          <reference field="9" count="1">
            <x v="0"/>
          </reference>
        </references>
      </pivotArea>
    </format>
    <format dxfId="1006">
      <pivotArea dataOnly="0" labelOnly="1" outline="0" fieldPosition="0">
        <references count="2">
          <reference field="0" count="1" selected="0">
            <x v="253"/>
          </reference>
          <reference field="9" count="1">
            <x v="0"/>
          </reference>
        </references>
      </pivotArea>
    </format>
    <format dxfId="1005">
      <pivotArea dataOnly="0" labelOnly="1" outline="0" fieldPosition="0">
        <references count="2">
          <reference field="0" count="1" selected="0">
            <x v="254"/>
          </reference>
          <reference field="9" count="1">
            <x v="0"/>
          </reference>
        </references>
      </pivotArea>
    </format>
    <format dxfId="1004">
      <pivotArea dataOnly="0" labelOnly="1" outline="0" fieldPosition="0">
        <references count="2">
          <reference field="0" count="1" selected="0">
            <x v="255"/>
          </reference>
          <reference field="9" count="1">
            <x v="0"/>
          </reference>
        </references>
      </pivotArea>
    </format>
    <format dxfId="1003">
      <pivotArea dataOnly="0" labelOnly="1" outline="0" fieldPosition="0">
        <references count="2">
          <reference field="0" count="1" selected="0">
            <x v="258"/>
          </reference>
          <reference field="9" count="1">
            <x v="0"/>
          </reference>
        </references>
      </pivotArea>
    </format>
    <format dxfId="1002">
      <pivotArea dataOnly="0" labelOnly="1" outline="0" fieldPosition="0">
        <references count="2">
          <reference field="0" count="1" selected="0">
            <x v="259"/>
          </reference>
          <reference field="9" count="1">
            <x v="1"/>
          </reference>
        </references>
      </pivotArea>
    </format>
    <format dxfId="1001">
      <pivotArea dataOnly="0" labelOnly="1" outline="0" fieldPosition="0">
        <references count="2">
          <reference field="0" count="1" selected="0">
            <x v="261"/>
          </reference>
          <reference field="9" count="1">
            <x v="0"/>
          </reference>
        </references>
      </pivotArea>
    </format>
    <format dxfId="1000">
      <pivotArea dataOnly="0" labelOnly="1" outline="0" fieldPosition="0">
        <references count="2">
          <reference field="0" count="1" selected="0">
            <x v="262"/>
          </reference>
          <reference field="9" count="1">
            <x v="0"/>
          </reference>
        </references>
      </pivotArea>
    </format>
    <format dxfId="999">
      <pivotArea dataOnly="0" labelOnly="1" outline="0" fieldPosition="0">
        <references count="2">
          <reference field="0" count="1" selected="0">
            <x v="263"/>
          </reference>
          <reference field="9" count="1">
            <x v="0"/>
          </reference>
        </references>
      </pivotArea>
    </format>
    <format dxfId="998">
      <pivotArea dataOnly="0" labelOnly="1" outline="0" fieldPosition="0">
        <references count="2">
          <reference field="0" count="1" selected="0">
            <x v="264"/>
          </reference>
          <reference field="9" count="1">
            <x v="0"/>
          </reference>
        </references>
      </pivotArea>
    </format>
    <format dxfId="997">
      <pivotArea dataOnly="0" labelOnly="1" outline="0" fieldPosition="0">
        <references count="2">
          <reference field="0" count="1" selected="0">
            <x v="265"/>
          </reference>
          <reference field="9" count="1">
            <x v="0"/>
          </reference>
        </references>
      </pivotArea>
    </format>
    <format dxfId="996">
      <pivotArea dataOnly="0" labelOnly="1" outline="0" fieldPosition="0">
        <references count="2">
          <reference field="0" count="1" selected="0">
            <x v="266"/>
          </reference>
          <reference field="9" count="1">
            <x v="0"/>
          </reference>
        </references>
      </pivotArea>
    </format>
    <format dxfId="995">
      <pivotArea dataOnly="0" labelOnly="1" outline="0" fieldPosition="0">
        <references count="2">
          <reference field="0" count="1" selected="0">
            <x v="267"/>
          </reference>
          <reference field="9" count="1">
            <x v="0"/>
          </reference>
        </references>
      </pivotArea>
    </format>
    <format dxfId="994">
      <pivotArea dataOnly="0" labelOnly="1" outline="0" fieldPosition="0">
        <references count="2">
          <reference field="0" count="1" selected="0">
            <x v="268"/>
          </reference>
          <reference field="9" count="1">
            <x v="0"/>
          </reference>
        </references>
      </pivotArea>
    </format>
    <format dxfId="993">
      <pivotArea dataOnly="0" labelOnly="1" outline="0" fieldPosition="0">
        <references count="2">
          <reference field="0" count="1" selected="0">
            <x v="269"/>
          </reference>
          <reference field="9" count="1">
            <x v="0"/>
          </reference>
        </references>
      </pivotArea>
    </format>
    <format dxfId="992">
      <pivotArea dataOnly="0" labelOnly="1" outline="0" fieldPosition="0">
        <references count="2">
          <reference field="0" count="1" selected="0">
            <x v="270"/>
          </reference>
          <reference field="9" count="1">
            <x v="0"/>
          </reference>
        </references>
      </pivotArea>
    </format>
    <format dxfId="991">
      <pivotArea dataOnly="0" labelOnly="1" outline="0" fieldPosition="0">
        <references count="2">
          <reference field="0" count="1" selected="0">
            <x v="271"/>
          </reference>
          <reference field="9" count="1">
            <x v="0"/>
          </reference>
        </references>
      </pivotArea>
    </format>
    <format dxfId="990">
      <pivotArea dataOnly="0" labelOnly="1" outline="0" fieldPosition="0">
        <references count="2">
          <reference field="0" count="1" selected="0">
            <x v="272"/>
          </reference>
          <reference field="9" count="1">
            <x v="0"/>
          </reference>
        </references>
      </pivotArea>
    </format>
    <format dxfId="989">
      <pivotArea dataOnly="0" labelOnly="1" outline="0" fieldPosition="0">
        <references count="2">
          <reference field="0" count="1" selected="0">
            <x v="273"/>
          </reference>
          <reference field="9" count="1">
            <x v="0"/>
          </reference>
        </references>
      </pivotArea>
    </format>
    <format dxfId="988">
      <pivotArea dataOnly="0" labelOnly="1" outline="0" fieldPosition="0">
        <references count="2">
          <reference field="0" count="1" selected="0">
            <x v="275"/>
          </reference>
          <reference field="9" count="1">
            <x v="0"/>
          </reference>
        </references>
      </pivotArea>
    </format>
    <format dxfId="987">
      <pivotArea dataOnly="0" labelOnly="1" outline="0" fieldPosition="0">
        <references count="2">
          <reference field="0" count="1" selected="0">
            <x v="276"/>
          </reference>
          <reference field="9" count="1">
            <x v="0"/>
          </reference>
        </references>
      </pivotArea>
    </format>
    <format dxfId="986">
      <pivotArea dataOnly="0" labelOnly="1" outline="0" fieldPosition="0">
        <references count="2">
          <reference field="0" count="1" selected="0">
            <x v="277"/>
          </reference>
          <reference field="9" count="1">
            <x v="0"/>
          </reference>
        </references>
      </pivotArea>
    </format>
    <format dxfId="985">
      <pivotArea dataOnly="0" labelOnly="1" outline="0" fieldPosition="0">
        <references count="2">
          <reference field="0" count="1" selected="0">
            <x v="278"/>
          </reference>
          <reference field="9" count="1">
            <x v="0"/>
          </reference>
        </references>
      </pivotArea>
    </format>
    <format dxfId="984">
      <pivotArea dataOnly="0" labelOnly="1" outline="0" fieldPosition="0">
        <references count="2">
          <reference field="0" count="1" selected="0">
            <x v="282"/>
          </reference>
          <reference field="9" count="1">
            <x v="1"/>
          </reference>
        </references>
      </pivotArea>
    </format>
    <format dxfId="983">
      <pivotArea dataOnly="0" labelOnly="1" outline="0" fieldPosition="0">
        <references count="2">
          <reference field="0" count="1" selected="0">
            <x v="283"/>
          </reference>
          <reference field="9" count="1">
            <x v="1"/>
          </reference>
        </references>
      </pivotArea>
    </format>
    <format dxfId="982">
      <pivotArea dataOnly="0" labelOnly="1" outline="0" fieldPosition="0">
        <references count="2">
          <reference field="0" count="1" selected="0">
            <x v="284"/>
          </reference>
          <reference field="9" count="1">
            <x v="1"/>
          </reference>
        </references>
      </pivotArea>
    </format>
    <format dxfId="981">
      <pivotArea dataOnly="0" labelOnly="1" outline="0" fieldPosition="0">
        <references count="2">
          <reference field="0" count="1" selected="0">
            <x v="285"/>
          </reference>
          <reference field="9" count="1">
            <x v="1"/>
          </reference>
        </references>
      </pivotArea>
    </format>
    <format dxfId="980">
      <pivotArea dataOnly="0" labelOnly="1" outline="0" fieldPosition="0">
        <references count="2">
          <reference field="0" count="1" selected="0">
            <x v="286"/>
          </reference>
          <reference field="9" count="1">
            <x v="0"/>
          </reference>
        </references>
      </pivotArea>
    </format>
    <format dxfId="979">
      <pivotArea dataOnly="0" labelOnly="1" outline="0" fieldPosition="0">
        <references count="2">
          <reference field="0" count="1" selected="0">
            <x v="288"/>
          </reference>
          <reference field="9" count="1">
            <x v="0"/>
          </reference>
        </references>
      </pivotArea>
    </format>
    <format dxfId="978">
      <pivotArea dataOnly="0" labelOnly="1" outline="0" fieldPosition="0">
        <references count="2">
          <reference field="0" count="1" selected="0">
            <x v="289"/>
          </reference>
          <reference field="9" count="1">
            <x v="1"/>
          </reference>
        </references>
      </pivotArea>
    </format>
    <format dxfId="977">
      <pivotArea dataOnly="0" labelOnly="1" outline="0" fieldPosition="0">
        <references count="2">
          <reference field="0" count="1" selected="0">
            <x v="290"/>
          </reference>
          <reference field="9" count="1">
            <x v="1"/>
          </reference>
        </references>
      </pivotArea>
    </format>
    <format dxfId="976">
      <pivotArea dataOnly="0" labelOnly="1" outline="0" fieldPosition="0">
        <references count="2">
          <reference field="0" count="1" selected="0">
            <x v="292"/>
          </reference>
          <reference field="9" count="1">
            <x v="0"/>
          </reference>
        </references>
      </pivotArea>
    </format>
    <format dxfId="975">
      <pivotArea dataOnly="0" labelOnly="1" outline="0" fieldPosition="0">
        <references count="2">
          <reference field="0" count="1" selected="0">
            <x v="293"/>
          </reference>
          <reference field="9" count="1">
            <x v="1"/>
          </reference>
        </references>
      </pivotArea>
    </format>
    <format dxfId="974">
      <pivotArea dataOnly="0" labelOnly="1" outline="0" fieldPosition="0">
        <references count="2">
          <reference field="0" count="1" selected="0">
            <x v="294"/>
          </reference>
          <reference field="9" count="1">
            <x v="0"/>
          </reference>
        </references>
      </pivotArea>
    </format>
    <format dxfId="973">
      <pivotArea dataOnly="0" labelOnly="1" outline="0" fieldPosition="0">
        <references count="2">
          <reference field="0" count="1" selected="0">
            <x v="295"/>
          </reference>
          <reference field="9" count="1">
            <x v="0"/>
          </reference>
        </references>
      </pivotArea>
    </format>
    <format dxfId="972">
      <pivotArea dataOnly="0" labelOnly="1" outline="0" fieldPosition="0">
        <references count="2">
          <reference field="0" count="1" selected="0">
            <x v="296"/>
          </reference>
          <reference field="9" count="1">
            <x v="0"/>
          </reference>
        </references>
      </pivotArea>
    </format>
    <format dxfId="971">
      <pivotArea dataOnly="0" labelOnly="1" outline="0" fieldPosition="0">
        <references count="2">
          <reference field="0" count="1" selected="0">
            <x v="298"/>
          </reference>
          <reference field="9" count="1">
            <x v="0"/>
          </reference>
        </references>
      </pivotArea>
    </format>
    <format dxfId="970">
      <pivotArea dataOnly="0" labelOnly="1" outline="0" fieldPosition="0">
        <references count="2">
          <reference field="0" count="1" selected="0">
            <x v="299"/>
          </reference>
          <reference field="9" count="1">
            <x v="1"/>
          </reference>
        </references>
      </pivotArea>
    </format>
    <format dxfId="969">
      <pivotArea dataOnly="0" labelOnly="1" outline="0" fieldPosition="0">
        <references count="2">
          <reference field="0" count="1" selected="0">
            <x v="302"/>
          </reference>
          <reference field="9" count="1">
            <x v="1"/>
          </reference>
        </references>
      </pivotArea>
    </format>
    <format dxfId="968">
      <pivotArea dataOnly="0" labelOnly="1" outline="0" fieldPosition="0">
        <references count="2">
          <reference field="0" count="1" selected="0">
            <x v="303"/>
          </reference>
          <reference field="9" count="1">
            <x v="1"/>
          </reference>
        </references>
      </pivotArea>
    </format>
    <format dxfId="967">
      <pivotArea dataOnly="0" labelOnly="1" outline="0" fieldPosition="0">
        <references count="2">
          <reference field="0" count="1" selected="0">
            <x v="304"/>
          </reference>
          <reference field="9" count="1">
            <x v="1"/>
          </reference>
        </references>
      </pivotArea>
    </format>
    <format dxfId="966">
      <pivotArea dataOnly="0" labelOnly="1" outline="0" fieldPosition="0">
        <references count="2">
          <reference field="0" count="1" selected="0">
            <x v="305"/>
          </reference>
          <reference field="9" count="1">
            <x v="1"/>
          </reference>
        </references>
      </pivotArea>
    </format>
    <format dxfId="965">
      <pivotArea dataOnly="0" labelOnly="1" outline="0" fieldPosition="0">
        <references count="2">
          <reference field="0" count="1" selected="0">
            <x v="306"/>
          </reference>
          <reference field="9" count="1">
            <x v="1"/>
          </reference>
        </references>
      </pivotArea>
    </format>
    <format dxfId="964">
      <pivotArea dataOnly="0" labelOnly="1" outline="0" fieldPosition="0">
        <references count="2">
          <reference field="0" count="1" selected="0">
            <x v="307"/>
          </reference>
          <reference field="9" count="1">
            <x v="1"/>
          </reference>
        </references>
      </pivotArea>
    </format>
    <format dxfId="963">
      <pivotArea dataOnly="0" labelOnly="1" outline="0" fieldPosition="0">
        <references count="2">
          <reference field="0" count="1" selected="0">
            <x v="308"/>
          </reference>
          <reference field="9" count="1">
            <x v="1"/>
          </reference>
        </references>
      </pivotArea>
    </format>
    <format dxfId="962">
      <pivotArea dataOnly="0" labelOnly="1" outline="0" fieldPosition="0">
        <references count="2">
          <reference field="0" count="1" selected="0">
            <x v="309"/>
          </reference>
          <reference field="9" count="1">
            <x v="1"/>
          </reference>
        </references>
      </pivotArea>
    </format>
    <format dxfId="961">
      <pivotArea dataOnly="0" labelOnly="1" outline="0" fieldPosition="0">
        <references count="2">
          <reference field="0" count="1" selected="0">
            <x v="310"/>
          </reference>
          <reference field="9" count="1">
            <x v="1"/>
          </reference>
        </references>
      </pivotArea>
    </format>
    <format dxfId="960">
      <pivotArea dataOnly="0" labelOnly="1" outline="0" fieldPosition="0">
        <references count="2">
          <reference field="0" count="1" selected="0">
            <x v="311"/>
          </reference>
          <reference field="9" count="1">
            <x v="1"/>
          </reference>
        </references>
      </pivotArea>
    </format>
    <format dxfId="959">
      <pivotArea dataOnly="0" labelOnly="1" outline="0" fieldPosition="0">
        <references count="2">
          <reference field="0" count="1" selected="0">
            <x v="312"/>
          </reference>
          <reference field="9" count="1">
            <x v="1"/>
          </reference>
        </references>
      </pivotArea>
    </format>
    <format dxfId="958">
      <pivotArea dataOnly="0" labelOnly="1" outline="0" fieldPosition="0">
        <references count="2">
          <reference field="0" count="1" selected="0">
            <x v="313"/>
          </reference>
          <reference field="9" count="1">
            <x v="1"/>
          </reference>
        </references>
      </pivotArea>
    </format>
    <format dxfId="957">
      <pivotArea dataOnly="0" labelOnly="1" outline="0" fieldPosition="0">
        <references count="2">
          <reference field="0" count="1" selected="0">
            <x v="314"/>
          </reference>
          <reference field="9" count="1">
            <x v="1"/>
          </reference>
        </references>
      </pivotArea>
    </format>
    <format dxfId="956">
      <pivotArea dataOnly="0" labelOnly="1" outline="0" fieldPosition="0">
        <references count="2">
          <reference field="0" count="1" selected="0">
            <x v="315"/>
          </reference>
          <reference field="9" count="1">
            <x v="1"/>
          </reference>
        </references>
      </pivotArea>
    </format>
    <format dxfId="955">
      <pivotArea dataOnly="0" labelOnly="1" outline="0" fieldPosition="0">
        <references count="2">
          <reference field="0" count="1" selected="0">
            <x v="316"/>
          </reference>
          <reference field="9" count="1">
            <x v="1"/>
          </reference>
        </references>
      </pivotArea>
    </format>
    <format dxfId="954">
      <pivotArea dataOnly="0" labelOnly="1" outline="0" fieldPosition="0">
        <references count="2">
          <reference field="0" count="1" selected="0">
            <x v="317"/>
          </reference>
          <reference field="9" count="1">
            <x v="1"/>
          </reference>
        </references>
      </pivotArea>
    </format>
    <format dxfId="953">
      <pivotArea dataOnly="0" labelOnly="1" outline="0" fieldPosition="0">
        <references count="2">
          <reference field="0" count="1" selected="0">
            <x v="318"/>
          </reference>
          <reference field="9" count="1">
            <x v="1"/>
          </reference>
        </references>
      </pivotArea>
    </format>
    <format dxfId="952">
      <pivotArea dataOnly="0" labelOnly="1" outline="0" fieldPosition="0">
        <references count="2">
          <reference field="0" count="1" selected="0">
            <x v="319"/>
          </reference>
          <reference field="9" count="1">
            <x v="1"/>
          </reference>
        </references>
      </pivotArea>
    </format>
    <format dxfId="951">
      <pivotArea dataOnly="0" labelOnly="1" outline="0" fieldPosition="0">
        <references count="2">
          <reference field="0" count="1" selected="0">
            <x v="320"/>
          </reference>
          <reference field="9" count="1">
            <x v="1"/>
          </reference>
        </references>
      </pivotArea>
    </format>
    <format dxfId="950">
      <pivotArea dataOnly="0" labelOnly="1" outline="0" fieldPosition="0">
        <references count="2">
          <reference field="0" count="1" selected="0">
            <x v="321"/>
          </reference>
          <reference field="9" count="1">
            <x v="1"/>
          </reference>
        </references>
      </pivotArea>
    </format>
    <format dxfId="949">
      <pivotArea dataOnly="0" labelOnly="1" outline="0" fieldPosition="0">
        <references count="2">
          <reference field="0" count="1" selected="0">
            <x v="322"/>
          </reference>
          <reference field="9" count="1">
            <x v="1"/>
          </reference>
        </references>
      </pivotArea>
    </format>
    <format dxfId="948">
      <pivotArea dataOnly="0" labelOnly="1" outline="0" fieldPosition="0">
        <references count="2">
          <reference field="0" count="1" selected="0">
            <x v="323"/>
          </reference>
          <reference field="9" count="1">
            <x v="1"/>
          </reference>
        </references>
      </pivotArea>
    </format>
    <format dxfId="947">
      <pivotArea dataOnly="0" labelOnly="1" outline="0" fieldPosition="0">
        <references count="2">
          <reference field="0" count="1" selected="0">
            <x v="324"/>
          </reference>
          <reference field="9" count="1">
            <x v="1"/>
          </reference>
        </references>
      </pivotArea>
    </format>
    <format dxfId="946">
      <pivotArea dataOnly="0" labelOnly="1" outline="0" fieldPosition="0">
        <references count="2">
          <reference field="0" count="1" selected="0">
            <x v="325"/>
          </reference>
          <reference field="9" count="1">
            <x v="1"/>
          </reference>
        </references>
      </pivotArea>
    </format>
    <format dxfId="945">
      <pivotArea dataOnly="0" labelOnly="1" outline="0" fieldPosition="0">
        <references count="2">
          <reference field="0" count="1" selected="0">
            <x v="326"/>
          </reference>
          <reference field="9" count="1">
            <x v="1"/>
          </reference>
        </references>
      </pivotArea>
    </format>
    <format dxfId="944">
      <pivotArea dataOnly="0" labelOnly="1" outline="0" fieldPosition="0">
        <references count="2">
          <reference field="0" count="1" selected="0">
            <x v="327"/>
          </reference>
          <reference field="9" count="1">
            <x v="1"/>
          </reference>
        </references>
      </pivotArea>
    </format>
    <format dxfId="943">
      <pivotArea dataOnly="0" labelOnly="1" outline="0" fieldPosition="0">
        <references count="2">
          <reference field="0" count="1" selected="0">
            <x v="328"/>
          </reference>
          <reference field="9" count="1">
            <x v="1"/>
          </reference>
        </references>
      </pivotArea>
    </format>
    <format dxfId="942">
      <pivotArea dataOnly="0" labelOnly="1" outline="0" fieldPosition="0">
        <references count="2">
          <reference field="0" count="1" selected="0">
            <x v="329"/>
          </reference>
          <reference field="9" count="1">
            <x v="1"/>
          </reference>
        </references>
      </pivotArea>
    </format>
    <format dxfId="941">
      <pivotArea dataOnly="0" labelOnly="1" outline="0" fieldPosition="0">
        <references count="2">
          <reference field="0" count="1" selected="0">
            <x v="330"/>
          </reference>
          <reference field="9" count="1">
            <x v="1"/>
          </reference>
        </references>
      </pivotArea>
    </format>
    <format dxfId="940">
      <pivotArea dataOnly="0" labelOnly="1" outline="0" fieldPosition="0">
        <references count="2">
          <reference field="0" count="1" selected="0">
            <x v="331"/>
          </reference>
          <reference field="9" count="1">
            <x v="1"/>
          </reference>
        </references>
      </pivotArea>
    </format>
    <format dxfId="939">
      <pivotArea dataOnly="0" labelOnly="1" outline="0" fieldPosition="0">
        <references count="2">
          <reference field="0" count="1" selected="0">
            <x v="332"/>
          </reference>
          <reference field="9" count="1">
            <x v="1"/>
          </reference>
        </references>
      </pivotArea>
    </format>
    <format dxfId="938">
      <pivotArea dataOnly="0" labelOnly="1" outline="0" fieldPosition="0">
        <references count="2">
          <reference field="0" count="1" selected="0">
            <x v="333"/>
          </reference>
          <reference field="9" count="1">
            <x v="1"/>
          </reference>
        </references>
      </pivotArea>
    </format>
    <format dxfId="937">
      <pivotArea dataOnly="0" labelOnly="1" outline="0" fieldPosition="0">
        <references count="2">
          <reference field="0" count="1" selected="0">
            <x v="334"/>
          </reference>
          <reference field="9" count="1">
            <x v="1"/>
          </reference>
        </references>
      </pivotArea>
    </format>
    <format dxfId="936">
      <pivotArea dataOnly="0" labelOnly="1" outline="0" fieldPosition="0">
        <references count="2">
          <reference field="0" count="1" selected="0">
            <x v="335"/>
          </reference>
          <reference field="9" count="1">
            <x v="1"/>
          </reference>
        </references>
      </pivotArea>
    </format>
    <format dxfId="935">
      <pivotArea dataOnly="0" labelOnly="1" outline="0" fieldPosition="0">
        <references count="2">
          <reference field="0" count="1" selected="0">
            <x v="336"/>
          </reference>
          <reference field="9" count="1">
            <x v="1"/>
          </reference>
        </references>
      </pivotArea>
    </format>
    <format dxfId="934">
      <pivotArea dataOnly="0" labelOnly="1" outline="0" fieldPosition="0">
        <references count="2">
          <reference field="0" count="1" selected="0">
            <x v="337"/>
          </reference>
          <reference field="9" count="1">
            <x v="1"/>
          </reference>
        </references>
      </pivotArea>
    </format>
    <format dxfId="933">
      <pivotArea dataOnly="0" labelOnly="1" outline="0" fieldPosition="0">
        <references count="2">
          <reference field="0" count="1" selected="0">
            <x v="338"/>
          </reference>
          <reference field="9" count="1">
            <x v="1"/>
          </reference>
        </references>
      </pivotArea>
    </format>
    <format dxfId="932">
      <pivotArea dataOnly="0" labelOnly="1" outline="0" fieldPosition="0">
        <references count="2">
          <reference field="0" count="1" selected="0">
            <x v="339"/>
          </reference>
          <reference field="9" count="1">
            <x v="1"/>
          </reference>
        </references>
      </pivotArea>
    </format>
    <format dxfId="931">
      <pivotArea dataOnly="0" labelOnly="1" outline="0" fieldPosition="0">
        <references count="2">
          <reference field="0" count="1" selected="0">
            <x v="341"/>
          </reference>
          <reference field="9" count="1">
            <x v="0"/>
          </reference>
        </references>
      </pivotArea>
    </format>
    <format dxfId="930">
      <pivotArea dataOnly="0" labelOnly="1" outline="0" fieldPosition="0">
        <references count="2">
          <reference field="0" count="1" selected="0">
            <x v="342"/>
          </reference>
          <reference field="9" count="1">
            <x v="0"/>
          </reference>
        </references>
      </pivotArea>
    </format>
    <format dxfId="929">
      <pivotArea dataOnly="0" labelOnly="1" outline="0" fieldPosition="0">
        <references count="2">
          <reference field="0" count="1" selected="0">
            <x v="343"/>
          </reference>
          <reference field="9" count="1">
            <x v="0"/>
          </reference>
        </references>
      </pivotArea>
    </format>
    <format dxfId="928">
      <pivotArea dataOnly="0" labelOnly="1" outline="0" fieldPosition="0">
        <references count="2">
          <reference field="0" count="1" selected="0">
            <x v="344"/>
          </reference>
          <reference field="9" count="1">
            <x v="0"/>
          </reference>
        </references>
      </pivotArea>
    </format>
    <format dxfId="927">
      <pivotArea dataOnly="0" labelOnly="1" outline="0" fieldPosition="0">
        <references count="2">
          <reference field="0" count="1" selected="0">
            <x v="345"/>
          </reference>
          <reference field="9" count="1">
            <x v="0"/>
          </reference>
        </references>
      </pivotArea>
    </format>
    <format dxfId="926">
      <pivotArea dataOnly="0" labelOnly="1" outline="0" fieldPosition="0">
        <references count="2">
          <reference field="0" count="1" selected="0">
            <x v="346"/>
          </reference>
          <reference field="9" count="1">
            <x v="0"/>
          </reference>
        </references>
      </pivotArea>
    </format>
    <format dxfId="925">
      <pivotArea dataOnly="0" labelOnly="1" outline="0" fieldPosition="0">
        <references count="2">
          <reference field="0" count="1" selected="0">
            <x v="347"/>
          </reference>
          <reference field="9" count="1">
            <x v="0"/>
          </reference>
        </references>
      </pivotArea>
    </format>
    <format dxfId="924">
      <pivotArea dataOnly="0" labelOnly="1" outline="0" fieldPosition="0">
        <references count="2">
          <reference field="0" count="1" selected="0">
            <x v="348"/>
          </reference>
          <reference field="9" count="1">
            <x v="0"/>
          </reference>
        </references>
      </pivotArea>
    </format>
    <format dxfId="923">
      <pivotArea dataOnly="0" labelOnly="1" outline="0" fieldPosition="0">
        <references count="2">
          <reference field="0" count="1" selected="0">
            <x v="349"/>
          </reference>
          <reference field="9" count="1">
            <x v="0"/>
          </reference>
        </references>
      </pivotArea>
    </format>
    <format dxfId="922">
      <pivotArea dataOnly="0" labelOnly="1" outline="0" fieldPosition="0">
        <references count="2">
          <reference field="0" count="1" selected="0">
            <x v="350"/>
          </reference>
          <reference field="9" count="1">
            <x v="1"/>
          </reference>
        </references>
      </pivotArea>
    </format>
    <format dxfId="921">
      <pivotArea dataOnly="0" labelOnly="1" outline="0" fieldPosition="0">
        <references count="2">
          <reference field="0" count="1" selected="0">
            <x v="351"/>
          </reference>
          <reference field="9" count="1">
            <x v="1"/>
          </reference>
        </references>
      </pivotArea>
    </format>
    <format dxfId="920">
      <pivotArea dataOnly="0" labelOnly="1" outline="0" fieldPosition="0">
        <references count="2">
          <reference field="0" count="1" selected="0">
            <x v="353"/>
          </reference>
          <reference field="9" count="1">
            <x v="0"/>
          </reference>
        </references>
      </pivotArea>
    </format>
    <format dxfId="919">
      <pivotArea dataOnly="0" labelOnly="1" outline="0" fieldPosition="0">
        <references count="2">
          <reference field="0" count="1" selected="0">
            <x v="354"/>
          </reference>
          <reference field="9" count="1">
            <x v="0"/>
          </reference>
        </references>
      </pivotArea>
    </format>
    <format dxfId="918">
      <pivotArea dataOnly="0" labelOnly="1" outline="0" fieldPosition="0">
        <references count="2">
          <reference field="0" count="1" selected="0">
            <x v="355"/>
          </reference>
          <reference field="9" count="1">
            <x v="0"/>
          </reference>
        </references>
      </pivotArea>
    </format>
    <format dxfId="917">
      <pivotArea dataOnly="0" labelOnly="1" outline="0" fieldPosition="0">
        <references count="2">
          <reference field="0" count="1" selected="0">
            <x v="357"/>
          </reference>
          <reference field="9" count="1">
            <x v="1"/>
          </reference>
        </references>
      </pivotArea>
    </format>
    <format dxfId="916">
      <pivotArea dataOnly="0" labelOnly="1" outline="0" fieldPosition="0">
        <references count="2">
          <reference field="0" count="1" selected="0">
            <x v="358"/>
          </reference>
          <reference field="9" count="1">
            <x v="1"/>
          </reference>
        </references>
      </pivotArea>
    </format>
    <format dxfId="915">
      <pivotArea dataOnly="0" labelOnly="1" outline="0" fieldPosition="0">
        <references count="2">
          <reference field="0" count="1" selected="0">
            <x v="359"/>
          </reference>
          <reference field="9" count="1">
            <x v="1"/>
          </reference>
        </references>
      </pivotArea>
    </format>
    <format dxfId="914">
      <pivotArea dataOnly="0" labelOnly="1" outline="0" fieldPosition="0">
        <references count="2">
          <reference field="0" count="1" selected="0">
            <x v="360"/>
          </reference>
          <reference field="9" count="1">
            <x v="0"/>
          </reference>
        </references>
      </pivotArea>
    </format>
    <format dxfId="913">
      <pivotArea dataOnly="0" labelOnly="1" outline="0" fieldPosition="0">
        <references count="2">
          <reference field="0" count="1" selected="0">
            <x v="361"/>
          </reference>
          <reference field="9" count="1">
            <x v="0"/>
          </reference>
        </references>
      </pivotArea>
    </format>
    <format dxfId="912">
      <pivotArea dataOnly="0" labelOnly="1" outline="0" fieldPosition="0">
        <references count="2">
          <reference field="0" count="1" selected="0">
            <x v="362"/>
          </reference>
          <reference field="9" count="1">
            <x v="1"/>
          </reference>
        </references>
      </pivotArea>
    </format>
    <format dxfId="911">
      <pivotArea dataOnly="0" labelOnly="1" outline="0" fieldPosition="0">
        <references count="2">
          <reference field="0" count="1" selected="0">
            <x v="363"/>
          </reference>
          <reference field="9" count="1">
            <x v="1"/>
          </reference>
        </references>
      </pivotArea>
    </format>
    <format dxfId="910">
      <pivotArea dataOnly="0" labelOnly="1" outline="0" fieldPosition="0">
        <references count="2">
          <reference field="0" count="1" selected="0">
            <x v="364"/>
          </reference>
          <reference field="9" count="1">
            <x v="1"/>
          </reference>
        </references>
      </pivotArea>
    </format>
    <format dxfId="909">
      <pivotArea dataOnly="0" labelOnly="1" outline="0" fieldPosition="0">
        <references count="2">
          <reference field="0" count="1" selected="0">
            <x v="365"/>
          </reference>
          <reference field="9" count="1">
            <x v="1"/>
          </reference>
        </references>
      </pivotArea>
    </format>
    <format dxfId="908">
      <pivotArea dataOnly="0" labelOnly="1" outline="0" fieldPosition="0">
        <references count="2">
          <reference field="0" count="1" selected="0">
            <x v="366"/>
          </reference>
          <reference field="9" count="1">
            <x v="1"/>
          </reference>
        </references>
      </pivotArea>
    </format>
    <format dxfId="907">
      <pivotArea dataOnly="0" labelOnly="1" outline="0" fieldPosition="0">
        <references count="2">
          <reference field="0" count="1" selected="0">
            <x v="367"/>
          </reference>
          <reference field="9" count="1">
            <x v="1"/>
          </reference>
        </references>
      </pivotArea>
    </format>
    <format dxfId="906">
      <pivotArea dataOnly="0" labelOnly="1" outline="0" fieldPosition="0">
        <references count="2">
          <reference field="0" count="1" selected="0">
            <x v="368"/>
          </reference>
          <reference field="9" count="1">
            <x v="1"/>
          </reference>
        </references>
      </pivotArea>
    </format>
    <format dxfId="905">
      <pivotArea dataOnly="0" labelOnly="1" outline="0" fieldPosition="0">
        <references count="2">
          <reference field="0" count="1" selected="0">
            <x v="369"/>
          </reference>
          <reference field="9" count="1">
            <x v="1"/>
          </reference>
        </references>
      </pivotArea>
    </format>
    <format dxfId="904">
      <pivotArea dataOnly="0" labelOnly="1" outline="0" fieldPosition="0">
        <references count="2">
          <reference field="0" count="1" selected="0">
            <x v="370"/>
          </reference>
          <reference field="9" count="1">
            <x v="1"/>
          </reference>
        </references>
      </pivotArea>
    </format>
    <format dxfId="903">
      <pivotArea dataOnly="0" labelOnly="1" outline="0" fieldPosition="0">
        <references count="2">
          <reference field="0" count="1" selected="0">
            <x v="371"/>
          </reference>
          <reference field="9" count="1">
            <x v="1"/>
          </reference>
        </references>
      </pivotArea>
    </format>
    <format dxfId="902">
      <pivotArea dataOnly="0" labelOnly="1" outline="0" fieldPosition="0">
        <references count="2">
          <reference field="0" count="1" selected="0">
            <x v="372"/>
          </reference>
          <reference field="9" count="1">
            <x v="1"/>
          </reference>
        </references>
      </pivotArea>
    </format>
    <format dxfId="901">
      <pivotArea dataOnly="0" labelOnly="1" outline="0" fieldPosition="0">
        <references count="2">
          <reference field="0" count="1" selected="0">
            <x v="373"/>
          </reference>
          <reference field="9" count="1">
            <x v="1"/>
          </reference>
        </references>
      </pivotArea>
    </format>
    <format dxfId="900">
      <pivotArea dataOnly="0" labelOnly="1" outline="0" fieldPosition="0">
        <references count="2">
          <reference field="0" count="1" selected="0">
            <x v="374"/>
          </reference>
          <reference field="9" count="1">
            <x v="1"/>
          </reference>
        </references>
      </pivotArea>
    </format>
    <format dxfId="899">
      <pivotArea dataOnly="0" labelOnly="1" outline="0" fieldPosition="0">
        <references count="2">
          <reference field="0" count="1" selected="0">
            <x v="375"/>
          </reference>
          <reference field="9" count="1">
            <x v="1"/>
          </reference>
        </references>
      </pivotArea>
    </format>
    <format dxfId="898">
      <pivotArea dataOnly="0" labelOnly="1" outline="0" fieldPosition="0">
        <references count="2">
          <reference field="0" count="1" selected="0">
            <x v="376"/>
          </reference>
          <reference field="9" count="1">
            <x v="1"/>
          </reference>
        </references>
      </pivotArea>
    </format>
    <format dxfId="897">
      <pivotArea dataOnly="0" labelOnly="1" outline="0" fieldPosition="0">
        <references count="2">
          <reference field="0" count="1" selected="0">
            <x v="377"/>
          </reference>
          <reference field="9" count="1">
            <x v="1"/>
          </reference>
        </references>
      </pivotArea>
    </format>
    <format dxfId="896">
      <pivotArea dataOnly="0" labelOnly="1" outline="0" fieldPosition="0">
        <references count="2">
          <reference field="0" count="1" selected="0">
            <x v="378"/>
          </reference>
          <reference field="9" count="1">
            <x v="1"/>
          </reference>
        </references>
      </pivotArea>
    </format>
    <format dxfId="895">
      <pivotArea dataOnly="0" labelOnly="1" outline="0" fieldPosition="0">
        <references count="2">
          <reference field="0" count="1" selected="0">
            <x v="379"/>
          </reference>
          <reference field="9" count="1">
            <x v="1"/>
          </reference>
        </references>
      </pivotArea>
    </format>
    <format dxfId="894">
      <pivotArea dataOnly="0" labelOnly="1" outline="0" fieldPosition="0">
        <references count="2">
          <reference field="0" count="1" selected="0">
            <x v="380"/>
          </reference>
          <reference field="9" count="1">
            <x v="1"/>
          </reference>
        </references>
      </pivotArea>
    </format>
    <format dxfId="893">
      <pivotArea dataOnly="0" labelOnly="1" outline="0" fieldPosition="0">
        <references count="2">
          <reference field="0" count="1" selected="0">
            <x v="381"/>
          </reference>
          <reference field="9" count="1">
            <x v="1"/>
          </reference>
        </references>
      </pivotArea>
    </format>
    <format dxfId="892">
      <pivotArea dataOnly="0" labelOnly="1" outline="0" fieldPosition="0">
        <references count="2">
          <reference field="0" count="1" selected="0">
            <x v="382"/>
          </reference>
          <reference field="9" count="1">
            <x v="1"/>
          </reference>
        </references>
      </pivotArea>
    </format>
    <format dxfId="891">
      <pivotArea dataOnly="0" labelOnly="1" outline="0" fieldPosition="0">
        <references count="2">
          <reference field="0" count="1" selected="0">
            <x v="383"/>
          </reference>
          <reference field="9" count="1">
            <x v="1"/>
          </reference>
        </references>
      </pivotArea>
    </format>
    <format dxfId="890">
      <pivotArea dataOnly="0" labelOnly="1" outline="0" fieldPosition="0">
        <references count="2">
          <reference field="0" count="1" selected="0">
            <x v="384"/>
          </reference>
          <reference field="9" count="1">
            <x v="1"/>
          </reference>
        </references>
      </pivotArea>
    </format>
    <format dxfId="889">
      <pivotArea dataOnly="0" labelOnly="1" outline="0" fieldPosition="0">
        <references count="2">
          <reference field="0" count="1" selected="0">
            <x v="385"/>
          </reference>
          <reference field="9" count="1">
            <x v="1"/>
          </reference>
        </references>
      </pivotArea>
    </format>
    <format dxfId="888">
      <pivotArea dataOnly="0" labelOnly="1" outline="0" fieldPosition="0">
        <references count="2">
          <reference field="0" count="1" selected="0">
            <x v="386"/>
          </reference>
          <reference field="9" count="1">
            <x v="1"/>
          </reference>
        </references>
      </pivotArea>
    </format>
    <format dxfId="887">
      <pivotArea dataOnly="0" labelOnly="1" outline="0" fieldPosition="0">
        <references count="2">
          <reference field="0" count="1" selected="0">
            <x v="387"/>
          </reference>
          <reference field="9" count="1">
            <x v="1"/>
          </reference>
        </references>
      </pivotArea>
    </format>
    <format dxfId="886">
      <pivotArea dataOnly="0" labelOnly="1" outline="0" fieldPosition="0">
        <references count="2">
          <reference field="0" count="1" selected="0">
            <x v="388"/>
          </reference>
          <reference field="9" count="1">
            <x v="1"/>
          </reference>
        </references>
      </pivotArea>
    </format>
    <format dxfId="885">
      <pivotArea dataOnly="0" labelOnly="1" outline="0" fieldPosition="0">
        <references count="2">
          <reference field="0" count="1" selected="0">
            <x v="389"/>
          </reference>
          <reference field="9" count="1">
            <x v="1"/>
          </reference>
        </references>
      </pivotArea>
    </format>
    <format dxfId="884">
      <pivotArea dataOnly="0" labelOnly="1" outline="0" fieldPosition="0">
        <references count="2">
          <reference field="0" count="1" selected="0">
            <x v="390"/>
          </reference>
          <reference field="9" count="1">
            <x v="1"/>
          </reference>
        </references>
      </pivotArea>
    </format>
    <format dxfId="883">
      <pivotArea dataOnly="0" labelOnly="1" outline="0" fieldPosition="0">
        <references count="2">
          <reference field="0" count="1" selected="0">
            <x v="391"/>
          </reference>
          <reference field="9" count="1">
            <x v="1"/>
          </reference>
        </references>
      </pivotArea>
    </format>
    <format dxfId="882">
      <pivotArea dataOnly="0" labelOnly="1" outline="0" fieldPosition="0">
        <references count="2">
          <reference field="0" count="1" selected="0">
            <x v="392"/>
          </reference>
          <reference field="9" count="1">
            <x v="1"/>
          </reference>
        </references>
      </pivotArea>
    </format>
    <format dxfId="881">
      <pivotArea dataOnly="0" labelOnly="1" outline="0" fieldPosition="0">
        <references count="2">
          <reference field="0" count="1" selected="0">
            <x v="393"/>
          </reference>
          <reference field="9" count="1">
            <x v="1"/>
          </reference>
        </references>
      </pivotArea>
    </format>
    <format dxfId="880">
      <pivotArea dataOnly="0" labelOnly="1" outline="0" fieldPosition="0">
        <references count="2">
          <reference field="0" count="1" selected="0">
            <x v="394"/>
          </reference>
          <reference field="9" count="1">
            <x v="1"/>
          </reference>
        </references>
      </pivotArea>
    </format>
    <format dxfId="879">
      <pivotArea dataOnly="0" labelOnly="1" outline="0" fieldPosition="0">
        <references count="2">
          <reference field="0" count="1" selected="0">
            <x v="395"/>
          </reference>
          <reference field="9" count="1">
            <x v="1"/>
          </reference>
        </references>
      </pivotArea>
    </format>
    <format dxfId="878">
      <pivotArea dataOnly="0" labelOnly="1" outline="0" fieldPosition="0">
        <references count="2">
          <reference field="0" count="1" selected="0">
            <x v="396"/>
          </reference>
          <reference field="9" count="1">
            <x v="0"/>
          </reference>
        </references>
      </pivotArea>
    </format>
    <format dxfId="877">
      <pivotArea dataOnly="0" labelOnly="1" outline="0" fieldPosition="0">
        <references count="2">
          <reference field="0" count="1" selected="0">
            <x v="397"/>
          </reference>
          <reference field="9" count="1">
            <x v="0"/>
          </reference>
        </references>
      </pivotArea>
    </format>
    <format dxfId="876">
      <pivotArea dataOnly="0" labelOnly="1" outline="0" fieldPosition="0">
        <references count="2">
          <reference field="0" count="1" selected="0">
            <x v="398"/>
          </reference>
          <reference field="9" count="1">
            <x v="0"/>
          </reference>
        </references>
      </pivotArea>
    </format>
    <format dxfId="875">
      <pivotArea dataOnly="0" labelOnly="1" outline="0" fieldPosition="0">
        <references count="2">
          <reference field="0" count="1" selected="0">
            <x v="399"/>
          </reference>
          <reference field="9" count="1">
            <x v="1"/>
          </reference>
        </references>
      </pivotArea>
    </format>
    <format dxfId="874">
      <pivotArea dataOnly="0" labelOnly="1" outline="0" fieldPosition="0">
        <references count="2">
          <reference field="0" count="1" selected="0">
            <x v="400"/>
          </reference>
          <reference field="9" count="1">
            <x v="1"/>
          </reference>
        </references>
      </pivotArea>
    </format>
    <format dxfId="873">
      <pivotArea dataOnly="0" labelOnly="1" outline="0" fieldPosition="0">
        <references count="2">
          <reference field="0" count="1" selected="0">
            <x v="401"/>
          </reference>
          <reference field="9" count="1">
            <x v="0"/>
          </reference>
        </references>
      </pivotArea>
    </format>
    <format dxfId="872">
      <pivotArea dataOnly="0" labelOnly="1" outline="0" fieldPosition="0">
        <references count="2">
          <reference field="0" count="1" selected="0">
            <x v="402"/>
          </reference>
          <reference field="9" count="1">
            <x v="0"/>
          </reference>
        </references>
      </pivotArea>
    </format>
    <format dxfId="871">
      <pivotArea dataOnly="0" labelOnly="1" outline="0" fieldPosition="0">
        <references count="2">
          <reference field="0" count="1" selected="0">
            <x v="403"/>
          </reference>
          <reference field="9" count="1">
            <x v="0"/>
          </reference>
        </references>
      </pivotArea>
    </format>
    <format dxfId="870">
      <pivotArea dataOnly="0" labelOnly="1" outline="0" fieldPosition="0">
        <references count="2">
          <reference field="0" count="1" selected="0">
            <x v="404"/>
          </reference>
          <reference field="9" count="1">
            <x v="0"/>
          </reference>
        </references>
      </pivotArea>
    </format>
    <format dxfId="869">
      <pivotArea dataOnly="0" labelOnly="1" outline="0" fieldPosition="0">
        <references count="2">
          <reference field="0" count="1" selected="0">
            <x v="405"/>
          </reference>
          <reference field="9" count="1">
            <x v="0"/>
          </reference>
        </references>
      </pivotArea>
    </format>
    <format dxfId="868">
      <pivotArea dataOnly="0" labelOnly="1" outline="0" fieldPosition="0">
        <references count="2">
          <reference field="0" count="1" selected="0">
            <x v="406"/>
          </reference>
          <reference field="9" count="1">
            <x v="0"/>
          </reference>
        </references>
      </pivotArea>
    </format>
    <format dxfId="867">
      <pivotArea dataOnly="0" labelOnly="1" outline="0" fieldPosition="0">
        <references count="2">
          <reference field="0" count="1" selected="0">
            <x v="407"/>
          </reference>
          <reference field="9" count="1">
            <x v="0"/>
          </reference>
        </references>
      </pivotArea>
    </format>
    <format dxfId="866">
      <pivotArea dataOnly="0" labelOnly="1" outline="0" fieldPosition="0">
        <references count="2">
          <reference field="0" count="1" selected="0">
            <x v="408"/>
          </reference>
          <reference field="9" count="1">
            <x v="0"/>
          </reference>
        </references>
      </pivotArea>
    </format>
    <format dxfId="865">
      <pivotArea dataOnly="0" labelOnly="1" outline="0" fieldPosition="0">
        <references count="2">
          <reference field="0" count="1" selected="0">
            <x v="409"/>
          </reference>
          <reference field="9" count="1">
            <x v="1"/>
          </reference>
        </references>
      </pivotArea>
    </format>
    <format dxfId="864">
      <pivotArea dataOnly="0" labelOnly="1" outline="0" fieldPosition="0">
        <references count="2">
          <reference field="0" count="1" selected="0">
            <x v="410"/>
          </reference>
          <reference field="9" count="1">
            <x v="0"/>
          </reference>
        </references>
      </pivotArea>
    </format>
    <format dxfId="863">
      <pivotArea dataOnly="0" labelOnly="1" outline="0" fieldPosition="0">
        <references count="2">
          <reference field="0" count="1" selected="0">
            <x v="411"/>
          </reference>
          <reference field="9" count="1">
            <x v="0"/>
          </reference>
        </references>
      </pivotArea>
    </format>
    <format dxfId="862">
      <pivotArea dataOnly="0" labelOnly="1" outline="0" fieldPosition="0">
        <references count="2">
          <reference field="0" count="1" selected="0">
            <x v="412"/>
          </reference>
          <reference field="9" count="1">
            <x v="0"/>
          </reference>
        </references>
      </pivotArea>
    </format>
    <format dxfId="861">
      <pivotArea dataOnly="0" labelOnly="1" outline="0" fieldPosition="0">
        <references count="2">
          <reference field="0" count="1" selected="0">
            <x v="413"/>
          </reference>
          <reference field="9" count="1">
            <x v="0"/>
          </reference>
        </references>
      </pivotArea>
    </format>
    <format dxfId="860">
      <pivotArea dataOnly="0" labelOnly="1" outline="0" fieldPosition="0">
        <references count="2">
          <reference field="0" count="1" selected="0">
            <x v="414"/>
          </reference>
          <reference field="9" count="1">
            <x v="1"/>
          </reference>
        </references>
      </pivotArea>
    </format>
    <format dxfId="859">
      <pivotArea dataOnly="0" labelOnly="1" outline="0" fieldPosition="0">
        <references count="2">
          <reference field="0" count="1" selected="0">
            <x v="416"/>
          </reference>
          <reference field="9" count="1">
            <x v="1"/>
          </reference>
        </references>
      </pivotArea>
    </format>
    <format dxfId="858">
      <pivotArea dataOnly="0" labelOnly="1" outline="0" fieldPosition="0">
        <references count="2">
          <reference field="0" count="1" selected="0">
            <x v="417"/>
          </reference>
          <reference field="9" count="1">
            <x v="1"/>
          </reference>
        </references>
      </pivotArea>
    </format>
    <format dxfId="857">
      <pivotArea dataOnly="0" labelOnly="1" outline="0" fieldPosition="0">
        <references count="2">
          <reference field="0" count="1" selected="0">
            <x v="418"/>
          </reference>
          <reference field="9" count="1">
            <x v="1"/>
          </reference>
        </references>
      </pivotArea>
    </format>
    <format dxfId="856">
      <pivotArea dataOnly="0" labelOnly="1" outline="0" fieldPosition="0">
        <references count="2">
          <reference field="0" count="1" selected="0">
            <x v="419"/>
          </reference>
          <reference field="9" count="1">
            <x v="1"/>
          </reference>
        </references>
      </pivotArea>
    </format>
    <format dxfId="855">
      <pivotArea dataOnly="0" labelOnly="1" outline="0" fieldPosition="0">
        <references count="2">
          <reference field="0" count="1" selected="0">
            <x v="420"/>
          </reference>
          <reference field="9" count="1">
            <x v="1"/>
          </reference>
        </references>
      </pivotArea>
    </format>
    <format dxfId="854">
      <pivotArea dataOnly="0" labelOnly="1" outline="0" fieldPosition="0">
        <references count="2">
          <reference field="0" count="1" selected="0">
            <x v="421"/>
          </reference>
          <reference field="9" count="1">
            <x v="1"/>
          </reference>
        </references>
      </pivotArea>
    </format>
    <format dxfId="853">
      <pivotArea dataOnly="0" labelOnly="1" outline="0" fieldPosition="0">
        <references count="2">
          <reference field="0" count="1" selected="0">
            <x v="422"/>
          </reference>
          <reference field="9" count="1">
            <x v="1"/>
          </reference>
        </references>
      </pivotArea>
    </format>
    <format dxfId="852">
      <pivotArea dataOnly="0" labelOnly="1" outline="0" fieldPosition="0">
        <references count="2">
          <reference field="0" count="1" selected="0">
            <x v="423"/>
          </reference>
          <reference field="9" count="1">
            <x v="1"/>
          </reference>
        </references>
      </pivotArea>
    </format>
    <format dxfId="851">
      <pivotArea dataOnly="0" labelOnly="1" outline="0" fieldPosition="0">
        <references count="2">
          <reference field="0" count="1" selected="0">
            <x v="424"/>
          </reference>
          <reference field="9" count="1">
            <x v="1"/>
          </reference>
        </references>
      </pivotArea>
    </format>
    <format dxfId="850">
      <pivotArea dataOnly="0" labelOnly="1" outline="0" fieldPosition="0">
        <references count="2">
          <reference field="0" count="1" selected="0">
            <x v="425"/>
          </reference>
          <reference field="9" count="1">
            <x v="1"/>
          </reference>
        </references>
      </pivotArea>
    </format>
    <format dxfId="849">
      <pivotArea dataOnly="0" labelOnly="1" outline="0" fieldPosition="0">
        <references count="2">
          <reference field="0" count="1" selected="0">
            <x v="426"/>
          </reference>
          <reference field="9" count="1">
            <x v="1"/>
          </reference>
        </references>
      </pivotArea>
    </format>
    <format dxfId="848">
      <pivotArea dataOnly="0" labelOnly="1" outline="0" fieldPosition="0">
        <references count="2">
          <reference field="0" count="1" selected="0">
            <x v="427"/>
          </reference>
          <reference field="9" count="1">
            <x v="1"/>
          </reference>
        </references>
      </pivotArea>
    </format>
    <format dxfId="847">
      <pivotArea dataOnly="0" labelOnly="1" outline="0" fieldPosition="0">
        <references count="2">
          <reference field="0" count="1" selected="0">
            <x v="428"/>
          </reference>
          <reference field="9" count="1">
            <x v="1"/>
          </reference>
        </references>
      </pivotArea>
    </format>
    <format dxfId="846">
      <pivotArea dataOnly="0" labelOnly="1" outline="0" fieldPosition="0">
        <references count="2">
          <reference field="0" count="1" selected="0">
            <x v="429"/>
          </reference>
          <reference field="9" count="1">
            <x v="1"/>
          </reference>
        </references>
      </pivotArea>
    </format>
    <format dxfId="845">
      <pivotArea dataOnly="0" labelOnly="1" outline="0" fieldPosition="0">
        <references count="2">
          <reference field="0" count="1" selected="0">
            <x v="430"/>
          </reference>
          <reference field="9" count="1">
            <x v="1"/>
          </reference>
        </references>
      </pivotArea>
    </format>
    <format dxfId="844">
      <pivotArea dataOnly="0" labelOnly="1" outline="0" fieldPosition="0">
        <references count="2">
          <reference field="0" count="1" selected="0">
            <x v="431"/>
          </reference>
          <reference field="9" count="1">
            <x v="1"/>
          </reference>
        </references>
      </pivotArea>
    </format>
    <format dxfId="843">
      <pivotArea dataOnly="0" labelOnly="1" outline="0" fieldPosition="0">
        <references count="2">
          <reference field="0" count="1" selected="0">
            <x v="432"/>
          </reference>
          <reference field="9" count="1">
            <x v="1"/>
          </reference>
        </references>
      </pivotArea>
    </format>
    <format dxfId="842">
      <pivotArea dataOnly="0" labelOnly="1" outline="0" fieldPosition="0">
        <references count="2">
          <reference field="0" count="1" selected="0">
            <x v="433"/>
          </reference>
          <reference field="9" count="1">
            <x v="1"/>
          </reference>
        </references>
      </pivotArea>
    </format>
    <format dxfId="841">
      <pivotArea dataOnly="0" labelOnly="1" outline="0" fieldPosition="0">
        <references count="2">
          <reference field="0" count="1" selected="0">
            <x v="434"/>
          </reference>
          <reference field="9" count="1">
            <x v="1"/>
          </reference>
        </references>
      </pivotArea>
    </format>
    <format dxfId="840">
      <pivotArea dataOnly="0" labelOnly="1" outline="0" fieldPosition="0">
        <references count="2">
          <reference field="0" count="1" selected="0">
            <x v="435"/>
          </reference>
          <reference field="9" count="1">
            <x v="1"/>
          </reference>
        </references>
      </pivotArea>
    </format>
    <format dxfId="839">
      <pivotArea dataOnly="0" labelOnly="1" outline="0" fieldPosition="0">
        <references count="2">
          <reference field="0" count="1" selected="0">
            <x v="436"/>
          </reference>
          <reference field="9" count="1">
            <x v="1"/>
          </reference>
        </references>
      </pivotArea>
    </format>
    <format dxfId="838">
      <pivotArea dataOnly="0" labelOnly="1" outline="0" fieldPosition="0">
        <references count="2">
          <reference field="0" count="1" selected="0">
            <x v="437"/>
          </reference>
          <reference field="9" count="1">
            <x v="1"/>
          </reference>
        </references>
      </pivotArea>
    </format>
    <format dxfId="837">
      <pivotArea dataOnly="0" labelOnly="1" outline="0" fieldPosition="0">
        <references count="2">
          <reference field="0" count="1" selected="0">
            <x v="438"/>
          </reference>
          <reference field="9" count="1">
            <x v="1"/>
          </reference>
        </references>
      </pivotArea>
    </format>
    <format dxfId="836">
      <pivotArea dataOnly="0" labelOnly="1" outline="0" fieldPosition="0">
        <references count="2">
          <reference field="0" count="1" selected="0">
            <x v="439"/>
          </reference>
          <reference field="9" count="1">
            <x v="1"/>
          </reference>
        </references>
      </pivotArea>
    </format>
    <format dxfId="835">
      <pivotArea dataOnly="0" labelOnly="1" outline="0" fieldPosition="0">
        <references count="2">
          <reference field="0" count="1" selected="0">
            <x v="440"/>
          </reference>
          <reference field="9" count="1">
            <x v="1"/>
          </reference>
        </references>
      </pivotArea>
    </format>
    <format dxfId="834">
      <pivotArea dataOnly="0" labelOnly="1" outline="0" fieldPosition="0">
        <references count="2">
          <reference field="0" count="1" selected="0">
            <x v="441"/>
          </reference>
          <reference field="9" count="1">
            <x v="0"/>
          </reference>
        </references>
      </pivotArea>
    </format>
    <format dxfId="833">
      <pivotArea dataOnly="0" labelOnly="1" outline="0" fieldPosition="0">
        <references count="2">
          <reference field="0" count="1" selected="0">
            <x v="442"/>
          </reference>
          <reference field="9" count="1">
            <x v="1"/>
          </reference>
        </references>
      </pivotArea>
    </format>
    <format dxfId="832">
      <pivotArea dataOnly="0" labelOnly="1" outline="0" fieldPosition="0">
        <references count="2">
          <reference field="0" count="1" selected="0">
            <x v="443"/>
          </reference>
          <reference field="9" count="1">
            <x v="1"/>
          </reference>
        </references>
      </pivotArea>
    </format>
    <format dxfId="831">
      <pivotArea dataOnly="0" labelOnly="1" outline="0" fieldPosition="0">
        <references count="2">
          <reference field="0" count="1" selected="0">
            <x v="444"/>
          </reference>
          <reference field="9" count="1">
            <x v="1"/>
          </reference>
        </references>
      </pivotArea>
    </format>
    <format dxfId="830">
      <pivotArea dataOnly="0" labelOnly="1" outline="0" fieldPosition="0">
        <references count="2">
          <reference field="0" count="1" selected="0">
            <x v="445"/>
          </reference>
          <reference field="9" count="1">
            <x v="1"/>
          </reference>
        </references>
      </pivotArea>
    </format>
    <format dxfId="829">
      <pivotArea dataOnly="0" labelOnly="1" outline="0" fieldPosition="0">
        <references count="2">
          <reference field="0" count="1" selected="0">
            <x v="446"/>
          </reference>
          <reference field="9" count="1">
            <x v="1"/>
          </reference>
        </references>
      </pivotArea>
    </format>
    <format dxfId="828">
      <pivotArea dataOnly="0" labelOnly="1" outline="0" fieldPosition="0">
        <references count="2">
          <reference field="0" count="1" selected="0">
            <x v="447"/>
          </reference>
          <reference field="9" count="1">
            <x v="1"/>
          </reference>
        </references>
      </pivotArea>
    </format>
    <format dxfId="827">
      <pivotArea dataOnly="0" labelOnly="1" outline="0" fieldPosition="0">
        <references count="2">
          <reference field="0" count="1" selected="0">
            <x v="448"/>
          </reference>
          <reference field="9" count="1">
            <x v="1"/>
          </reference>
        </references>
      </pivotArea>
    </format>
    <format dxfId="826">
      <pivotArea dataOnly="0" labelOnly="1" outline="0" fieldPosition="0">
        <references count="2">
          <reference field="0" count="1" selected="0">
            <x v="449"/>
          </reference>
          <reference field="9" count="1">
            <x v="1"/>
          </reference>
        </references>
      </pivotArea>
    </format>
    <format dxfId="825">
      <pivotArea dataOnly="0" labelOnly="1" outline="0" fieldPosition="0">
        <references count="2">
          <reference field="0" count="1" selected="0">
            <x v="450"/>
          </reference>
          <reference field="9" count="1">
            <x v="1"/>
          </reference>
        </references>
      </pivotArea>
    </format>
    <format dxfId="824">
      <pivotArea dataOnly="0" labelOnly="1" outline="0" fieldPosition="0">
        <references count="2">
          <reference field="0" count="1" selected="0">
            <x v="451"/>
          </reference>
          <reference field="9" count="1">
            <x v="1"/>
          </reference>
        </references>
      </pivotArea>
    </format>
    <format dxfId="823">
      <pivotArea dataOnly="0" labelOnly="1" outline="0" fieldPosition="0">
        <references count="2">
          <reference field="0" count="1" selected="0">
            <x v="452"/>
          </reference>
          <reference field="9" count="1">
            <x v="1"/>
          </reference>
        </references>
      </pivotArea>
    </format>
    <format dxfId="822">
      <pivotArea dataOnly="0" labelOnly="1" outline="0" fieldPosition="0">
        <references count="2">
          <reference field="0" count="1" selected="0">
            <x v="453"/>
          </reference>
          <reference field="9" count="1">
            <x v="1"/>
          </reference>
        </references>
      </pivotArea>
    </format>
    <format dxfId="821">
      <pivotArea dataOnly="0" labelOnly="1" outline="0" fieldPosition="0">
        <references count="2">
          <reference field="0" count="1" selected="0">
            <x v="454"/>
          </reference>
          <reference field="9" count="1">
            <x v="1"/>
          </reference>
        </references>
      </pivotArea>
    </format>
    <format dxfId="820">
      <pivotArea dataOnly="0" labelOnly="1" outline="0" fieldPosition="0">
        <references count="2">
          <reference field="0" count="1" selected="0">
            <x v="455"/>
          </reference>
          <reference field="9" count="1">
            <x v="1"/>
          </reference>
        </references>
      </pivotArea>
    </format>
    <format dxfId="819">
      <pivotArea dataOnly="0" labelOnly="1" outline="0" fieldPosition="0">
        <references count="2">
          <reference field="0" count="1" selected="0">
            <x v="456"/>
          </reference>
          <reference field="9" count="1">
            <x v="1"/>
          </reference>
        </references>
      </pivotArea>
    </format>
    <format dxfId="818">
      <pivotArea dataOnly="0" labelOnly="1" outline="0" fieldPosition="0">
        <references count="2">
          <reference field="0" count="1" selected="0">
            <x v="457"/>
          </reference>
          <reference field="9" count="1">
            <x v="1"/>
          </reference>
        </references>
      </pivotArea>
    </format>
    <format dxfId="817">
      <pivotArea dataOnly="0" labelOnly="1" outline="0" fieldPosition="0">
        <references count="2">
          <reference field="0" count="1" selected="0">
            <x v="458"/>
          </reference>
          <reference field="9" count="1">
            <x v="1"/>
          </reference>
        </references>
      </pivotArea>
    </format>
    <format dxfId="816">
      <pivotArea dataOnly="0" labelOnly="1" outline="0" fieldPosition="0">
        <references count="2">
          <reference field="0" count="1" selected="0">
            <x v="459"/>
          </reference>
          <reference field="9" count="1">
            <x v="1"/>
          </reference>
        </references>
      </pivotArea>
    </format>
    <format dxfId="815">
      <pivotArea dataOnly="0" labelOnly="1" outline="0" fieldPosition="0">
        <references count="2">
          <reference field="0" count="1" selected="0">
            <x v="460"/>
          </reference>
          <reference field="9" count="1">
            <x v="1"/>
          </reference>
        </references>
      </pivotArea>
    </format>
    <format dxfId="814">
      <pivotArea dataOnly="0" labelOnly="1" outline="0" fieldPosition="0">
        <references count="2">
          <reference field="0" count="1" selected="0">
            <x v="461"/>
          </reference>
          <reference field="9" count="1">
            <x v="1"/>
          </reference>
        </references>
      </pivotArea>
    </format>
    <format dxfId="813">
      <pivotArea dataOnly="0" labelOnly="1" outline="0" fieldPosition="0">
        <references count="2">
          <reference field="0" count="1" selected="0">
            <x v="462"/>
          </reference>
          <reference field="9" count="1">
            <x v="1"/>
          </reference>
        </references>
      </pivotArea>
    </format>
    <format dxfId="812">
      <pivotArea dataOnly="0" labelOnly="1" outline="0" fieldPosition="0">
        <references count="2">
          <reference field="0" count="1" selected="0">
            <x v="463"/>
          </reference>
          <reference field="9" count="1">
            <x v="1"/>
          </reference>
        </references>
      </pivotArea>
    </format>
    <format dxfId="811">
      <pivotArea dataOnly="0" labelOnly="1" outline="0" fieldPosition="0">
        <references count="2">
          <reference field="0" count="1" selected="0">
            <x v="464"/>
          </reference>
          <reference field="9" count="1">
            <x v="1"/>
          </reference>
        </references>
      </pivotArea>
    </format>
    <format dxfId="810">
      <pivotArea dataOnly="0" labelOnly="1" outline="0" fieldPosition="0">
        <references count="2">
          <reference field="0" count="1" selected="0">
            <x v="465"/>
          </reference>
          <reference field="9" count="1">
            <x v="1"/>
          </reference>
        </references>
      </pivotArea>
    </format>
    <format dxfId="809">
      <pivotArea dataOnly="0" labelOnly="1" outline="0" fieldPosition="0">
        <references count="2">
          <reference field="0" count="1" selected="0">
            <x v="466"/>
          </reference>
          <reference field="9" count="1">
            <x v="1"/>
          </reference>
        </references>
      </pivotArea>
    </format>
    <format dxfId="808">
      <pivotArea dataOnly="0" labelOnly="1" outline="0" fieldPosition="0">
        <references count="2">
          <reference field="0" count="1" selected="0">
            <x v="467"/>
          </reference>
          <reference field="9" count="1">
            <x v="1"/>
          </reference>
        </references>
      </pivotArea>
    </format>
    <format dxfId="807">
      <pivotArea dataOnly="0" labelOnly="1" outline="0" fieldPosition="0">
        <references count="2">
          <reference field="0" count="1" selected="0">
            <x v="468"/>
          </reference>
          <reference field="9" count="1">
            <x v="1"/>
          </reference>
        </references>
      </pivotArea>
    </format>
    <format dxfId="806">
      <pivotArea dataOnly="0" labelOnly="1" outline="0" fieldPosition="0">
        <references count="2">
          <reference field="0" count="1" selected="0">
            <x v="469"/>
          </reference>
          <reference field="9" count="1">
            <x v="1"/>
          </reference>
        </references>
      </pivotArea>
    </format>
    <format dxfId="805">
      <pivotArea dataOnly="0" labelOnly="1" outline="0" fieldPosition="0">
        <references count="2">
          <reference field="0" count="1" selected="0">
            <x v="470"/>
          </reference>
          <reference field="9" count="1">
            <x v="1"/>
          </reference>
        </references>
      </pivotArea>
    </format>
    <format dxfId="804">
      <pivotArea dataOnly="0" labelOnly="1" outline="0" fieldPosition="0">
        <references count="2">
          <reference field="0" count="1" selected="0">
            <x v="471"/>
          </reference>
          <reference field="9" count="1">
            <x v="1"/>
          </reference>
        </references>
      </pivotArea>
    </format>
    <format dxfId="803">
      <pivotArea dataOnly="0" labelOnly="1" outline="0" fieldPosition="0">
        <references count="2">
          <reference field="0" count="1" selected="0">
            <x v="472"/>
          </reference>
          <reference field="9" count="1">
            <x v="1"/>
          </reference>
        </references>
      </pivotArea>
    </format>
    <format dxfId="802">
      <pivotArea dataOnly="0" labelOnly="1" outline="0" fieldPosition="0">
        <references count="2">
          <reference field="0" count="1" selected="0">
            <x v="473"/>
          </reference>
          <reference field="9" count="1">
            <x v="1"/>
          </reference>
        </references>
      </pivotArea>
    </format>
    <format dxfId="801">
      <pivotArea dataOnly="0" labelOnly="1" outline="0" fieldPosition="0">
        <references count="2">
          <reference field="0" count="1" selected="0">
            <x v="474"/>
          </reference>
          <reference field="9" count="1">
            <x v="0"/>
          </reference>
        </references>
      </pivotArea>
    </format>
    <format dxfId="800">
      <pivotArea dataOnly="0" labelOnly="1" outline="0" fieldPosition="0">
        <references count="2">
          <reference field="0" count="1" selected="0">
            <x v="476"/>
          </reference>
          <reference field="9" count="1">
            <x v="0"/>
          </reference>
        </references>
      </pivotArea>
    </format>
    <format dxfId="799">
      <pivotArea dataOnly="0" labelOnly="1" outline="0" fieldPosition="0">
        <references count="2">
          <reference field="0" count="1" selected="0">
            <x v="477"/>
          </reference>
          <reference field="9" count="1">
            <x v="0"/>
          </reference>
        </references>
      </pivotArea>
    </format>
    <format dxfId="798">
      <pivotArea dataOnly="0" labelOnly="1" outline="0" fieldPosition="0">
        <references count="2">
          <reference field="0" count="1" selected="0">
            <x v="478"/>
          </reference>
          <reference field="9" count="1">
            <x v="0"/>
          </reference>
        </references>
      </pivotArea>
    </format>
    <format dxfId="797">
      <pivotArea dataOnly="0" labelOnly="1" outline="0" fieldPosition="0">
        <references count="2">
          <reference field="0" count="1" selected="0">
            <x v="479"/>
          </reference>
          <reference field="9" count="1">
            <x v="1"/>
          </reference>
        </references>
      </pivotArea>
    </format>
    <format dxfId="796">
      <pivotArea dataOnly="0" labelOnly="1" outline="0" fieldPosition="0">
        <references count="2">
          <reference field="0" count="1" selected="0">
            <x v="480"/>
          </reference>
          <reference field="9" count="1">
            <x v="1"/>
          </reference>
        </references>
      </pivotArea>
    </format>
    <format dxfId="795">
      <pivotArea dataOnly="0" labelOnly="1" outline="0" fieldPosition="0">
        <references count="2">
          <reference field="0" count="1" selected="0">
            <x v="484"/>
          </reference>
          <reference field="9" count="1">
            <x v="1"/>
          </reference>
        </references>
      </pivotArea>
    </format>
    <format dxfId="794">
      <pivotArea dataOnly="0" labelOnly="1" outline="0" fieldPosition="0">
        <references count="2">
          <reference field="0" count="1" selected="0">
            <x v="485"/>
          </reference>
          <reference field="9" count="1">
            <x v="0"/>
          </reference>
        </references>
      </pivotArea>
    </format>
    <format dxfId="793">
      <pivotArea dataOnly="0" labelOnly="1" outline="0" fieldPosition="0">
        <references count="2">
          <reference field="0" count="1" selected="0">
            <x v="487"/>
          </reference>
          <reference field="9" count="1">
            <x v="0"/>
          </reference>
        </references>
      </pivotArea>
    </format>
    <format dxfId="792">
      <pivotArea dataOnly="0" labelOnly="1" outline="0" fieldPosition="0">
        <references count="2">
          <reference field="0" count="1" selected="0">
            <x v="489"/>
          </reference>
          <reference field="9" count="1">
            <x v="0"/>
          </reference>
        </references>
      </pivotArea>
    </format>
    <format dxfId="791">
      <pivotArea dataOnly="0" labelOnly="1" outline="0" fieldPosition="0">
        <references count="2">
          <reference field="0" count="1" selected="0">
            <x v="490"/>
          </reference>
          <reference field="9" count="1">
            <x v="0"/>
          </reference>
        </references>
      </pivotArea>
    </format>
    <format dxfId="790">
      <pivotArea dataOnly="0" labelOnly="1" outline="0" fieldPosition="0">
        <references count="2">
          <reference field="0" count="1" selected="0">
            <x v="491"/>
          </reference>
          <reference field="9" count="1">
            <x v="0"/>
          </reference>
        </references>
      </pivotArea>
    </format>
    <format dxfId="789">
      <pivotArea dataOnly="0" labelOnly="1" outline="0" fieldPosition="0">
        <references count="2">
          <reference field="0" count="1" selected="0">
            <x v="498"/>
          </reference>
          <reference field="9" count="1">
            <x v="0"/>
          </reference>
        </references>
      </pivotArea>
    </format>
    <format dxfId="788">
      <pivotArea dataOnly="0" labelOnly="1" outline="0" fieldPosition="0">
        <references count="2">
          <reference field="0" count="1" selected="0">
            <x v="500"/>
          </reference>
          <reference field="9" count="1">
            <x v="1"/>
          </reference>
        </references>
      </pivotArea>
    </format>
    <format dxfId="787">
      <pivotArea dataOnly="0" labelOnly="1" outline="0" fieldPosition="0">
        <references count="2">
          <reference field="0" count="1" selected="0">
            <x v="506"/>
          </reference>
          <reference field="9" count="1">
            <x v="0"/>
          </reference>
        </references>
      </pivotArea>
    </format>
    <format dxfId="786">
      <pivotArea dataOnly="0" labelOnly="1" outline="0" fieldPosition="0">
        <references count="2">
          <reference field="0" count="1" selected="0">
            <x v="510"/>
          </reference>
          <reference field="9" count="1">
            <x v="0"/>
          </reference>
        </references>
      </pivotArea>
    </format>
    <format dxfId="785">
      <pivotArea dataOnly="0" labelOnly="1" outline="0" fieldPosition="0">
        <references count="2">
          <reference field="0" count="1" selected="0">
            <x v="511"/>
          </reference>
          <reference field="9" count="1">
            <x v="0"/>
          </reference>
        </references>
      </pivotArea>
    </format>
    <format dxfId="784">
      <pivotArea dataOnly="0" labelOnly="1" outline="0" fieldPosition="0">
        <references count="2">
          <reference field="0" count="1" selected="0">
            <x v="512"/>
          </reference>
          <reference field="9" count="1">
            <x v="0"/>
          </reference>
        </references>
      </pivotArea>
    </format>
    <format dxfId="783">
      <pivotArea dataOnly="0" labelOnly="1" outline="0" fieldPosition="0">
        <references count="2">
          <reference field="0" count="1" selected="0">
            <x v="513"/>
          </reference>
          <reference field="9" count="1">
            <x v="0"/>
          </reference>
        </references>
      </pivotArea>
    </format>
    <format dxfId="782">
      <pivotArea dataOnly="0" labelOnly="1" outline="0" fieldPosition="0">
        <references count="2">
          <reference field="0" count="1" selected="0">
            <x v="514"/>
          </reference>
          <reference field="9" count="1">
            <x v="0"/>
          </reference>
        </references>
      </pivotArea>
    </format>
    <format dxfId="781">
      <pivotArea dataOnly="0" labelOnly="1" outline="0" fieldPosition="0">
        <references count="2">
          <reference field="0" count="1" selected="0">
            <x v="517"/>
          </reference>
          <reference field="9" count="1">
            <x v="0"/>
          </reference>
        </references>
      </pivotArea>
    </format>
    <format dxfId="780">
      <pivotArea dataOnly="0" labelOnly="1" outline="0" fieldPosition="0">
        <references count="2">
          <reference field="0" count="1" selected="0">
            <x v="520"/>
          </reference>
          <reference field="9" count="1">
            <x v="1"/>
          </reference>
        </references>
      </pivotArea>
    </format>
    <format dxfId="779">
      <pivotArea dataOnly="0" labelOnly="1" outline="0" fieldPosition="0">
        <references count="2">
          <reference field="0" count="1" selected="0">
            <x v="521"/>
          </reference>
          <reference field="9" count="1">
            <x v="1"/>
          </reference>
        </references>
      </pivotArea>
    </format>
    <format dxfId="778">
      <pivotArea dataOnly="0" labelOnly="1" outline="0" fieldPosition="0">
        <references count="2">
          <reference field="0" count="1" selected="0">
            <x v="522"/>
          </reference>
          <reference field="9" count="1">
            <x v="1"/>
          </reference>
        </references>
      </pivotArea>
    </format>
    <format dxfId="777">
      <pivotArea dataOnly="0" labelOnly="1" outline="0" fieldPosition="0">
        <references count="2">
          <reference field="0" count="1" selected="0">
            <x v="523"/>
          </reference>
          <reference field="9" count="1">
            <x v="1"/>
          </reference>
        </references>
      </pivotArea>
    </format>
    <format dxfId="776">
      <pivotArea dataOnly="0" labelOnly="1" outline="0" fieldPosition="0">
        <references count="2">
          <reference field="0" count="1" selected="0">
            <x v="524"/>
          </reference>
          <reference field="9" count="1">
            <x v="0"/>
          </reference>
        </references>
      </pivotArea>
    </format>
    <format dxfId="775">
      <pivotArea dataOnly="0" labelOnly="1" outline="0" fieldPosition="0">
        <references count="2">
          <reference field="0" count="1" selected="0">
            <x v="525"/>
          </reference>
          <reference field="9" count="1">
            <x v="1"/>
          </reference>
        </references>
      </pivotArea>
    </format>
    <format dxfId="774">
      <pivotArea dataOnly="0" labelOnly="1" outline="0" fieldPosition="0">
        <references count="2">
          <reference field="0" count="1" selected="0">
            <x v="526"/>
          </reference>
          <reference field="9" count="1">
            <x v="1"/>
          </reference>
        </references>
      </pivotArea>
    </format>
    <format dxfId="773">
      <pivotArea dataOnly="0" labelOnly="1" outline="0" fieldPosition="0">
        <references count="2">
          <reference field="0" count="1" selected="0">
            <x v="527"/>
          </reference>
          <reference field="9" count="1">
            <x v="1"/>
          </reference>
        </references>
      </pivotArea>
    </format>
    <format dxfId="772">
      <pivotArea dataOnly="0" labelOnly="1" outline="0" fieldPosition="0">
        <references count="2">
          <reference field="0" count="1" selected="0">
            <x v="528"/>
          </reference>
          <reference field="9" count="1">
            <x v="0"/>
          </reference>
        </references>
      </pivotArea>
    </format>
    <format dxfId="771">
      <pivotArea dataOnly="0" labelOnly="1" outline="0" fieldPosition="0">
        <references count="2">
          <reference field="0" count="1" selected="0">
            <x v="529"/>
          </reference>
          <reference field="9" count="1">
            <x v="0"/>
          </reference>
        </references>
      </pivotArea>
    </format>
    <format dxfId="770">
      <pivotArea dataOnly="0" labelOnly="1" outline="0" fieldPosition="0">
        <references count="2">
          <reference field="0" count="1" selected="0">
            <x v="530"/>
          </reference>
          <reference field="9" count="1">
            <x v="0"/>
          </reference>
        </references>
      </pivotArea>
    </format>
    <format dxfId="769">
      <pivotArea dataOnly="0" labelOnly="1" outline="0" fieldPosition="0">
        <references count="2">
          <reference field="0" count="1" selected="0">
            <x v="532"/>
          </reference>
          <reference field="9" count="1">
            <x v="1"/>
          </reference>
        </references>
      </pivotArea>
    </format>
    <format dxfId="768">
      <pivotArea dataOnly="0" labelOnly="1" outline="0" fieldPosition="0">
        <references count="2">
          <reference field="0" count="1" selected="0">
            <x v="534"/>
          </reference>
          <reference field="9" count="1">
            <x v="1"/>
          </reference>
        </references>
      </pivotArea>
    </format>
    <format dxfId="767">
      <pivotArea dataOnly="0" labelOnly="1" outline="0" fieldPosition="0">
        <references count="2">
          <reference field="0" count="1" selected="0">
            <x v="535"/>
          </reference>
          <reference field="9" count="1">
            <x v="1"/>
          </reference>
        </references>
      </pivotArea>
    </format>
    <format dxfId="766">
      <pivotArea dataOnly="0" labelOnly="1" outline="0" fieldPosition="0">
        <references count="2">
          <reference field="0" count="1" selected="0">
            <x v="536"/>
          </reference>
          <reference field="9" count="1">
            <x v="0"/>
          </reference>
        </references>
      </pivotArea>
    </format>
    <format dxfId="765">
      <pivotArea dataOnly="0" labelOnly="1" outline="0" fieldPosition="0">
        <references count="2">
          <reference field="0" count="1" selected="0">
            <x v="537"/>
          </reference>
          <reference field="9" count="1">
            <x v="0"/>
          </reference>
        </references>
      </pivotArea>
    </format>
    <format dxfId="764">
      <pivotArea dataOnly="0" labelOnly="1" outline="0" fieldPosition="0">
        <references count="2">
          <reference field="0" count="1" selected="0">
            <x v="538"/>
          </reference>
          <reference field="9" count="1">
            <x v="0"/>
          </reference>
        </references>
      </pivotArea>
    </format>
    <format dxfId="763">
      <pivotArea dataOnly="0" labelOnly="1" outline="0" fieldPosition="0">
        <references count="2">
          <reference field="0" count="1" selected="0">
            <x v="539"/>
          </reference>
          <reference field="9" count="1">
            <x v="0"/>
          </reference>
        </references>
      </pivotArea>
    </format>
    <format dxfId="762">
      <pivotArea dataOnly="0" labelOnly="1" outline="0" fieldPosition="0">
        <references count="2">
          <reference field="0" count="1" selected="0">
            <x v="540"/>
          </reference>
          <reference field="9" count="1">
            <x v="0"/>
          </reference>
        </references>
      </pivotArea>
    </format>
    <format dxfId="761">
      <pivotArea dataOnly="0" labelOnly="1" outline="0" fieldPosition="0">
        <references count="2">
          <reference field="0" count="1" selected="0">
            <x v="541"/>
          </reference>
          <reference field="9" count="1">
            <x v="0"/>
          </reference>
        </references>
      </pivotArea>
    </format>
    <format dxfId="760">
      <pivotArea dataOnly="0" labelOnly="1" outline="0" fieldPosition="0">
        <references count="2">
          <reference field="0" count="1" selected="0">
            <x v="545"/>
          </reference>
          <reference field="9" count="1">
            <x v="0"/>
          </reference>
        </references>
      </pivotArea>
    </format>
    <format dxfId="759">
      <pivotArea dataOnly="0" labelOnly="1" outline="0" fieldPosition="0">
        <references count="2">
          <reference field="0" count="1" selected="0">
            <x v="547"/>
          </reference>
          <reference field="9" count="1">
            <x v="1"/>
          </reference>
        </references>
      </pivotArea>
    </format>
    <format dxfId="758">
      <pivotArea dataOnly="0" labelOnly="1" outline="0" fieldPosition="0">
        <references count="2">
          <reference field="0" count="1" selected="0">
            <x v="548"/>
          </reference>
          <reference field="9" count="1">
            <x v="0"/>
          </reference>
        </references>
      </pivotArea>
    </format>
    <format dxfId="757">
      <pivotArea dataOnly="0" labelOnly="1" outline="0" fieldPosition="0">
        <references count="2">
          <reference field="0" count="1" selected="0">
            <x v="549"/>
          </reference>
          <reference field="9" count="1">
            <x v="0"/>
          </reference>
        </references>
      </pivotArea>
    </format>
    <format dxfId="756">
      <pivotArea field="10" type="button" dataOnly="0" labelOnly="1" outline="0" axis="axisRow" fieldPosition="1"/>
    </format>
    <format dxfId="755">
      <pivotArea field="11" type="button" dataOnly="0" labelOnly="1" outline="0" axis="axisRow" fieldPosition="2"/>
    </format>
    <format dxfId="754">
      <pivotArea dataOnly="0" labelOnly="1" outline="0" fieldPosition="0">
        <references count="2">
          <reference field="0" count="1" selected="0">
            <x v="0"/>
          </reference>
          <reference field="10" count="1">
            <x v="3"/>
          </reference>
        </references>
      </pivotArea>
    </format>
    <format dxfId="753">
      <pivotArea dataOnly="0" labelOnly="1" outline="0" fieldPosition="0">
        <references count="2">
          <reference field="0" count="1" selected="0">
            <x v="5"/>
          </reference>
          <reference field="10" count="2">
            <x v="0"/>
            <x v="3"/>
          </reference>
        </references>
      </pivotArea>
    </format>
    <format dxfId="752">
      <pivotArea dataOnly="0" labelOnly="1" outline="0" fieldPosition="0">
        <references count="2">
          <reference field="0" count="1" selected="0">
            <x v="6"/>
          </reference>
          <reference field="10" count="2">
            <x v="0"/>
            <x v="3"/>
          </reference>
        </references>
      </pivotArea>
    </format>
    <format dxfId="751">
      <pivotArea dataOnly="0" labelOnly="1" outline="0" fieldPosition="0">
        <references count="2">
          <reference field="0" count="1" selected="0">
            <x v="7"/>
          </reference>
          <reference field="10" count="1">
            <x v="2"/>
          </reference>
        </references>
      </pivotArea>
    </format>
    <format dxfId="750">
      <pivotArea dataOnly="0" labelOnly="1" outline="0" fieldPosition="0">
        <references count="2">
          <reference field="0" count="1" selected="0">
            <x v="8"/>
          </reference>
          <reference field="10" count="1">
            <x v="3"/>
          </reference>
        </references>
      </pivotArea>
    </format>
    <format dxfId="749">
      <pivotArea dataOnly="0" labelOnly="1" outline="0" fieldPosition="0">
        <references count="2">
          <reference field="0" count="1" selected="0">
            <x v="9"/>
          </reference>
          <reference field="10" count="2">
            <x v="2"/>
            <x v="3"/>
          </reference>
        </references>
      </pivotArea>
    </format>
    <format dxfId="748">
      <pivotArea dataOnly="0" labelOnly="1" outline="0" fieldPosition="0">
        <references count="2">
          <reference field="0" count="1" selected="0">
            <x v="12"/>
          </reference>
          <reference field="10" count="2">
            <x v="0"/>
            <x v="3"/>
          </reference>
        </references>
      </pivotArea>
    </format>
    <format dxfId="747">
      <pivotArea dataOnly="0" labelOnly="1" outline="0" fieldPosition="0">
        <references count="2">
          <reference field="0" count="1" selected="0">
            <x v="15"/>
          </reference>
          <reference field="10" count="1">
            <x v="4"/>
          </reference>
        </references>
      </pivotArea>
    </format>
    <format dxfId="746">
      <pivotArea dataOnly="0" labelOnly="1" outline="0" fieldPosition="0">
        <references count="2">
          <reference field="0" count="1" selected="0">
            <x v="18"/>
          </reference>
          <reference field="10" count="1">
            <x v="2"/>
          </reference>
        </references>
      </pivotArea>
    </format>
    <format dxfId="745">
      <pivotArea dataOnly="0" labelOnly="1" outline="0" fieldPosition="0">
        <references count="2">
          <reference field="0" count="1" selected="0">
            <x v="22"/>
          </reference>
          <reference field="10" count="2">
            <x v="0"/>
            <x v="3"/>
          </reference>
        </references>
      </pivotArea>
    </format>
    <format dxfId="744">
      <pivotArea dataOnly="0" labelOnly="1" outline="0" fieldPosition="0">
        <references count="2">
          <reference field="0" count="1" selected="0">
            <x v="27"/>
          </reference>
          <reference field="10" count="1">
            <x v="0"/>
          </reference>
        </references>
      </pivotArea>
    </format>
    <format dxfId="743">
      <pivotArea dataOnly="0" labelOnly="1" outline="0" fieldPosition="0">
        <references count="2">
          <reference field="0" count="1" selected="0">
            <x v="28"/>
          </reference>
          <reference field="10" count="2">
            <x v="3"/>
            <x v="4"/>
          </reference>
        </references>
      </pivotArea>
    </format>
    <format dxfId="742">
      <pivotArea dataOnly="0" labelOnly="1" outline="0" fieldPosition="0">
        <references count="2">
          <reference field="0" count="1" selected="0">
            <x v="29"/>
          </reference>
          <reference field="10" count="2">
            <x v="0"/>
            <x v="3"/>
          </reference>
        </references>
      </pivotArea>
    </format>
    <format dxfId="741">
      <pivotArea dataOnly="0" labelOnly="1" outline="0" fieldPosition="0">
        <references count="2">
          <reference field="0" count="1" selected="0">
            <x v="32"/>
          </reference>
          <reference field="10" count="1">
            <x v="2"/>
          </reference>
        </references>
      </pivotArea>
    </format>
    <format dxfId="740">
      <pivotArea dataOnly="0" labelOnly="1" outline="0" fieldPosition="0">
        <references count="2">
          <reference field="0" count="1" selected="0">
            <x v="33"/>
          </reference>
          <reference field="10" count="1">
            <x v="0"/>
          </reference>
        </references>
      </pivotArea>
    </format>
    <format dxfId="739">
      <pivotArea dataOnly="0" labelOnly="1" outline="0" fieldPosition="0">
        <references count="2">
          <reference field="0" count="1" selected="0">
            <x v="34"/>
          </reference>
          <reference field="10" count="1">
            <x v="3"/>
          </reference>
        </references>
      </pivotArea>
    </format>
    <format dxfId="738">
      <pivotArea dataOnly="0" labelOnly="1" outline="0" fieldPosition="0">
        <references count="2">
          <reference field="0" count="1" selected="0">
            <x v="36"/>
          </reference>
          <reference field="10" count="3">
            <x v="0"/>
            <x v="2"/>
            <x v="3"/>
          </reference>
        </references>
      </pivotArea>
    </format>
    <format dxfId="737">
      <pivotArea dataOnly="0" labelOnly="1" outline="0" fieldPosition="0">
        <references count="2">
          <reference field="0" count="1" selected="0">
            <x v="40"/>
          </reference>
          <reference field="10" count="1">
            <x v="0"/>
          </reference>
        </references>
      </pivotArea>
    </format>
    <format dxfId="736">
      <pivotArea dataOnly="0" labelOnly="1" outline="0" fieldPosition="0">
        <references count="2">
          <reference field="0" count="1" selected="0">
            <x v="50"/>
          </reference>
          <reference field="10" count="1">
            <x v="3"/>
          </reference>
        </references>
      </pivotArea>
    </format>
    <format dxfId="735">
      <pivotArea dataOnly="0" labelOnly="1" outline="0" fieldPosition="0">
        <references count="2">
          <reference field="0" count="1" selected="0">
            <x v="54"/>
          </reference>
          <reference field="10" count="2">
            <x v="0"/>
            <x v="3"/>
          </reference>
        </references>
      </pivotArea>
    </format>
    <format dxfId="734">
      <pivotArea dataOnly="0" labelOnly="1" outline="0" fieldPosition="0">
        <references count="2">
          <reference field="0" count="1" selected="0">
            <x v="55"/>
          </reference>
          <reference field="10" count="2">
            <x v="0"/>
            <x v="3"/>
          </reference>
        </references>
      </pivotArea>
    </format>
    <format dxfId="733">
      <pivotArea dataOnly="0" labelOnly="1" outline="0" fieldPosition="0">
        <references count="2">
          <reference field="0" count="1" selected="0">
            <x v="56"/>
          </reference>
          <reference field="10" count="2">
            <x v="0"/>
            <x v="3"/>
          </reference>
        </references>
      </pivotArea>
    </format>
    <format dxfId="732">
      <pivotArea dataOnly="0" labelOnly="1" outline="0" fieldPosition="0">
        <references count="2">
          <reference field="0" count="1" selected="0">
            <x v="61"/>
          </reference>
          <reference field="10" count="1">
            <x v="0"/>
          </reference>
        </references>
      </pivotArea>
    </format>
    <format dxfId="731">
      <pivotArea dataOnly="0" labelOnly="1" outline="0" fieldPosition="0">
        <references count="2">
          <reference field="0" count="1" selected="0">
            <x v="62"/>
          </reference>
          <reference field="10" count="1">
            <x v="1"/>
          </reference>
        </references>
      </pivotArea>
    </format>
    <format dxfId="730">
      <pivotArea dataOnly="0" labelOnly="1" outline="0" fieldPosition="0">
        <references count="2">
          <reference field="0" count="1" selected="0">
            <x v="63"/>
          </reference>
          <reference field="10" count="1">
            <x v="3"/>
          </reference>
        </references>
      </pivotArea>
    </format>
    <format dxfId="729">
      <pivotArea dataOnly="0" labelOnly="1" outline="0" fieldPosition="0">
        <references count="2">
          <reference field="0" count="1" selected="0">
            <x v="66"/>
          </reference>
          <reference field="10" count="1">
            <x v="0"/>
          </reference>
        </references>
      </pivotArea>
    </format>
    <format dxfId="728">
      <pivotArea dataOnly="0" labelOnly="1" outline="0" fieldPosition="0">
        <references count="2">
          <reference field="0" count="1" selected="0">
            <x v="68"/>
          </reference>
          <reference field="10" count="1">
            <x v="1"/>
          </reference>
        </references>
      </pivotArea>
    </format>
    <format dxfId="727">
      <pivotArea dataOnly="0" labelOnly="1" outline="0" fieldPosition="0">
        <references count="2">
          <reference field="0" count="1" selected="0">
            <x v="72"/>
          </reference>
          <reference field="10" count="2">
            <x v="0"/>
            <x v="3"/>
          </reference>
        </references>
      </pivotArea>
    </format>
    <format dxfId="726">
      <pivotArea dataOnly="0" labelOnly="1" outline="0" fieldPosition="0">
        <references count="2">
          <reference field="0" count="1" selected="0">
            <x v="77"/>
          </reference>
          <reference field="10" count="2">
            <x v="0"/>
            <x v="3"/>
          </reference>
        </references>
      </pivotArea>
    </format>
    <format dxfId="725">
      <pivotArea dataOnly="0" labelOnly="1" outline="0" fieldPosition="0">
        <references count="2">
          <reference field="0" count="1" selected="0">
            <x v="78"/>
          </reference>
          <reference field="10" count="2">
            <x v="0"/>
            <x v="3"/>
          </reference>
        </references>
      </pivotArea>
    </format>
    <format dxfId="724">
      <pivotArea dataOnly="0" labelOnly="1" outline="0" fieldPosition="0">
        <references count="2">
          <reference field="0" count="1" selected="0">
            <x v="79"/>
          </reference>
          <reference field="10" count="2">
            <x v="0"/>
            <x v="3"/>
          </reference>
        </references>
      </pivotArea>
    </format>
    <format dxfId="723">
      <pivotArea dataOnly="0" labelOnly="1" outline="0" fieldPosition="0">
        <references count="2">
          <reference field="0" count="1" selected="0">
            <x v="80"/>
          </reference>
          <reference field="10" count="2">
            <x v="0"/>
            <x v="3"/>
          </reference>
        </references>
      </pivotArea>
    </format>
    <format dxfId="722">
      <pivotArea dataOnly="0" labelOnly="1" outline="0" fieldPosition="0">
        <references count="2">
          <reference field="0" count="1" selected="0">
            <x v="82"/>
          </reference>
          <reference field="10" count="2">
            <x v="0"/>
            <x v="4"/>
          </reference>
        </references>
      </pivotArea>
    </format>
    <format dxfId="721">
      <pivotArea dataOnly="0" labelOnly="1" outline="0" fieldPosition="0">
        <references count="2">
          <reference field="0" count="1" selected="0">
            <x v="99"/>
          </reference>
          <reference field="10" count="1">
            <x v="0"/>
          </reference>
        </references>
      </pivotArea>
    </format>
    <format dxfId="720">
      <pivotArea dataOnly="0" labelOnly="1" outline="0" fieldPosition="0">
        <references count="2">
          <reference field="0" count="1" selected="0">
            <x v="105"/>
          </reference>
          <reference field="10" count="1">
            <x v="3"/>
          </reference>
        </references>
      </pivotArea>
    </format>
    <format dxfId="719">
      <pivotArea dataOnly="0" labelOnly="1" outline="0" fieldPosition="0">
        <references count="2">
          <reference field="0" count="1" selected="0">
            <x v="116"/>
          </reference>
          <reference field="10" count="1">
            <x v="1"/>
          </reference>
        </references>
      </pivotArea>
    </format>
    <format dxfId="718">
      <pivotArea dataOnly="0" labelOnly="1" outline="0" fieldPosition="0">
        <references count="2">
          <reference field="0" count="1" selected="0">
            <x v="119"/>
          </reference>
          <reference field="10" count="2">
            <x v="0"/>
            <x v="4"/>
          </reference>
        </references>
      </pivotArea>
    </format>
    <format dxfId="717">
      <pivotArea dataOnly="0" labelOnly="1" outline="0" fieldPosition="0">
        <references count="2">
          <reference field="0" count="1" selected="0">
            <x v="122"/>
          </reference>
          <reference field="10" count="2">
            <x v="0"/>
            <x v="3"/>
          </reference>
        </references>
      </pivotArea>
    </format>
    <format dxfId="716">
      <pivotArea dataOnly="0" labelOnly="1" outline="0" fieldPosition="0">
        <references count="2">
          <reference field="0" count="1" selected="0">
            <x v="133"/>
          </reference>
          <reference field="10" count="1">
            <x v="1"/>
          </reference>
        </references>
      </pivotArea>
    </format>
    <format dxfId="715">
      <pivotArea dataOnly="0" labelOnly="1" outline="0" fieldPosition="0">
        <references count="2">
          <reference field="0" count="1" selected="0">
            <x v="134"/>
          </reference>
          <reference field="10" count="2">
            <x v="0"/>
            <x v="1"/>
          </reference>
        </references>
      </pivotArea>
    </format>
    <format dxfId="714">
      <pivotArea dataOnly="0" labelOnly="1" outline="0" fieldPosition="0">
        <references count="2">
          <reference field="0" count="1" selected="0">
            <x v="135"/>
          </reference>
          <reference field="10" count="1">
            <x v="3"/>
          </reference>
        </references>
      </pivotArea>
    </format>
    <format dxfId="713">
      <pivotArea dataOnly="0" labelOnly="1" outline="0" fieldPosition="0">
        <references count="2">
          <reference field="0" count="1" selected="0">
            <x v="136"/>
          </reference>
          <reference field="10" count="1">
            <x v="1"/>
          </reference>
        </references>
      </pivotArea>
    </format>
    <format dxfId="712">
      <pivotArea dataOnly="0" labelOnly="1" outline="0" fieldPosition="0">
        <references count="2">
          <reference field="0" count="1" selected="0">
            <x v="139"/>
          </reference>
          <reference field="10" count="2">
            <x v="0"/>
            <x v="3"/>
          </reference>
        </references>
      </pivotArea>
    </format>
    <format dxfId="711">
      <pivotArea dataOnly="0" labelOnly="1" outline="0" fieldPosition="0">
        <references count="2">
          <reference field="0" count="1" selected="0">
            <x v="141"/>
          </reference>
          <reference field="10" count="2">
            <x v="2"/>
            <x v="3"/>
          </reference>
        </references>
      </pivotArea>
    </format>
    <format dxfId="710">
      <pivotArea dataOnly="0" labelOnly="1" outline="0" fieldPosition="0">
        <references count="2">
          <reference field="0" count="1" selected="0">
            <x v="147"/>
          </reference>
          <reference field="10" count="1">
            <x v="0"/>
          </reference>
        </references>
      </pivotArea>
    </format>
    <format dxfId="709">
      <pivotArea dataOnly="0" labelOnly="1" outline="0" fieldPosition="0">
        <references count="2">
          <reference field="0" count="1" selected="0">
            <x v="163"/>
          </reference>
          <reference field="10" count="1">
            <x v="3"/>
          </reference>
        </references>
      </pivotArea>
    </format>
    <format dxfId="708">
      <pivotArea dataOnly="0" labelOnly="1" outline="0" fieldPosition="0">
        <references count="2">
          <reference field="0" count="1" selected="0">
            <x v="164"/>
          </reference>
          <reference field="10" count="2">
            <x v="0"/>
            <x v="3"/>
          </reference>
        </references>
      </pivotArea>
    </format>
    <format dxfId="707">
      <pivotArea dataOnly="0" labelOnly="1" outline="0" fieldPosition="0">
        <references count="2">
          <reference field="0" count="1" selected="0">
            <x v="177"/>
          </reference>
          <reference field="10" count="2">
            <x v="0"/>
            <x v="3"/>
          </reference>
        </references>
      </pivotArea>
    </format>
    <format dxfId="706">
      <pivotArea dataOnly="0" labelOnly="1" outline="0" fieldPosition="0">
        <references count="2">
          <reference field="0" count="1" selected="0">
            <x v="179"/>
          </reference>
          <reference field="10" count="1">
            <x v="0"/>
          </reference>
        </references>
      </pivotArea>
    </format>
    <format dxfId="705">
      <pivotArea dataOnly="0" labelOnly="1" outline="0" fieldPosition="0">
        <references count="2">
          <reference field="0" count="1" selected="0">
            <x v="180"/>
          </reference>
          <reference field="10" count="1">
            <x v="3"/>
          </reference>
        </references>
      </pivotArea>
    </format>
    <format dxfId="704">
      <pivotArea dataOnly="0" labelOnly="1" outline="0" fieldPosition="0">
        <references count="2">
          <reference field="0" count="1" selected="0">
            <x v="187"/>
          </reference>
          <reference field="10" count="1">
            <x v="0"/>
          </reference>
        </references>
      </pivotArea>
    </format>
    <format dxfId="703">
      <pivotArea dataOnly="0" labelOnly="1" outline="0" fieldPosition="0">
        <references count="2">
          <reference field="0" count="1" selected="0">
            <x v="189"/>
          </reference>
          <reference field="10" count="1">
            <x v="3"/>
          </reference>
        </references>
      </pivotArea>
    </format>
    <format dxfId="702">
      <pivotArea dataOnly="0" labelOnly="1" outline="0" fieldPosition="0">
        <references count="2">
          <reference field="0" count="1" selected="0">
            <x v="190"/>
          </reference>
          <reference field="10" count="1">
            <x v="0"/>
          </reference>
        </references>
      </pivotArea>
    </format>
    <format dxfId="701">
      <pivotArea dataOnly="0" labelOnly="1" outline="0" fieldPosition="0">
        <references count="2">
          <reference field="0" count="1" selected="0">
            <x v="198"/>
          </reference>
          <reference field="10" count="1">
            <x v="3"/>
          </reference>
        </references>
      </pivotArea>
    </format>
    <format dxfId="700">
      <pivotArea dataOnly="0" labelOnly="1" outline="0" fieldPosition="0">
        <references count="2">
          <reference field="0" count="1" selected="0">
            <x v="207"/>
          </reference>
          <reference field="10" count="1">
            <x v="0"/>
          </reference>
        </references>
      </pivotArea>
    </format>
    <format dxfId="699">
      <pivotArea dataOnly="0" labelOnly="1" outline="0" fieldPosition="0">
        <references count="2">
          <reference field="0" count="1" selected="0">
            <x v="209"/>
          </reference>
          <reference field="10" count="1">
            <x v="3"/>
          </reference>
        </references>
      </pivotArea>
    </format>
    <format dxfId="698">
      <pivotArea dataOnly="0" labelOnly="1" outline="0" fieldPosition="0">
        <references count="2">
          <reference field="0" count="1" selected="0">
            <x v="218"/>
          </reference>
          <reference field="10" count="1">
            <x v="0"/>
          </reference>
        </references>
      </pivotArea>
    </format>
    <format dxfId="697">
      <pivotArea dataOnly="0" labelOnly="1" outline="0" fieldPosition="0">
        <references count="2">
          <reference field="0" count="1" selected="0">
            <x v="222"/>
          </reference>
          <reference field="10" count="1">
            <x v="3"/>
          </reference>
        </references>
      </pivotArea>
    </format>
    <format dxfId="696">
      <pivotArea dataOnly="0" labelOnly="1" outline="0" fieldPosition="0">
        <references count="2">
          <reference field="0" count="1" selected="0">
            <x v="223"/>
          </reference>
          <reference field="10" count="2">
            <x v="0"/>
            <x v="3"/>
          </reference>
        </references>
      </pivotArea>
    </format>
    <format dxfId="695">
      <pivotArea dataOnly="0" labelOnly="1" outline="0" fieldPosition="0">
        <references count="2">
          <reference field="0" count="1" selected="0">
            <x v="225"/>
          </reference>
          <reference field="10" count="1">
            <x v="0"/>
          </reference>
        </references>
      </pivotArea>
    </format>
    <format dxfId="694">
      <pivotArea dataOnly="0" labelOnly="1" outline="0" fieldPosition="0">
        <references count="2">
          <reference field="0" count="1" selected="0">
            <x v="228"/>
          </reference>
          <reference field="10" count="1">
            <x v="3"/>
          </reference>
        </references>
      </pivotArea>
    </format>
    <format dxfId="693">
      <pivotArea dataOnly="0" labelOnly="1" outline="0" fieldPosition="0">
        <references count="2">
          <reference field="0" count="1" selected="0">
            <x v="233"/>
          </reference>
          <reference field="10" count="1">
            <x v="0"/>
          </reference>
        </references>
      </pivotArea>
    </format>
    <format dxfId="692">
      <pivotArea dataOnly="0" labelOnly="1" outline="0" fieldPosition="0">
        <references count="2">
          <reference field="0" count="1" selected="0">
            <x v="234"/>
          </reference>
          <reference field="10" count="1">
            <x v="3"/>
          </reference>
        </references>
      </pivotArea>
    </format>
    <format dxfId="691">
      <pivotArea dataOnly="0" labelOnly="1" outline="0" fieldPosition="0">
        <references count="2">
          <reference field="0" count="1" selected="0">
            <x v="237"/>
          </reference>
          <reference field="10" count="1">
            <x v="0"/>
          </reference>
        </references>
      </pivotArea>
    </format>
    <format dxfId="690">
      <pivotArea dataOnly="0" labelOnly="1" outline="0" fieldPosition="0">
        <references count="2">
          <reference field="0" count="1" selected="0">
            <x v="238"/>
          </reference>
          <reference field="10" count="1">
            <x v="3"/>
          </reference>
        </references>
      </pivotArea>
    </format>
    <format dxfId="689">
      <pivotArea dataOnly="0" labelOnly="1" outline="0" fieldPosition="0">
        <references count="2">
          <reference field="0" count="1" selected="0">
            <x v="241"/>
          </reference>
          <reference field="10" count="1">
            <x v="0"/>
          </reference>
        </references>
      </pivotArea>
    </format>
    <format dxfId="688">
      <pivotArea dataOnly="0" labelOnly="1" outline="0" fieldPosition="0">
        <references count="2">
          <reference field="0" count="1" selected="0">
            <x v="247"/>
          </reference>
          <reference field="10" count="1">
            <x v="3"/>
          </reference>
        </references>
      </pivotArea>
    </format>
    <format dxfId="687">
      <pivotArea dataOnly="0" labelOnly="1" outline="0" fieldPosition="0">
        <references count="2">
          <reference field="0" count="1" selected="0">
            <x v="253"/>
          </reference>
          <reference field="10" count="2">
            <x v="0"/>
            <x v="4"/>
          </reference>
        </references>
      </pivotArea>
    </format>
    <format dxfId="686">
      <pivotArea dataOnly="0" labelOnly="1" outline="0" fieldPosition="0">
        <references count="2">
          <reference field="0" count="1" selected="0">
            <x v="254"/>
          </reference>
          <reference field="10" count="2">
            <x v="0"/>
            <x v="3"/>
          </reference>
        </references>
      </pivotArea>
    </format>
    <format dxfId="685">
      <pivotArea dataOnly="0" labelOnly="1" outline="0" fieldPosition="0">
        <references count="2">
          <reference field="0" count="1" selected="0">
            <x v="255"/>
          </reference>
          <reference field="10" count="2">
            <x v="0"/>
            <x v="4"/>
          </reference>
        </references>
      </pivotArea>
    </format>
    <format dxfId="684">
      <pivotArea dataOnly="0" labelOnly="1" outline="0" fieldPosition="0">
        <references count="2">
          <reference field="0" count="1" selected="0">
            <x v="258"/>
          </reference>
          <reference field="10" count="1">
            <x v="3"/>
          </reference>
        </references>
      </pivotArea>
    </format>
    <format dxfId="683">
      <pivotArea dataOnly="0" labelOnly="1" outline="0" fieldPosition="0">
        <references count="2">
          <reference field="0" count="1" selected="0">
            <x v="267"/>
          </reference>
          <reference field="10" count="1">
            <x v="0"/>
          </reference>
        </references>
      </pivotArea>
    </format>
    <format dxfId="682">
      <pivotArea dataOnly="0" labelOnly="1" outline="0" fieldPosition="0">
        <references count="2">
          <reference field="0" count="1" selected="0">
            <x v="272"/>
          </reference>
          <reference field="10" count="1">
            <x v="3"/>
          </reference>
        </references>
      </pivotArea>
    </format>
    <format dxfId="681">
      <pivotArea dataOnly="0" labelOnly="1" outline="0" fieldPosition="0">
        <references count="2">
          <reference field="0" count="1" selected="0">
            <x v="277"/>
          </reference>
          <reference field="10" count="2">
            <x v="0"/>
            <x v="2"/>
          </reference>
        </references>
      </pivotArea>
    </format>
    <format dxfId="680">
      <pivotArea dataOnly="0" labelOnly="1" outline="0" fieldPosition="0">
        <references count="2">
          <reference field="0" count="1" selected="0">
            <x v="278"/>
          </reference>
          <reference field="10" count="1">
            <x v="0"/>
          </reference>
        </references>
      </pivotArea>
    </format>
    <format dxfId="679">
      <pivotArea dataOnly="0" labelOnly="1" outline="0" fieldPosition="0">
        <references count="2">
          <reference field="0" count="1" selected="0">
            <x v="288"/>
          </reference>
          <reference field="10" count="1">
            <x v="3"/>
          </reference>
        </references>
      </pivotArea>
    </format>
    <format dxfId="678">
      <pivotArea dataOnly="0" labelOnly="1" outline="0" fieldPosition="0">
        <references count="2">
          <reference field="0" count="1" selected="0">
            <x v="294"/>
          </reference>
          <reference field="10" count="1">
            <x v="0"/>
          </reference>
        </references>
      </pivotArea>
    </format>
    <format dxfId="677">
      <pivotArea dataOnly="0" labelOnly="1" outline="0" fieldPosition="0">
        <references count="2">
          <reference field="0" count="1" selected="0">
            <x v="295"/>
          </reference>
          <reference field="10" count="1">
            <x v="3"/>
          </reference>
        </references>
      </pivotArea>
    </format>
    <format dxfId="676">
      <pivotArea dataOnly="0" labelOnly="1" outline="0" fieldPosition="0">
        <references count="2">
          <reference field="0" count="1" selected="0">
            <x v="296"/>
          </reference>
          <reference field="10" count="1">
            <x v="0"/>
          </reference>
        </references>
      </pivotArea>
    </format>
    <format dxfId="675">
      <pivotArea dataOnly="0" labelOnly="1" outline="0" fieldPosition="0">
        <references count="2">
          <reference field="0" count="1" selected="0">
            <x v="298"/>
          </reference>
          <reference field="10" count="1">
            <x v="3"/>
          </reference>
        </references>
      </pivotArea>
    </format>
    <format dxfId="674">
      <pivotArea dataOnly="0" labelOnly="1" outline="0" fieldPosition="0">
        <references count="2">
          <reference field="0" count="1" selected="0">
            <x v="341"/>
          </reference>
          <reference field="10" count="1">
            <x v="0"/>
          </reference>
        </references>
      </pivotArea>
    </format>
    <format dxfId="673">
      <pivotArea dataOnly="0" labelOnly="1" outline="0" fieldPosition="0">
        <references count="2">
          <reference field="0" count="1" selected="0">
            <x v="342"/>
          </reference>
          <reference field="10" count="1">
            <x v="3"/>
          </reference>
        </references>
      </pivotArea>
    </format>
    <format dxfId="672">
      <pivotArea dataOnly="0" labelOnly="1" outline="0" fieldPosition="0">
        <references count="2">
          <reference field="0" count="1" selected="0">
            <x v="345"/>
          </reference>
          <reference field="10" count="2">
            <x v="0"/>
            <x v="3"/>
          </reference>
        </references>
      </pivotArea>
    </format>
    <format dxfId="671">
      <pivotArea dataOnly="0" labelOnly="1" outline="0" fieldPosition="0">
        <references count="2">
          <reference field="0" count="1" selected="0">
            <x v="346"/>
          </reference>
          <reference field="10" count="2">
            <x v="0"/>
            <x v="3"/>
          </reference>
        </references>
      </pivotArea>
    </format>
    <format dxfId="670">
      <pivotArea dataOnly="0" labelOnly="1" outline="0" fieldPosition="0">
        <references count="2">
          <reference field="0" count="1" selected="0">
            <x v="348"/>
          </reference>
          <reference field="10" count="1">
            <x v="0"/>
          </reference>
        </references>
      </pivotArea>
    </format>
    <format dxfId="669">
      <pivotArea dataOnly="0" labelOnly="1" outline="0" fieldPosition="0">
        <references count="2">
          <reference field="0" count="1" selected="0">
            <x v="349"/>
          </reference>
          <reference field="10" count="1">
            <x v="3"/>
          </reference>
        </references>
      </pivotArea>
    </format>
    <format dxfId="668">
      <pivotArea dataOnly="0" labelOnly="1" outline="0" fieldPosition="0">
        <references count="2">
          <reference field="0" count="1" selected="0">
            <x v="353"/>
          </reference>
          <reference field="10" count="2">
            <x v="0"/>
            <x v="2"/>
          </reference>
        </references>
      </pivotArea>
    </format>
    <format dxfId="667">
      <pivotArea dataOnly="0" labelOnly="1" outline="0" fieldPosition="0">
        <references count="2">
          <reference field="0" count="1" selected="0">
            <x v="354"/>
          </reference>
          <reference field="10" count="1">
            <x v="0"/>
          </reference>
        </references>
      </pivotArea>
    </format>
    <format dxfId="666">
      <pivotArea dataOnly="0" labelOnly="1" outline="0" fieldPosition="0">
        <references count="2">
          <reference field="0" count="1" selected="0">
            <x v="355"/>
          </reference>
          <reference field="10" count="1">
            <x v="3"/>
          </reference>
        </references>
      </pivotArea>
    </format>
    <format dxfId="665">
      <pivotArea dataOnly="0" labelOnly="1" outline="0" fieldPosition="0">
        <references count="2">
          <reference field="0" count="1" selected="0">
            <x v="360"/>
          </reference>
          <reference field="10" count="2">
            <x v="2"/>
            <x v="4"/>
          </reference>
        </references>
      </pivotArea>
    </format>
    <format dxfId="664">
      <pivotArea dataOnly="0" labelOnly="1" outline="0" fieldPosition="0">
        <references count="2">
          <reference field="0" count="1" selected="0">
            <x v="361"/>
          </reference>
          <reference field="10" count="1">
            <x v="3"/>
          </reference>
        </references>
      </pivotArea>
    </format>
    <format dxfId="663">
      <pivotArea dataOnly="0" labelOnly="1" outline="0" fieldPosition="0">
        <references count="2">
          <reference field="0" count="1" selected="0">
            <x v="396"/>
          </reference>
          <reference field="10" count="1">
            <x v="0"/>
          </reference>
        </references>
      </pivotArea>
    </format>
    <format dxfId="662">
      <pivotArea dataOnly="0" labelOnly="1" outline="0" fieldPosition="0">
        <references count="2">
          <reference field="0" count="1" selected="0">
            <x v="398"/>
          </reference>
          <reference field="10" count="1">
            <x v="3"/>
          </reference>
        </references>
      </pivotArea>
    </format>
    <format dxfId="661">
      <pivotArea dataOnly="0" labelOnly="1" outline="0" fieldPosition="0">
        <references count="2">
          <reference field="0" count="1" selected="0">
            <x v="401"/>
          </reference>
          <reference field="10" count="1">
            <x v="4"/>
          </reference>
        </references>
      </pivotArea>
    </format>
    <format dxfId="660">
      <pivotArea dataOnly="0" labelOnly="1" outline="0" fieldPosition="0">
        <references count="2">
          <reference field="0" count="1" selected="0">
            <x v="407"/>
          </reference>
          <reference field="10" count="1">
            <x v="3"/>
          </reference>
        </references>
      </pivotArea>
    </format>
    <format dxfId="659">
      <pivotArea dataOnly="0" labelOnly="1" outline="0" fieldPosition="0">
        <references count="2">
          <reference field="0" count="1" selected="0">
            <x v="408"/>
          </reference>
          <reference field="10" count="2">
            <x v="0"/>
            <x v="3"/>
          </reference>
        </references>
      </pivotArea>
    </format>
    <format dxfId="658">
      <pivotArea dataOnly="0" labelOnly="1" outline="0" fieldPosition="0">
        <references count="2">
          <reference field="0" count="1" selected="0">
            <x v="413"/>
          </reference>
          <reference field="10" count="1">
            <x v="2"/>
          </reference>
        </references>
      </pivotArea>
    </format>
    <format dxfId="657">
      <pivotArea dataOnly="0" labelOnly="1" outline="0" fieldPosition="0">
        <references count="2">
          <reference field="0" count="1" selected="0">
            <x v="441"/>
          </reference>
          <reference field="10" count="1">
            <x v="0"/>
          </reference>
        </references>
      </pivotArea>
    </format>
    <format dxfId="656">
      <pivotArea dataOnly="0" labelOnly="1" outline="0" fieldPosition="0">
        <references count="2">
          <reference field="0" count="1" selected="0">
            <x v="477"/>
          </reference>
          <reference field="10" count="1">
            <x v="3"/>
          </reference>
        </references>
      </pivotArea>
    </format>
    <format dxfId="655">
      <pivotArea dataOnly="0" labelOnly="1" outline="0" fieldPosition="0">
        <references count="2">
          <reference field="0" count="1" selected="0">
            <x v="478"/>
          </reference>
          <reference field="10" count="1">
            <x v="0"/>
          </reference>
        </references>
      </pivotArea>
    </format>
    <format dxfId="654">
      <pivotArea dataOnly="0" labelOnly="1" outline="0" fieldPosition="0">
        <references count="2">
          <reference field="0" count="1" selected="0">
            <x v="485"/>
          </reference>
          <reference field="10" count="1">
            <x v="3"/>
          </reference>
        </references>
      </pivotArea>
    </format>
    <format dxfId="653">
      <pivotArea dataOnly="0" labelOnly="1" outline="0" fieldPosition="0">
        <references count="2">
          <reference field="0" count="1" selected="0">
            <x v="487"/>
          </reference>
          <reference field="10" count="2">
            <x v="2"/>
            <x v="3"/>
          </reference>
        </references>
      </pivotArea>
    </format>
    <format dxfId="652">
      <pivotArea dataOnly="0" labelOnly="1" outline="0" fieldPosition="0">
        <references count="2">
          <reference field="0" count="1" selected="0">
            <x v="490"/>
          </reference>
          <reference field="10" count="1">
            <x v="0"/>
          </reference>
        </references>
      </pivotArea>
    </format>
    <format dxfId="651">
      <pivotArea dataOnly="0" labelOnly="1" outline="0" fieldPosition="0">
        <references count="2">
          <reference field="0" count="1" selected="0">
            <x v="491"/>
          </reference>
          <reference field="10" count="1">
            <x v="3"/>
          </reference>
        </references>
      </pivotArea>
    </format>
    <format dxfId="650">
      <pivotArea dataOnly="0" labelOnly="1" outline="0" fieldPosition="0">
        <references count="2">
          <reference field="0" count="1" selected="0">
            <x v="498"/>
          </reference>
          <reference field="10" count="1">
            <x v="0"/>
          </reference>
        </references>
      </pivotArea>
    </format>
    <format dxfId="649">
      <pivotArea dataOnly="0" labelOnly="1" outline="0" fieldPosition="0">
        <references count="2">
          <reference field="0" count="1" selected="0">
            <x v="506"/>
          </reference>
          <reference field="10" count="1">
            <x v="3"/>
          </reference>
        </references>
      </pivotArea>
    </format>
    <format dxfId="648">
      <pivotArea dataOnly="0" labelOnly="1" outline="0" fieldPosition="0">
        <references count="2">
          <reference field="0" count="1" selected="0">
            <x v="511"/>
          </reference>
          <reference field="10" count="2">
            <x v="2"/>
            <x v="3"/>
          </reference>
        </references>
      </pivotArea>
    </format>
    <format dxfId="647">
      <pivotArea dataOnly="0" labelOnly="1" outline="0" fieldPosition="0">
        <references count="2">
          <reference field="0" count="1" selected="0">
            <x v="514"/>
          </reference>
          <reference field="10" count="2">
            <x v="0"/>
            <x v="3"/>
          </reference>
        </references>
      </pivotArea>
    </format>
    <format dxfId="646">
      <pivotArea dataOnly="0" labelOnly="1" outline="0" fieldPosition="0">
        <references count="2">
          <reference field="0" count="1" selected="0">
            <x v="528"/>
          </reference>
          <reference field="10" count="1">
            <x v="0"/>
          </reference>
        </references>
      </pivotArea>
    </format>
    <format dxfId="645">
      <pivotArea dataOnly="0" labelOnly="1" outline="0" fieldPosition="0">
        <references count="2">
          <reference field="0" count="1" selected="0">
            <x v="530"/>
          </reference>
          <reference field="10" count="1">
            <x v="3"/>
          </reference>
        </references>
      </pivotArea>
    </format>
    <format dxfId="644">
      <pivotArea dataOnly="0" labelOnly="1" outline="0" fieldPosition="0">
        <references count="2">
          <reference field="0" count="1" selected="0">
            <x v="540"/>
          </reference>
          <reference field="10" count="2">
            <x v="0"/>
            <x v="4"/>
          </reference>
        </references>
      </pivotArea>
    </format>
    <format dxfId="643">
      <pivotArea dataOnly="0" labelOnly="1" outline="0" fieldPosition="0">
        <references count="2">
          <reference field="0" count="1" selected="0">
            <x v="541"/>
          </reference>
          <reference field="10" count="1">
            <x v="3"/>
          </reference>
        </references>
      </pivotArea>
    </format>
    <format dxfId="642">
      <pivotArea dataOnly="0" labelOnly="1" outline="0" fieldPosition="0">
        <references count="2">
          <reference field="0" count="1" selected="0">
            <x v="545"/>
          </reference>
          <reference field="10" count="1">
            <x v="0"/>
          </reference>
        </references>
      </pivotArea>
    </format>
    <format dxfId="641">
      <pivotArea dataOnly="0" labelOnly="1" outline="0" fieldPosition="0">
        <references count="2">
          <reference field="0" count="1" selected="0">
            <x v="548"/>
          </reference>
          <reference field="10" count="1">
            <x v="3"/>
          </reference>
        </references>
      </pivotArea>
    </format>
    <format dxfId="640">
      <pivotArea dataOnly="0" labelOnly="1" outline="0" fieldPosition="0">
        <references count="2">
          <reference field="0" count="1" selected="0">
            <x v="549"/>
          </reference>
          <reference field="10" count="1">
            <x v="0"/>
          </reference>
        </references>
      </pivotArea>
    </format>
    <format dxfId="639">
      <pivotArea dataOnly="0" labelOnly="1" outline="0" fieldPosition="0">
        <references count="3">
          <reference field="0" count="1" selected="0">
            <x v="0"/>
          </reference>
          <reference field="10" count="1" selected="0">
            <x v="3"/>
          </reference>
          <reference field="11" count="1">
            <x v="35"/>
          </reference>
        </references>
      </pivotArea>
    </format>
    <format dxfId="638">
      <pivotArea dataOnly="0" labelOnly="1" outline="0" fieldPosition="0">
        <references count="3">
          <reference field="0" count="1" selected="0">
            <x v="1"/>
          </reference>
          <reference field="10" count="1" selected="0">
            <x v="3"/>
          </reference>
          <reference field="11" count="1">
            <x v="35"/>
          </reference>
        </references>
      </pivotArea>
    </format>
    <format dxfId="637">
      <pivotArea dataOnly="0" labelOnly="1" outline="0" fieldPosition="0">
        <references count="3">
          <reference field="0" count="1" selected="0">
            <x v="2"/>
          </reference>
          <reference field="10" count="1" selected="0">
            <x v="3"/>
          </reference>
          <reference field="11" count="1">
            <x v="35"/>
          </reference>
        </references>
      </pivotArea>
    </format>
    <format dxfId="636">
      <pivotArea dataOnly="0" labelOnly="1" outline="0" fieldPosition="0">
        <references count="3">
          <reference field="0" count="1" selected="0">
            <x v="5"/>
          </reference>
          <reference field="10" count="1" selected="0">
            <x v="0"/>
          </reference>
          <reference field="11" count="3">
            <x v="6"/>
            <x v="7"/>
            <x v="10"/>
          </reference>
        </references>
      </pivotArea>
    </format>
    <format dxfId="635">
      <pivotArea dataOnly="0" labelOnly="1" outline="0" fieldPosition="0">
        <references count="3">
          <reference field="0" count="1" selected="0">
            <x v="5"/>
          </reference>
          <reference field="10" count="1" selected="0">
            <x v="3"/>
          </reference>
          <reference field="11" count="1">
            <x v="37"/>
          </reference>
        </references>
      </pivotArea>
    </format>
    <format dxfId="634">
      <pivotArea dataOnly="0" labelOnly="1" outline="0" fieldPosition="0">
        <references count="3">
          <reference field="0" count="1" selected="0">
            <x v="6"/>
          </reference>
          <reference field="10" count="1" selected="0">
            <x v="0"/>
          </reference>
          <reference field="11" count="3">
            <x v="6"/>
            <x v="7"/>
            <x v="10"/>
          </reference>
        </references>
      </pivotArea>
    </format>
    <format dxfId="633">
      <pivotArea dataOnly="0" labelOnly="1" outline="0" fieldPosition="0">
        <references count="3">
          <reference field="0" count="1" selected="0">
            <x v="6"/>
          </reference>
          <reference field="10" count="1" selected="0">
            <x v="3"/>
          </reference>
          <reference field="11" count="1">
            <x v="37"/>
          </reference>
        </references>
      </pivotArea>
    </format>
    <format dxfId="632">
      <pivotArea dataOnly="0" labelOnly="1" outline="0" fieldPosition="0">
        <references count="3">
          <reference field="0" count="1" selected="0">
            <x v="7"/>
          </reference>
          <reference field="10" count="1" selected="0">
            <x v="2"/>
          </reference>
          <reference field="11" count="1">
            <x v="26"/>
          </reference>
        </references>
      </pivotArea>
    </format>
    <format dxfId="631">
      <pivotArea dataOnly="0" labelOnly="1" outline="0" fieldPosition="0">
        <references count="3">
          <reference field="0" count="1" selected="0">
            <x v="8"/>
          </reference>
          <reference field="10" count="1" selected="0">
            <x v="3"/>
          </reference>
          <reference field="11" count="1">
            <x v="39"/>
          </reference>
        </references>
      </pivotArea>
    </format>
    <format dxfId="630">
      <pivotArea dataOnly="0" labelOnly="1" outline="0" fieldPosition="0">
        <references count="3">
          <reference field="0" count="1" selected="0">
            <x v="9"/>
          </reference>
          <reference field="10" count="1" selected="0">
            <x v="2"/>
          </reference>
          <reference field="11" count="1">
            <x v="25"/>
          </reference>
        </references>
      </pivotArea>
    </format>
    <format dxfId="629">
      <pivotArea dataOnly="0" labelOnly="1" outline="0" fieldPosition="0">
        <references count="3">
          <reference field="0" count="1" selected="0">
            <x v="9"/>
          </reference>
          <reference field="10" count="1" selected="0">
            <x v="3"/>
          </reference>
          <reference field="11" count="1">
            <x v="39"/>
          </reference>
        </references>
      </pivotArea>
    </format>
    <format dxfId="628">
      <pivotArea dataOnly="0" labelOnly="1" outline="0" fieldPosition="0">
        <references count="3">
          <reference field="0" count="1" selected="0">
            <x v="12"/>
          </reference>
          <reference field="10" count="1" selected="0">
            <x v="0"/>
          </reference>
          <reference field="11" count="3">
            <x v="8"/>
            <x v="10"/>
            <x v="35"/>
          </reference>
        </references>
      </pivotArea>
    </format>
    <format dxfId="627">
      <pivotArea dataOnly="0" labelOnly="1" outline="0" fieldPosition="0">
        <references count="3">
          <reference field="0" count="1" selected="0">
            <x v="12"/>
          </reference>
          <reference field="10" count="1" selected="0">
            <x v="3"/>
          </reference>
          <reference field="11" count="1">
            <x v="35"/>
          </reference>
        </references>
      </pivotArea>
    </format>
    <format dxfId="626">
      <pivotArea dataOnly="0" labelOnly="1" outline="0" fieldPosition="0">
        <references count="3">
          <reference field="0" count="1" selected="0">
            <x v="13"/>
          </reference>
          <reference field="10" count="1" selected="0">
            <x v="3"/>
          </reference>
          <reference field="11" count="1">
            <x v="39"/>
          </reference>
        </references>
      </pivotArea>
    </format>
    <format dxfId="625">
      <pivotArea dataOnly="0" labelOnly="1" outline="0" fieldPosition="0">
        <references count="3">
          <reference field="0" count="1" selected="0">
            <x v="15"/>
          </reference>
          <reference field="10" count="1" selected="0">
            <x v="4"/>
          </reference>
          <reference field="11" count="1">
            <x v="39"/>
          </reference>
        </references>
      </pivotArea>
    </format>
    <format dxfId="624">
      <pivotArea dataOnly="0" labelOnly="1" outline="0" fieldPosition="0">
        <references count="3">
          <reference field="0" count="1" selected="0">
            <x v="18"/>
          </reference>
          <reference field="10" count="1" selected="0">
            <x v="2"/>
          </reference>
          <reference field="11" count="1">
            <x v="25"/>
          </reference>
        </references>
      </pivotArea>
    </format>
    <format dxfId="623">
      <pivotArea dataOnly="0" labelOnly="1" outline="0" fieldPosition="0">
        <references count="3">
          <reference field="0" count="1" selected="0">
            <x v="22"/>
          </reference>
          <reference field="10" count="1" selected="0">
            <x v="0"/>
          </reference>
          <reference field="11" count="1">
            <x v="44"/>
          </reference>
        </references>
      </pivotArea>
    </format>
    <format dxfId="622">
      <pivotArea dataOnly="0" labelOnly="1" outline="0" fieldPosition="0">
        <references count="3">
          <reference field="0" count="1" selected="0">
            <x v="22"/>
          </reference>
          <reference field="10" count="1" selected="0">
            <x v="3"/>
          </reference>
          <reference field="11" count="1">
            <x v="39"/>
          </reference>
        </references>
      </pivotArea>
    </format>
    <format dxfId="621">
      <pivotArea dataOnly="0" labelOnly="1" outline="0" fieldPosition="0">
        <references count="3">
          <reference field="0" count="1" selected="0">
            <x v="25"/>
          </reference>
          <reference field="10" count="1" selected="0">
            <x v="3"/>
          </reference>
          <reference field="11" count="1">
            <x v="39"/>
          </reference>
        </references>
      </pivotArea>
    </format>
    <format dxfId="620">
      <pivotArea dataOnly="0" labelOnly="1" outline="0" fieldPosition="0">
        <references count="3">
          <reference field="0" count="1" selected="0">
            <x v="27"/>
          </reference>
          <reference field="10" count="1" selected="0">
            <x v="0"/>
          </reference>
          <reference field="11" count="2">
            <x v="10"/>
            <x v="17"/>
          </reference>
        </references>
      </pivotArea>
    </format>
    <format dxfId="619">
      <pivotArea dataOnly="0" labelOnly="1" outline="0" fieldPosition="0">
        <references count="3">
          <reference field="0" count="1" selected="0">
            <x v="28"/>
          </reference>
          <reference field="10" count="1" selected="0">
            <x v="0"/>
          </reference>
          <reference field="11" count="1">
            <x v="39"/>
          </reference>
        </references>
      </pivotArea>
    </format>
    <format dxfId="618">
      <pivotArea dataOnly="0" labelOnly="1" outline="0" fieldPosition="0">
        <references count="3">
          <reference field="0" count="1" selected="0">
            <x v="28"/>
          </reference>
          <reference field="10" count="1" selected="0">
            <x v="3"/>
          </reference>
          <reference field="11" count="1">
            <x v="39"/>
          </reference>
        </references>
      </pivotArea>
    </format>
    <format dxfId="617">
      <pivotArea dataOnly="0" labelOnly="1" outline="0" fieldPosition="0">
        <references count="3">
          <reference field="0" count="1" selected="0">
            <x v="28"/>
          </reference>
          <reference field="10" count="1" selected="0">
            <x v="4"/>
          </reference>
          <reference field="11" count="1">
            <x v="39"/>
          </reference>
        </references>
      </pivotArea>
    </format>
    <format dxfId="616">
      <pivotArea dataOnly="0" labelOnly="1" outline="0" fieldPosition="0">
        <references count="3">
          <reference field="0" count="1" selected="0">
            <x v="29"/>
          </reference>
          <reference field="10" count="1" selected="0">
            <x v="0"/>
          </reference>
          <reference field="11" count="1">
            <x v="42"/>
          </reference>
        </references>
      </pivotArea>
    </format>
    <format dxfId="615">
      <pivotArea dataOnly="0" labelOnly="1" outline="0" fieldPosition="0">
        <references count="3">
          <reference field="0" count="1" selected="0">
            <x v="29"/>
          </reference>
          <reference field="10" count="1" selected="0">
            <x v="3"/>
          </reference>
          <reference field="11" count="1">
            <x v="42"/>
          </reference>
        </references>
      </pivotArea>
    </format>
    <format dxfId="614">
      <pivotArea dataOnly="0" labelOnly="1" outline="0" fieldPosition="0">
        <references count="3">
          <reference field="0" count="1" selected="0">
            <x v="31"/>
          </reference>
          <reference field="10" count="1" selected="0">
            <x v="3"/>
          </reference>
          <reference field="11" count="1">
            <x v="39"/>
          </reference>
        </references>
      </pivotArea>
    </format>
    <format dxfId="613">
      <pivotArea dataOnly="0" labelOnly="1" outline="0" fieldPosition="0">
        <references count="3">
          <reference field="0" count="1" selected="0">
            <x v="32"/>
          </reference>
          <reference field="10" count="1" selected="0">
            <x v="2"/>
          </reference>
          <reference field="11" count="1">
            <x v="25"/>
          </reference>
        </references>
      </pivotArea>
    </format>
    <format dxfId="612">
      <pivotArea dataOnly="0" labelOnly="1" outline="0" fieldPosition="0">
        <references count="3">
          <reference field="0" count="1" selected="0">
            <x v="33"/>
          </reference>
          <reference field="10" count="1" selected="0">
            <x v="0"/>
          </reference>
          <reference field="11" count="2">
            <x v="6"/>
            <x v="10"/>
          </reference>
        </references>
      </pivotArea>
    </format>
    <format dxfId="611">
      <pivotArea dataOnly="0" labelOnly="1" outline="0" fieldPosition="0">
        <references count="3">
          <reference field="0" count="1" selected="0">
            <x v="34"/>
          </reference>
          <reference field="10" count="1" selected="0">
            <x v="0"/>
          </reference>
          <reference field="11" count="2">
            <x v="6"/>
            <x v="10"/>
          </reference>
        </references>
      </pivotArea>
    </format>
    <format dxfId="610">
      <pivotArea dataOnly="0" labelOnly="1" outline="0" fieldPosition="0">
        <references count="3">
          <reference field="0" count="1" selected="0">
            <x v="34"/>
          </reference>
          <reference field="10" count="1" selected="0">
            <x v="3"/>
          </reference>
          <reference field="11" count="1">
            <x v="36"/>
          </reference>
        </references>
      </pivotArea>
    </format>
    <format dxfId="609">
      <pivotArea dataOnly="0" labelOnly="1" outline="0" fieldPosition="0">
        <references count="3">
          <reference field="0" count="1" selected="0">
            <x v="36"/>
          </reference>
          <reference field="10" count="1" selected="0">
            <x v="0"/>
          </reference>
          <reference field="11" count="1">
            <x v="10"/>
          </reference>
        </references>
      </pivotArea>
    </format>
    <format dxfId="608">
      <pivotArea dataOnly="0" labelOnly="1" outline="0" fieldPosition="0">
        <references count="3">
          <reference field="0" count="1" selected="0">
            <x v="36"/>
          </reference>
          <reference field="10" count="1" selected="0">
            <x v="2"/>
          </reference>
          <reference field="11" count="1">
            <x v="27"/>
          </reference>
        </references>
      </pivotArea>
    </format>
    <format dxfId="607">
      <pivotArea dataOnly="0" labelOnly="1" outline="0" fieldPosition="0">
        <references count="3">
          <reference field="0" count="1" selected="0">
            <x v="36"/>
          </reference>
          <reference field="10" count="1" selected="0">
            <x v="3"/>
          </reference>
          <reference field="11" count="1">
            <x v="39"/>
          </reference>
        </references>
      </pivotArea>
    </format>
    <format dxfId="606">
      <pivotArea dataOnly="0" labelOnly="1" outline="0" fieldPosition="0">
        <references count="3">
          <reference field="0" count="1" selected="0">
            <x v="38"/>
          </reference>
          <reference field="10" count="1" selected="0">
            <x v="3"/>
          </reference>
          <reference field="11" count="1">
            <x v="39"/>
          </reference>
        </references>
      </pivotArea>
    </format>
    <format dxfId="605">
      <pivotArea dataOnly="0" labelOnly="1" outline="0" fieldPosition="0">
        <references count="3">
          <reference field="0" count="1" selected="0">
            <x v="40"/>
          </reference>
          <reference field="10" count="1" selected="0">
            <x v="0"/>
          </reference>
          <reference field="11" count="1">
            <x v="39"/>
          </reference>
        </references>
      </pivotArea>
    </format>
    <format dxfId="604">
      <pivotArea dataOnly="0" labelOnly="1" outline="0" fieldPosition="0">
        <references count="3">
          <reference field="0" count="1" selected="0">
            <x v="50"/>
          </reference>
          <reference field="10" count="1" selected="0">
            <x v="0"/>
          </reference>
          <reference field="11" count="2">
            <x v="6"/>
            <x v="10"/>
          </reference>
        </references>
      </pivotArea>
    </format>
    <format dxfId="603">
      <pivotArea dataOnly="0" labelOnly="1" outline="0" fieldPosition="0">
        <references count="3">
          <reference field="0" count="1" selected="0">
            <x v="50"/>
          </reference>
          <reference field="10" count="1" selected="0">
            <x v="3"/>
          </reference>
          <reference field="11" count="1">
            <x v="36"/>
          </reference>
        </references>
      </pivotArea>
    </format>
    <format dxfId="602">
      <pivotArea dataOnly="0" labelOnly="1" outline="0" fieldPosition="0">
        <references count="3">
          <reference field="0" count="1" selected="0">
            <x v="52"/>
          </reference>
          <reference field="10" count="1" selected="0">
            <x v="3"/>
          </reference>
          <reference field="11" count="1">
            <x v="39"/>
          </reference>
        </references>
      </pivotArea>
    </format>
    <format dxfId="601">
      <pivotArea dataOnly="0" labelOnly="1" outline="0" fieldPosition="0">
        <references count="3">
          <reference field="0" count="1" selected="0">
            <x v="54"/>
          </reference>
          <reference field="10" count="1" selected="0">
            <x v="0"/>
          </reference>
          <reference field="11" count="2">
            <x v="6"/>
            <x v="10"/>
          </reference>
        </references>
      </pivotArea>
    </format>
    <format dxfId="600">
      <pivotArea dataOnly="0" labelOnly="1" outline="0" fieldPosition="0">
        <references count="3">
          <reference field="0" count="1" selected="0">
            <x v="54"/>
          </reference>
          <reference field="10" count="1" selected="0">
            <x v="3"/>
          </reference>
          <reference field="11" count="1">
            <x v="36"/>
          </reference>
        </references>
      </pivotArea>
    </format>
    <format dxfId="599">
      <pivotArea dataOnly="0" labelOnly="1" outline="0" fieldPosition="0">
        <references count="3">
          <reference field="0" count="1" selected="0">
            <x v="55"/>
          </reference>
          <reference field="10" count="1" selected="0">
            <x v="0"/>
          </reference>
          <reference field="11" count="2">
            <x v="6"/>
            <x v="10"/>
          </reference>
        </references>
      </pivotArea>
    </format>
    <format dxfId="598">
      <pivotArea dataOnly="0" labelOnly="1" outline="0" fieldPosition="0">
        <references count="3">
          <reference field="0" count="1" selected="0">
            <x v="55"/>
          </reference>
          <reference field="10" count="1" selected="0">
            <x v="3"/>
          </reference>
          <reference field="11" count="1">
            <x v="36"/>
          </reference>
        </references>
      </pivotArea>
    </format>
    <format dxfId="597">
      <pivotArea dataOnly="0" labelOnly="1" outline="0" fieldPosition="0">
        <references count="3">
          <reference field="0" count="1" selected="0">
            <x v="56"/>
          </reference>
          <reference field="10" count="1" selected="0">
            <x v="0"/>
          </reference>
          <reference field="11" count="2">
            <x v="6"/>
            <x v="10"/>
          </reference>
        </references>
      </pivotArea>
    </format>
    <format dxfId="596">
      <pivotArea dataOnly="0" labelOnly="1" outline="0" fieldPosition="0">
        <references count="3">
          <reference field="0" count="1" selected="0">
            <x v="56"/>
          </reference>
          <reference field="10" count="1" selected="0">
            <x v="3"/>
          </reference>
          <reference field="11" count="1">
            <x v="36"/>
          </reference>
        </references>
      </pivotArea>
    </format>
    <format dxfId="595">
      <pivotArea dataOnly="0" labelOnly="1" outline="0" fieldPosition="0">
        <references count="3">
          <reference field="0" count="1" selected="0">
            <x v="59"/>
          </reference>
          <reference field="10" count="1" selected="0">
            <x v="3"/>
          </reference>
          <reference field="11" count="1">
            <x v="39"/>
          </reference>
        </references>
      </pivotArea>
    </format>
    <format dxfId="594">
      <pivotArea dataOnly="0" labelOnly="1" outline="0" fieldPosition="0">
        <references count="3">
          <reference field="0" count="1" selected="0">
            <x v="61"/>
          </reference>
          <reference field="10" count="1" selected="0">
            <x v="0"/>
          </reference>
          <reference field="11" count="1">
            <x v="24"/>
          </reference>
        </references>
      </pivotArea>
    </format>
    <format dxfId="593">
      <pivotArea dataOnly="0" labelOnly="1" outline="0" fieldPosition="0">
        <references count="3">
          <reference field="0" count="1" selected="0">
            <x v="62"/>
          </reference>
          <reference field="10" count="1" selected="0">
            <x v="1"/>
          </reference>
          <reference field="11" count="1">
            <x v="21"/>
          </reference>
        </references>
      </pivotArea>
    </format>
    <format dxfId="592">
      <pivotArea dataOnly="0" labelOnly="1" outline="0" fieldPosition="0">
        <references count="3">
          <reference field="0" count="1" selected="0">
            <x v="63"/>
          </reference>
          <reference field="10" count="1" selected="0">
            <x v="3"/>
          </reference>
          <reference field="11" count="1">
            <x v="33"/>
          </reference>
        </references>
      </pivotArea>
    </format>
    <format dxfId="591">
      <pivotArea dataOnly="0" labelOnly="1" outline="0" fieldPosition="0">
        <references count="3">
          <reference field="0" count="1" selected="0">
            <x v="66"/>
          </reference>
          <reference field="10" count="1" selected="0">
            <x v="0"/>
          </reference>
          <reference field="11" count="1">
            <x v="39"/>
          </reference>
        </references>
      </pivotArea>
    </format>
    <format dxfId="590">
      <pivotArea dataOnly="0" labelOnly="1" outline="0" fieldPosition="0">
        <references count="3">
          <reference field="0" count="1" selected="0">
            <x v="68"/>
          </reference>
          <reference field="10" count="1" selected="0">
            <x v="1"/>
          </reference>
          <reference field="11" count="1">
            <x v="21"/>
          </reference>
        </references>
      </pivotArea>
    </format>
    <format dxfId="589">
      <pivotArea dataOnly="0" labelOnly="1" outline="0" fieldPosition="0">
        <references count="3">
          <reference field="0" count="1" selected="0">
            <x v="72"/>
          </reference>
          <reference field="10" count="1" selected="0">
            <x v="0"/>
          </reference>
          <reference field="11" count="1">
            <x v="39"/>
          </reference>
        </references>
      </pivotArea>
    </format>
    <format dxfId="588">
      <pivotArea dataOnly="0" labelOnly="1" outline="0" fieldPosition="0">
        <references count="3">
          <reference field="0" count="1" selected="0">
            <x v="72"/>
          </reference>
          <reference field="10" count="1" selected="0">
            <x v="3"/>
          </reference>
          <reference field="11" count="1">
            <x v="39"/>
          </reference>
        </references>
      </pivotArea>
    </format>
    <format dxfId="587">
      <pivotArea dataOnly="0" labelOnly="1" outline="0" fieldPosition="0">
        <references count="3">
          <reference field="0" count="1" selected="0">
            <x v="77"/>
          </reference>
          <reference field="10" count="1" selected="0">
            <x v="0"/>
          </reference>
          <reference field="11" count="1">
            <x v="9"/>
          </reference>
        </references>
      </pivotArea>
    </format>
    <format dxfId="586">
      <pivotArea dataOnly="0" labelOnly="1" outline="0" fieldPosition="0">
        <references count="3">
          <reference field="0" count="1" selected="0">
            <x v="77"/>
          </reference>
          <reference field="10" count="1" selected="0">
            <x v="3"/>
          </reference>
          <reference field="11" count="1">
            <x v="34"/>
          </reference>
        </references>
      </pivotArea>
    </format>
    <format dxfId="585">
      <pivotArea dataOnly="0" labelOnly="1" outline="0" fieldPosition="0">
        <references count="3">
          <reference field="0" count="1" selected="0">
            <x v="78"/>
          </reference>
          <reference field="10" count="1" selected="0">
            <x v="0"/>
          </reference>
          <reference field="11" count="1">
            <x v="9"/>
          </reference>
        </references>
      </pivotArea>
    </format>
    <format dxfId="584">
      <pivotArea dataOnly="0" labelOnly="1" outline="0" fieldPosition="0">
        <references count="3">
          <reference field="0" count="1" selected="0">
            <x v="78"/>
          </reference>
          <reference field="10" count="1" selected="0">
            <x v="3"/>
          </reference>
          <reference field="11" count="1">
            <x v="34"/>
          </reference>
        </references>
      </pivotArea>
    </format>
    <format dxfId="583">
      <pivotArea dataOnly="0" labelOnly="1" outline="0" fieldPosition="0">
        <references count="3">
          <reference field="0" count="1" selected="0">
            <x v="79"/>
          </reference>
          <reference field="10" count="1" selected="0">
            <x v="0"/>
          </reference>
          <reference field="11" count="1">
            <x v="9"/>
          </reference>
        </references>
      </pivotArea>
    </format>
    <format dxfId="582">
      <pivotArea dataOnly="0" labelOnly="1" outline="0" fieldPosition="0">
        <references count="3">
          <reference field="0" count="1" selected="0">
            <x v="79"/>
          </reference>
          <reference field="10" count="1" selected="0">
            <x v="3"/>
          </reference>
          <reference field="11" count="1">
            <x v="40"/>
          </reference>
        </references>
      </pivotArea>
    </format>
    <format dxfId="581">
      <pivotArea dataOnly="0" labelOnly="1" outline="0" fieldPosition="0">
        <references count="3">
          <reference field="0" count="1" selected="0">
            <x v="80"/>
          </reference>
          <reference field="10" count="1" selected="0">
            <x v="0"/>
          </reference>
          <reference field="11" count="1">
            <x v="9"/>
          </reference>
        </references>
      </pivotArea>
    </format>
    <format dxfId="580">
      <pivotArea dataOnly="0" labelOnly="1" outline="0" fieldPosition="0">
        <references count="3">
          <reference field="0" count="1" selected="0">
            <x v="80"/>
          </reference>
          <reference field="10" count="1" selected="0">
            <x v="3"/>
          </reference>
          <reference field="11" count="1">
            <x v="39"/>
          </reference>
        </references>
      </pivotArea>
    </format>
    <format dxfId="579">
      <pivotArea dataOnly="0" labelOnly="1" outline="0" fieldPosition="0">
        <references count="3">
          <reference field="0" count="1" selected="0">
            <x v="82"/>
          </reference>
          <reference field="10" count="1" selected="0">
            <x v="0"/>
          </reference>
          <reference field="11" count="1">
            <x v="43"/>
          </reference>
        </references>
      </pivotArea>
    </format>
    <format dxfId="578">
      <pivotArea dataOnly="0" labelOnly="1" outline="0" fieldPosition="0">
        <references count="3">
          <reference field="0" count="1" selected="0">
            <x v="82"/>
          </reference>
          <reference field="10" count="1" selected="0">
            <x v="4"/>
          </reference>
          <reference field="11" count="1">
            <x v="39"/>
          </reference>
        </references>
      </pivotArea>
    </format>
    <format dxfId="577">
      <pivotArea dataOnly="0" labelOnly="1" outline="0" fieldPosition="0">
        <references count="3">
          <reference field="0" count="1" selected="0">
            <x v="99"/>
          </reference>
          <reference field="10" count="1" selected="0">
            <x v="0"/>
          </reference>
          <reference field="11" count="1">
            <x v="12"/>
          </reference>
        </references>
      </pivotArea>
    </format>
    <format dxfId="576">
      <pivotArea dataOnly="0" labelOnly="1" outline="0" fieldPosition="0">
        <references count="3">
          <reference field="0" count="1" selected="0">
            <x v="100"/>
          </reference>
          <reference field="10" count="1" selected="0">
            <x v="0"/>
          </reference>
          <reference field="11" count="1">
            <x v="41"/>
          </reference>
        </references>
      </pivotArea>
    </format>
    <format dxfId="575">
      <pivotArea dataOnly="0" labelOnly="1" outline="0" fieldPosition="0">
        <references count="3">
          <reference field="0" count="1" selected="0">
            <x v="101"/>
          </reference>
          <reference field="10" count="1" selected="0">
            <x v="0"/>
          </reference>
          <reference field="11" count="1">
            <x v="11"/>
          </reference>
        </references>
      </pivotArea>
    </format>
    <format dxfId="574">
      <pivotArea dataOnly="0" labelOnly="1" outline="0" fieldPosition="0">
        <references count="3">
          <reference field="0" count="1" selected="0">
            <x v="105"/>
          </reference>
          <reference field="10" count="1" selected="0">
            <x v="3"/>
          </reference>
          <reference field="11" count="1">
            <x v="39"/>
          </reference>
        </references>
      </pivotArea>
    </format>
    <format dxfId="573">
      <pivotArea dataOnly="0" labelOnly="1" outline="0" fieldPosition="0">
        <references count="3">
          <reference field="0" count="1" selected="0">
            <x v="116"/>
          </reference>
          <reference field="10" count="1" selected="0">
            <x v="1"/>
          </reference>
          <reference field="11" count="1">
            <x v="21"/>
          </reference>
        </references>
      </pivotArea>
    </format>
    <format dxfId="572">
      <pivotArea dataOnly="0" labelOnly="1" outline="0" fieldPosition="0">
        <references count="3">
          <reference field="0" count="1" selected="0">
            <x v="118"/>
          </reference>
          <reference field="10" count="1" selected="0">
            <x v="1"/>
          </reference>
          <reference field="11" count="1">
            <x v="21"/>
          </reference>
        </references>
      </pivotArea>
    </format>
    <format dxfId="571">
      <pivotArea dataOnly="0" labelOnly="1" outline="0" fieldPosition="0">
        <references count="3">
          <reference field="0" count="1" selected="0">
            <x v="119"/>
          </reference>
          <reference field="10" count="1" selected="0">
            <x v="0"/>
          </reference>
          <reference field="11" count="1">
            <x v="43"/>
          </reference>
        </references>
      </pivotArea>
    </format>
    <format dxfId="570">
      <pivotArea dataOnly="0" labelOnly="1" outline="0" fieldPosition="0">
        <references count="3">
          <reference field="0" count="1" selected="0">
            <x v="119"/>
          </reference>
          <reference field="10" count="1" selected="0">
            <x v="4"/>
          </reference>
          <reference field="11" count="1">
            <x v="39"/>
          </reference>
        </references>
      </pivotArea>
    </format>
    <format dxfId="569">
      <pivotArea dataOnly="0" labelOnly="1" outline="0" fieldPosition="0">
        <references count="3">
          <reference field="0" count="1" selected="0">
            <x v="122"/>
          </reference>
          <reference field="10" count="1" selected="0">
            <x v="0"/>
          </reference>
          <reference field="11" count="1">
            <x v="3"/>
          </reference>
        </references>
      </pivotArea>
    </format>
    <format dxfId="568">
      <pivotArea dataOnly="0" labelOnly="1" outline="0" fieldPosition="0">
        <references count="3">
          <reference field="0" count="1" selected="0">
            <x v="122"/>
          </reference>
          <reference field="10" count="1" selected="0">
            <x v="3"/>
          </reference>
          <reference field="11" count="1">
            <x v="39"/>
          </reference>
        </references>
      </pivotArea>
    </format>
    <format dxfId="567">
      <pivotArea dataOnly="0" labelOnly="1" outline="0" fieldPosition="0">
        <references count="3">
          <reference field="0" count="1" selected="0">
            <x v="123"/>
          </reference>
          <reference field="10" count="1" selected="0">
            <x v="3"/>
          </reference>
          <reference field="11" count="1">
            <x v="39"/>
          </reference>
        </references>
      </pivotArea>
    </format>
    <format dxfId="566">
      <pivotArea dataOnly="0" labelOnly="1" outline="0" fieldPosition="0">
        <references count="3">
          <reference field="0" count="1" selected="0">
            <x v="132"/>
          </reference>
          <reference field="10" count="1" selected="0">
            <x v="3"/>
          </reference>
          <reference field="11" count="1">
            <x v="39"/>
          </reference>
        </references>
      </pivotArea>
    </format>
    <format dxfId="565">
      <pivotArea dataOnly="0" labelOnly="1" outline="0" fieldPosition="0">
        <references count="3">
          <reference field="0" count="1" selected="0">
            <x v="133"/>
          </reference>
          <reference field="10" count="1" selected="0">
            <x v="1"/>
          </reference>
          <reference field="11" count="1">
            <x v="21"/>
          </reference>
        </references>
      </pivotArea>
    </format>
    <format dxfId="564">
      <pivotArea dataOnly="0" labelOnly="1" outline="0" fieldPosition="0">
        <references count="3">
          <reference field="0" count="1" selected="0">
            <x v="134"/>
          </reference>
          <reference field="10" count="1" selected="0">
            <x v="0"/>
          </reference>
          <reference field="11" count="1">
            <x v="18"/>
          </reference>
        </references>
      </pivotArea>
    </format>
    <format dxfId="563">
      <pivotArea dataOnly="0" labelOnly="1" outline="0" fieldPosition="0">
        <references count="3">
          <reference field="0" count="1" selected="0">
            <x v="134"/>
          </reference>
          <reference field="10" count="1" selected="0">
            <x v="1"/>
          </reference>
          <reference field="11" count="1">
            <x v="21"/>
          </reference>
        </references>
      </pivotArea>
    </format>
    <format dxfId="562">
      <pivotArea dataOnly="0" labelOnly="1" outline="0" fieldPosition="0">
        <references count="3">
          <reference field="0" count="1" selected="0">
            <x v="135"/>
          </reference>
          <reference field="10" count="1" selected="0">
            <x v="1"/>
          </reference>
          <reference field="11" count="1">
            <x v="21"/>
          </reference>
        </references>
      </pivotArea>
    </format>
    <format dxfId="561">
      <pivotArea dataOnly="0" labelOnly="1" outline="0" fieldPosition="0">
        <references count="3">
          <reference field="0" count="1" selected="0">
            <x v="135"/>
          </reference>
          <reference field="10" count="1" selected="0">
            <x v="3"/>
          </reference>
          <reference field="11" count="1">
            <x v="33"/>
          </reference>
        </references>
      </pivotArea>
    </format>
    <format dxfId="560">
      <pivotArea dataOnly="0" labelOnly="1" outline="0" fieldPosition="0">
        <references count="3">
          <reference field="0" count="1" selected="0">
            <x v="136"/>
          </reference>
          <reference field="10" count="1" selected="0">
            <x v="1"/>
          </reference>
          <reference field="11" count="1">
            <x v="21"/>
          </reference>
        </references>
      </pivotArea>
    </format>
    <format dxfId="559">
      <pivotArea dataOnly="0" labelOnly="1" outline="0" fieldPosition="0">
        <references count="3">
          <reference field="0" count="1" selected="0">
            <x v="139"/>
          </reference>
          <reference field="10" count="1" selected="0">
            <x v="0"/>
          </reference>
          <reference field="11" count="1">
            <x v="12"/>
          </reference>
        </references>
      </pivotArea>
    </format>
    <format dxfId="558">
      <pivotArea dataOnly="0" labelOnly="1" outline="0" fieldPosition="0">
        <references count="3">
          <reference field="0" count="1" selected="0">
            <x v="139"/>
          </reference>
          <reference field="10" count="1" selected="0">
            <x v="3"/>
          </reference>
          <reference field="11" count="1">
            <x v="39"/>
          </reference>
        </references>
      </pivotArea>
    </format>
    <format dxfId="557">
      <pivotArea dataOnly="0" labelOnly="1" outline="0" fieldPosition="0">
        <references count="3">
          <reference field="0" count="1" selected="0">
            <x v="141"/>
          </reference>
          <reference field="10" count="1" selected="0">
            <x v="2"/>
          </reference>
          <reference field="11" count="1">
            <x v="25"/>
          </reference>
        </references>
      </pivotArea>
    </format>
    <format dxfId="556">
      <pivotArea dataOnly="0" labelOnly="1" outline="0" fieldPosition="0">
        <references count="3">
          <reference field="0" count="1" selected="0">
            <x v="141"/>
          </reference>
          <reference field="10" count="1" selected="0">
            <x v="3"/>
          </reference>
          <reference field="11" count="1">
            <x v="39"/>
          </reference>
        </references>
      </pivotArea>
    </format>
    <format dxfId="555">
      <pivotArea dataOnly="0" labelOnly="1" outline="0" fieldPosition="0">
        <references count="3">
          <reference field="0" count="1" selected="0">
            <x v="144"/>
          </reference>
          <reference field="10" count="1" selected="0">
            <x v="3"/>
          </reference>
          <reference field="11" count="1">
            <x v="39"/>
          </reference>
        </references>
      </pivotArea>
    </format>
    <format dxfId="554">
      <pivotArea dataOnly="0" labelOnly="1" outline="0" fieldPosition="0">
        <references count="3">
          <reference field="0" count="1" selected="0">
            <x v="147"/>
          </reference>
          <reference field="10" count="1" selected="0">
            <x v="0"/>
          </reference>
          <reference field="11" count="1">
            <x v="16"/>
          </reference>
        </references>
      </pivotArea>
    </format>
    <format dxfId="553">
      <pivotArea dataOnly="0" labelOnly="1" outline="0" fieldPosition="0">
        <references count="3">
          <reference field="0" count="1" selected="0">
            <x v="148"/>
          </reference>
          <reference field="10" count="1" selected="0">
            <x v="0"/>
          </reference>
          <reference field="11" count="1">
            <x v="16"/>
          </reference>
        </references>
      </pivotArea>
    </format>
    <format dxfId="552">
      <pivotArea dataOnly="0" labelOnly="1" outline="0" fieldPosition="0">
        <references count="3">
          <reference field="0" count="1" selected="0">
            <x v="149"/>
          </reference>
          <reference field="10" count="1" selected="0">
            <x v="0"/>
          </reference>
          <reference field="11" count="1">
            <x v="16"/>
          </reference>
        </references>
      </pivotArea>
    </format>
    <format dxfId="551">
      <pivotArea dataOnly="0" labelOnly="1" outline="0" fieldPosition="0">
        <references count="3">
          <reference field="0" count="1" selected="0">
            <x v="150"/>
          </reference>
          <reference field="10" count="1" selected="0">
            <x v="0"/>
          </reference>
          <reference field="11" count="1">
            <x v="16"/>
          </reference>
        </references>
      </pivotArea>
    </format>
    <format dxfId="550">
      <pivotArea dataOnly="0" labelOnly="1" outline="0" fieldPosition="0">
        <references count="3">
          <reference field="0" count="1" selected="0">
            <x v="151"/>
          </reference>
          <reference field="10" count="1" selected="0">
            <x v="0"/>
          </reference>
          <reference field="11" count="1">
            <x v="16"/>
          </reference>
        </references>
      </pivotArea>
    </format>
    <format dxfId="549">
      <pivotArea dataOnly="0" labelOnly="1" outline="0" fieldPosition="0">
        <references count="3">
          <reference field="0" count="1" selected="0">
            <x v="152"/>
          </reference>
          <reference field="10" count="1" selected="0">
            <x v="0"/>
          </reference>
          <reference field="11" count="1">
            <x v="16"/>
          </reference>
        </references>
      </pivotArea>
    </format>
    <format dxfId="548">
      <pivotArea dataOnly="0" labelOnly="1" outline="0" fieldPosition="0">
        <references count="3">
          <reference field="0" count="1" selected="0">
            <x v="153"/>
          </reference>
          <reference field="10" count="1" selected="0">
            <x v="0"/>
          </reference>
          <reference field="11" count="1">
            <x v="16"/>
          </reference>
        </references>
      </pivotArea>
    </format>
    <format dxfId="547">
      <pivotArea dataOnly="0" labelOnly="1" outline="0" fieldPosition="0">
        <references count="3">
          <reference field="0" count="1" selected="0">
            <x v="154"/>
          </reference>
          <reference field="10" count="1" selected="0">
            <x v="0"/>
          </reference>
          <reference field="11" count="1">
            <x v="16"/>
          </reference>
        </references>
      </pivotArea>
    </format>
    <format dxfId="546">
      <pivotArea dataOnly="0" labelOnly="1" outline="0" fieldPosition="0">
        <references count="3">
          <reference field="0" count="1" selected="0">
            <x v="155"/>
          </reference>
          <reference field="10" count="1" selected="0">
            <x v="0"/>
          </reference>
          <reference field="11" count="1">
            <x v="16"/>
          </reference>
        </references>
      </pivotArea>
    </format>
    <format dxfId="545">
      <pivotArea dataOnly="0" labelOnly="1" outline="0" fieldPosition="0">
        <references count="3">
          <reference field="0" count="1" selected="0">
            <x v="156"/>
          </reference>
          <reference field="10" count="1" selected="0">
            <x v="0"/>
          </reference>
          <reference field="11" count="1">
            <x v="16"/>
          </reference>
        </references>
      </pivotArea>
    </format>
    <format dxfId="544">
      <pivotArea dataOnly="0" labelOnly="1" outline="0" fieldPosition="0">
        <references count="3">
          <reference field="0" count="1" selected="0">
            <x v="157"/>
          </reference>
          <reference field="10" count="1" selected="0">
            <x v="0"/>
          </reference>
          <reference field="11" count="1">
            <x v="16"/>
          </reference>
        </references>
      </pivotArea>
    </format>
    <format dxfId="543">
      <pivotArea dataOnly="0" labelOnly="1" outline="0" fieldPosition="0">
        <references count="3">
          <reference field="0" count="1" selected="0">
            <x v="158"/>
          </reference>
          <reference field="10" count="1" selected="0">
            <x v="0"/>
          </reference>
          <reference field="11" count="1">
            <x v="16"/>
          </reference>
        </references>
      </pivotArea>
    </format>
    <format dxfId="542">
      <pivotArea dataOnly="0" labelOnly="1" outline="0" fieldPosition="0">
        <references count="3">
          <reference field="0" count="1" selected="0">
            <x v="163"/>
          </reference>
          <reference field="10" count="1" selected="0">
            <x v="3"/>
          </reference>
          <reference field="11" count="1">
            <x v="39"/>
          </reference>
        </references>
      </pivotArea>
    </format>
    <format dxfId="541">
      <pivotArea dataOnly="0" labelOnly="1" outline="0" fieldPosition="0">
        <references count="3">
          <reference field="0" count="1" selected="0">
            <x v="164"/>
          </reference>
          <reference field="10" count="1" selected="0">
            <x v="0"/>
          </reference>
          <reference field="11" count="2">
            <x v="10"/>
            <x v="39"/>
          </reference>
        </references>
      </pivotArea>
    </format>
    <format dxfId="540">
      <pivotArea dataOnly="0" labelOnly="1" outline="0" fieldPosition="0">
        <references count="3">
          <reference field="0" count="1" selected="0">
            <x v="164"/>
          </reference>
          <reference field="10" count="1" selected="0">
            <x v="3"/>
          </reference>
          <reference field="11" count="1">
            <x v="39"/>
          </reference>
        </references>
      </pivotArea>
    </format>
    <format dxfId="539">
      <pivotArea dataOnly="0" labelOnly="1" outline="0" fieldPosition="0">
        <references count="3">
          <reference field="0" count="1" selected="0">
            <x v="165"/>
          </reference>
          <reference field="10" count="1" selected="0">
            <x v="3"/>
          </reference>
          <reference field="11" count="1">
            <x v="39"/>
          </reference>
        </references>
      </pivotArea>
    </format>
    <format dxfId="538">
      <pivotArea dataOnly="0" labelOnly="1" outline="0" fieldPosition="0">
        <references count="3">
          <reference field="0" count="1" selected="0">
            <x v="166"/>
          </reference>
          <reference field="10" count="1" selected="0">
            <x v="3"/>
          </reference>
          <reference field="11" count="1">
            <x v="39"/>
          </reference>
        </references>
      </pivotArea>
    </format>
    <format dxfId="537">
      <pivotArea dataOnly="0" labelOnly="1" outline="0" fieldPosition="0">
        <references count="3">
          <reference field="0" count="1" selected="0">
            <x v="167"/>
          </reference>
          <reference field="10" count="1" selected="0">
            <x v="3"/>
          </reference>
          <reference field="11" count="1">
            <x v="39"/>
          </reference>
        </references>
      </pivotArea>
    </format>
    <format dxfId="536">
      <pivotArea dataOnly="0" labelOnly="1" outline="0" fieldPosition="0">
        <references count="3">
          <reference field="0" count="1" selected="0">
            <x v="168"/>
          </reference>
          <reference field="10" count="1" selected="0">
            <x v="3"/>
          </reference>
          <reference field="11" count="1">
            <x v="39"/>
          </reference>
        </references>
      </pivotArea>
    </format>
    <format dxfId="535">
      <pivotArea dataOnly="0" labelOnly="1" outline="0" fieldPosition="0">
        <references count="3">
          <reference field="0" count="1" selected="0">
            <x v="169"/>
          </reference>
          <reference field="10" count="1" selected="0">
            <x v="3"/>
          </reference>
          <reference field="11" count="1">
            <x v="39"/>
          </reference>
        </references>
      </pivotArea>
    </format>
    <format dxfId="534">
      <pivotArea dataOnly="0" labelOnly="1" outline="0" fieldPosition="0">
        <references count="3">
          <reference field="0" count="1" selected="0">
            <x v="170"/>
          </reference>
          <reference field="10" count="1" selected="0">
            <x v="3"/>
          </reference>
          <reference field="11" count="1">
            <x v="39"/>
          </reference>
        </references>
      </pivotArea>
    </format>
    <format dxfId="533">
      <pivotArea dataOnly="0" labelOnly="1" outline="0" fieldPosition="0">
        <references count="3">
          <reference field="0" count="1" selected="0">
            <x v="177"/>
          </reference>
          <reference field="10" count="1" selected="0">
            <x v="0"/>
          </reference>
          <reference field="11" count="2">
            <x v="10"/>
            <x v="15"/>
          </reference>
        </references>
      </pivotArea>
    </format>
    <format dxfId="532">
      <pivotArea dataOnly="0" labelOnly="1" outline="0" fieldPosition="0">
        <references count="3">
          <reference field="0" count="1" selected="0">
            <x v="177"/>
          </reference>
          <reference field="10" count="1" selected="0">
            <x v="3"/>
          </reference>
          <reference field="11" count="1">
            <x v="39"/>
          </reference>
        </references>
      </pivotArea>
    </format>
    <format dxfId="531">
      <pivotArea dataOnly="0" labelOnly="1" outline="0" fieldPosition="0">
        <references count="3">
          <reference field="0" count="1" selected="0">
            <x v="179"/>
          </reference>
          <reference field="10" count="1" selected="0">
            <x v="0"/>
          </reference>
          <reference field="11" count="1">
            <x v="23"/>
          </reference>
        </references>
      </pivotArea>
    </format>
    <format dxfId="530">
      <pivotArea dataOnly="0" labelOnly="1" outline="0" fieldPosition="0">
        <references count="3">
          <reference field="0" count="1" selected="0">
            <x v="180"/>
          </reference>
          <reference field="10" count="1" selected="0">
            <x v="3"/>
          </reference>
          <reference field="11" count="1">
            <x v="39"/>
          </reference>
        </references>
      </pivotArea>
    </format>
    <format dxfId="529">
      <pivotArea dataOnly="0" labelOnly="1" outline="0" fieldPosition="0">
        <references count="3">
          <reference field="0" count="1" selected="0">
            <x v="187"/>
          </reference>
          <reference field="10" count="1" selected="0">
            <x v="0"/>
          </reference>
          <reference field="11" count="1">
            <x v="44"/>
          </reference>
        </references>
      </pivotArea>
    </format>
    <format dxfId="528">
      <pivotArea dataOnly="0" labelOnly="1" outline="0" fieldPosition="0">
        <references count="3">
          <reference field="0" count="1" selected="0">
            <x v="189"/>
          </reference>
          <reference field="10" count="1" selected="0">
            <x v="3"/>
          </reference>
          <reference field="11" count="1">
            <x v="39"/>
          </reference>
        </references>
      </pivotArea>
    </format>
    <format dxfId="527">
      <pivotArea dataOnly="0" labelOnly="1" outline="0" fieldPosition="0">
        <references count="3">
          <reference field="0" count="1" selected="0">
            <x v="190"/>
          </reference>
          <reference field="10" count="1" selected="0">
            <x v="0"/>
          </reference>
          <reference field="11" count="1">
            <x v="4"/>
          </reference>
        </references>
      </pivotArea>
    </format>
    <format dxfId="526">
      <pivotArea dataOnly="0" labelOnly="1" outline="0" fieldPosition="0">
        <references count="3">
          <reference field="0" count="1" selected="0">
            <x v="197"/>
          </reference>
          <reference field="10" count="1" selected="0">
            <x v="0"/>
          </reference>
          <reference field="11" count="1">
            <x v="23"/>
          </reference>
        </references>
      </pivotArea>
    </format>
    <format dxfId="525">
      <pivotArea dataOnly="0" labelOnly="1" outline="0" fieldPosition="0">
        <references count="3">
          <reference field="0" count="1" selected="0">
            <x v="198"/>
          </reference>
          <reference field="10" count="1" selected="0">
            <x v="3"/>
          </reference>
          <reference field="11" count="1">
            <x v="39"/>
          </reference>
        </references>
      </pivotArea>
    </format>
    <format dxfId="524">
      <pivotArea dataOnly="0" labelOnly="1" outline="0" fieldPosition="0">
        <references count="3">
          <reference field="0" count="1" selected="0">
            <x v="206"/>
          </reference>
          <reference field="10" count="1" selected="0">
            <x v="3"/>
          </reference>
          <reference field="11" count="1">
            <x v="39"/>
          </reference>
        </references>
      </pivotArea>
    </format>
    <format dxfId="523">
      <pivotArea dataOnly="0" labelOnly="1" outline="0" fieldPosition="0">
        <references count="3">
          <reference field="0" count="1" selected="0">
            <x v="207"/>
          </reference>
          <reference field="10" count="1" selected="0">
            <x v="0"/>
          </reference>
          <reference field="11" count="1">
            <x v="25"/>
          </reference>
        </references>
      </pivotArea>
    </format>
    <format dxfId="522">
      <pivotArea dataOnly="0" labelOnly="1" outline="0" fieldPosition="0">
        <references count="3">
          <reference field="0" count="1" selected="0">
            <x v="209"/>
          </reference>
          <reference field="10" count="1" selected="0">
            <x v="3"/>
          </reference>
          <reference field="11" count="1">
            <x v="39"/>
          </reference>
        </references>
      </pivotArea>
    </format>
    <format dxfId="521">
      <pivotArea dataOnly="0" labelOnly="1" outline="0" fieldPosition="0">
        <references count="3">
          <reference field="0" count="1" selected="0">
            <x v="218"/>
          </reference>
          <reference field="10" count="1" selected="0">
            <x v="0"/>
          </reference>
          <reference field="11" count="1">
            <x v="39"/>
          </reference>
        </references>
      </pivotArea>
    </format>
    <format dxfId="520">
      <pivotArea dataOnly="0" labelOnly="1" outline="0" fieldPosition="0">
        <references count="3">
          <reference field="0" count="1" selected="0">
            <x v="219"/>
          </reference>
          <reference field="10" count="1" selected="0">
            <x v="0"/>
          </reference>
          <reference field="11" count="1">
            <x v="39"/>
          </reference>
        </references>
      </pivotArea>
    </format>
    <format dxfId="519">
      <pivotArea dataOnly="0" labelOnly="1" outline="0" fieldPosition="0">
        <references count="3">
          <reference field="0" count="1" selected="0">
            <x v="220"/>
          </reference>
          <reference field="10" count="1" selected="0">
            <x v="0"/>
          </reference>
          <reference field="11" count="1">
            <x v="39"/>
          </reference>
        </references>
      </pivotArea>
    </format>
    <format dxfId="518">
      <pivotArea dataOnly="0" labelOnly="1" outline="0" fieldPosition="0">
        <references count="3">
          <reference field="0" count="1" selected="0">
            <x v="222"/>
          </reference>
          <reference field="10" count="1" selected="0">
            <x v="3"/>
          </reference>
          <reference field="11" count="1">
            <x v="39"/>
          </reference>
        </references>
      </pivotArea>
    </format>
    <format dxfId="517">
      <pivotArea dataOnly="0" labelOnly="1" outline="0" fieldPosition="0">
        <references count="3">
          <reference field="0" count="1" selected="0">
            <x v="223"/>
          </reference>
          <reference field="10" count="1" selected="0">
            <x v="0"/>
          </reference>
          <reference field="11" count="1">
            <x v="4"/>
          </reference>
        </references>
      </pivotArea>
    </format>
    <format dxfId="516">
      <pivotArea dataOnly="0" labelOnly="1" outline="0" fieldPosition="0">
        <references count="3">
          <reference field="0" count="1" selected="0">
            <x v="223"/>
          </reference>
          <reference field="10" count="1" selected="0">
            <x v="3"/>
          </reference>
          <reference field="11" count="1">
            <x v="39"/>
          </reference>
        </references>
      </pivotArea>
    </format>
    <format dxfId="515">
      <pivotArea dataOnly="0" labelOnly="1" outline="0" fieldPosition="0">
        <references count="3">
          <reference field="0" count="1" selected="0">
            <x v="225"/>
          </reference>
          <reference field="10" count="1" selected="0">
            <x v="0"/>
          </reference>
          <reference field="11" count="2">
            <x v="2"/>
            <x v="10"/>
          </reference>
        </references>
      </pivotArea>
    </format>
    <format dxfId="514">
      <pivotArea dataOnly="0" labelOnly="1" outline="0" fieldPosition="0">
        <references count="3">
          <reference field="0" count="1" selected="0">
            <x v="226"/>
          </reference>
          <reference field="10" count="1" selected="0">
            <x v="0"/>
          </reference>
          <reference field="11" count="1">
            <x v="31"/>
          </reference>
        </references>
      </pivotArea>
    </format>
    <format dxfId="513">
      <pivotArea dataOnly="0" labelOnly="1" outline="0" fieldPosition="0">
        <references count="3">
          <reference field="0" count="1" selected="0">
            <x v="228"/>
          </reference>
          <reference field="10" count="1" selected="0">
            <x v="3"/>
          </reference>
          <reference field="11" count="1">
            <x v="39"/>
          </reference>
        </references>
      </pivotArea>
    </format>
    <format dxfId="512">
      <pivotArea dataOnly="0" labelOnly="1" outline="0" fieldPosition="0">
        <references count="3">
          <reference field="0" count="1" selected="0">
            <x v="233"/>
          </reference>
          <reference field="10" count="1" selected="0">
            <x v="0"/>
          </reference>
          <reference field="11" count="1">
            <x v="31"/>
          </reference>
        </references>
      </pivotArea>
    </format>
    <format dxfId="511">
      <pivotArea dataOnly="0" labelOnly="1" outline="0" fieldPosition="0">
        <references count="3">
          <reference field="0" count="1" selected="0">
            <x v="234"/>
          </reference>
          <reference field="10" count="1" selected="0">
            <x v="0"/>
          </reference>
          <reference field="11" count="1">
            <x v="39"/>
          </reference>
        </references>
      </pivotArea>
    </format>
    <format dxfId="510">
      <pivotArea dataOnly="0" labelOnly="1" outline="0" fieldPosition="0">
        <references count="3">
          <reference field="0" count="1" selected="0">
            <x v="234"/>
          </reference>
          <reference field="10" count="1" selected="0">
            <x v="3"/>
          </reference>
          <reference field="11" count="1">
            <x v="39"/>
          </reference>
        </references>
      </pivotArea>
    </format>
    <format dxfId="509">
      <pivotArea dataOnly="0" labelOnly="1" outline="0" fieldPosition="0">
        <references count="3">
          <reference field="0" count="1" selected="0">
            <x v="237"/>
          </reference>
          <reference field="10" count="1" selected="0">
            <x v="0"/>
          </reference>
          <reference field="11" count="2">
            <x v="10"/>
            <x v="39"/>
          </reference>
        </references>
      </pivotArea>
    </format>
    <format dxfId="508">
      <pivotArea dataOnly="0" labelOnly="1" outline="0" fieldPosition="0">
        <references count="3">
          <reference field="0" count="1" selected="0">
            <x v="238"/>
          </reference>
          <reference field="10" count="1" selected="0">
            <x v="0"/>
          </reference>
          <reference field="11" count="1">
            <x v="10"/>
          </reference>
        </references>
      </pivotArea>
    </format>
    <format dxfId="507">
      <pivotArea dataOnly="0" labelOnly="1" outline="0" fieldPosition="0">
        <references count="3">
          <reference field="0" count="1" selected="0">
            <x v="238"/>
          </reference>
          <reference field="10" count="1" selected="0">
            <x v="3"/>
          </reference>
          <reference field="11" count="1">
            <x v="39"/>
          </reference>
        </references>
      </pivotArea>
    </format>
    <format dxfId="506">
      <pivotArea dataOnly="0" labelOnly="1" outline="0" fieldPosition="0">
        <references count="3">
          <reference field="0" count="1" selected="0">
            <x v="240"/>
          </reference>
          <reference field="10" count="1" selected="0">
            <x v="3"/>
          </reference>
          <reference field="11" count="1">
            <x v="39"/>
          </reference>
        </references>
      </pivotArea>
    </format>
    <format dxfId="505">
      <pivotArea dataOnly="0" labelOnly="1" outline="0" fieldPosition="0">
        <references count="3">
          <reference field="0" count="1" selected="0">
            <x v="241"/>
          </reference>
          <reference field="10" count="1" selected="0">
            <x v="0"/>
          </reference>
          <reference field="11" count="1">
            <x v="14"/>
          </reference>
        </references>
      </pivotArea>
    </format>
    <format dxfId="504">
      <pivotArea dataOnly="0" labelOnly="1" outline="0" fieldPosition="0">
        <references count="3">
          <reference field="0" count="1" selected="0">
            <x v="247"/>
          </reference>
          <reference field="10" count="1" selected="0">
            <x v="3"/>
          </reference>
          <reference field="11" count="1">
            <x v="39"/>
          </reference>
        </references>
      </pivotArea>
    </format>
    <format dxfId="503">
      <pivotArea dataOnly="0" labelOnly="1" outline="0" fieldPosition="0">
        <references count="3">
          <reference field="0" count="1" selected="0">
            <x v="250"/>
          </reference>
          <reference field="10" count="1" selected="0">
            <x v="3"/>
          </reference>
          <reference field="11" count="1">
            <x v="39"/>
          </reference>
        </references>
      </pivotArea>
    </format>
    <format dxfId="502">
      <pivotArea dataOnly="0" labelOnly="1" outline="0" fieldPosition="0">
        <references count="3">
          <reference field="0" count="1" selected="0">
            <x v="253"/>
          </reference>
          <reference field="10" count="1" selected="0">
            <x v="0"/>
          </reference>
          <reference field="11" count="1">
            <x v="45"/>
          </reference>
        </references>
      </pivotArea>
    </format>
    <format dxfId="501">
      <pivotArea dataOnly="0" labelOnly="1" outline="0" fieldPosition="0">
        <references count="3">
          <reference field="0" count="1" selected="0">
            <x v="253"/>
          </reference>
          <reference field="10" count="1" selected="0">
            <x v="4"/>
          </reference>
          <reference field="11" count="1">
            <x v="39"/>
          </reference>
        </references>
      </pivotArea>
    </format>
    <format dxfId="500">
      <pivotArea dataOnly="0" labelOnly="1" outline="0" fieldPosition="0">
        <references count="3">
          <reference field="0" count="1" selected="0">
            <x v="254"/>
          </reference>
          <reference field="10" count="1" selected="0">
            <x v="0"/>
          </reference>
          <reference field="11" count="1">
            <x v="44"/>
          </reference>
        </references>
      </pivotArea>
    </format>
    <format dxfId="499">
      <pivotArea dataOnly="0" labelOnly="1" outline="0" fieldPosition="0">
        <references count="3">
          <reference field="0" count="1" selected="0">
            <x v="254"/>
          </reference>
          <reference field="10" count="1" selected="0">
            <x v="3"/>
          </reference>
          <reference field="11" count="1">
            <x v="32"/>
          </reference>
        </references>
      </pivotArea>
    </format>
    <format dxfId="498">
      <pivotArea dataOnly="0" labelOnly="1" outline="0" fieldPosition="0">
        <references count="3">
          <reference field="0" count="1" selected="0">
            <x v="255"/>
          </reference>
          <reference field="10" count="1" selected="0">
            <x v="0"/>
          </reference>
          <reference field="11" count="1">
            <x v="43"/>
          </reference>
        </references>
      </pivotArea>
    </format>
    <format dxfId="497">
      <pivotArea dataOnly="0" labelOnly="1" outline="0" fieldPosition="0">
        <references count="3">
          <reference field="0" count="1" selected="0">
            <x v="255"/>
          </reference>
          <reference field="10" count="1" selected="0">
            <x v="4"/>
          </reference>
          <reference field="11" count="1">
            <x v="39"/>
          </reference>
        </references>
      </pivotArea>
    </format>
    <format dxfId="496">
      <pivotArea dataOnly="0" labelOnly="1" outline="0" fieldPosition="0">
        <references count="3">
          <reference field="0" count="1" selected="0">
            <x v="258"/>
          </reference>
          <reference field="10" count="1" selected="0">
            <x v="3"/>
          </reference>
          <reference field="11" count="1">
            <x v="39"/>
          </reference>
        </references>
      </pivotArea>
    </format>
    <format dxfId="495">
      <pivotArea dataOnly="0" labelOnly="1" outline="0" fieldPosition="0">
        <references count="3">
          <reference field="0" count="1" selected="0">
            <x v="261"/>
          </reference>
          <reference field="10" count="1" selected="0">
            <x v="3"/>
          </reference>
          <reference field="11" count="1">
            <x v="39"/>
          </reference>
        </references>
      </pivotArea>
    </format>
    <format dxfId="494">
      <pivotArea dataOnly="0" labelOnly="1" outline="0" fieldPosition="0">
        <references count="3">
          <reference field="0" count="1" selected="0">
            <x v="262"/>
          </reference>
          <reference field="10" count="1" selected="0">
            <x v="3"/>
          </reference>
          <reference field="11" count="1">
            <x v="39"/>
          </reference>
        </references>
      </pivotArea>
    </format>
    <format dxfId="493">
      <pivotArea dataOnly="0" labelOnly="1" outline="0" fieldPosition="0">
        <references count="3">
          <reference field="0" count="1" selected="0">
            <x v="263"/>
          </reference>
          <reference field="10" count="1" selected="0">
            <x v="3"/>
          </reference>
          <reference field="11" count="1">
            <x v="39"/>
          </reference>
        </references>
      </pivotArea>
    </format>
    <format dxfId="492">
      <pivotArea dataOnly="0" labelOnly="1" outline="0" fieldPosition="0">
        <references count="3">
          <reference field="0" count="1" selected="0">
            <x v="264"/>
          </reference>
          <reference field="10" count="1" selected="0">
            <x v="3"/>
          </reference>
          <reference field="11" count="1">
            <x v="39"/>
          </reference>
        </references>
      </pivotArea>
    </format>
    <format dxfId="491">
      <pivotArea dataOnly="0" labelOnly="1" outline="0" fieldPosition="0">
        <references count="3">
          <reference field="0" count="1" selected="0">
            <x v="265"/>
          </reference>
          <reference field="10" count="1" selected="0">
            <x v="3"/>
          </reference>
          <reference field="11" count="1">
            <x v="39"/>
          </reference>
        </references>
      </pivotArea>
    </format>
    <format dxfId="490">
      <pivotArea dataOnly="0" labelOnly="1" outline="0" fieldPosition="0">
        <references count="3">
          <reference field="0" count="1" selected="0">
            <x v="266"/>
          </reference>
          <reference field="10" count="1" selected="0">
            <x v="3"/>
          </reference>
          <reference field="11" count="1">
            <x v="39"/>
          </reference>
        </references>
      </pivotArea>
    </format>
    <format dxfId="489">
      <pivotArea dataOnly="0" labelOnly="1" outline="0" fieldPosition="0">
        <references count="3">
          <reference field="0" count="1" selected="0">
            <x v="267"/>
          </reference>
          <reference field="10" count="1" selected="0">
            <x v="0"/>
          </reference>
          <reference field="11" count="1">
            <x v="43"/>
          </reference>
        </references>
      </pivotArea>
    </format>
    <format dxfId="488">
      <pivotArea dataOnly="0" labelOnly="1" outline="0" fieldPosition="0">
        <references count="3">
          <reference field="0" count="1" selected="0">
            <x v="268"/>
          </reference>
          <reference field="10" count="1" selected="0">
            <x v="0"/>
          </reference>
          <reference field="11" count="1">
            <x v="43"/>
          </reference>
        </references>
      </pivotArea>
    </format>
    <format dxfId="487">
      <pivotArea dataOnly="0" labelOnly="1" outline="0" fieldPosition="0">
        <references count="3">
          <reference field="0" count="1" selected="0">
            <x v="269"/>
          </reference>
          <reference field="10" count="1" selected="0">
            <x v="0"/>
          </reference>
          <reference field="11" count="1">
            <x v="43"/>
          </reference>
        </references>
      </pivotArea>
    </format>
    <format dxfId="486">
      <pivotArea dataOnly="0" labelOnly="1" outline="0" fieldPosition="0">
        <references count="3">
          <reference field="0" count="1" selected="0">
            <x v="270"/>
          </reference>
          <reference field="10" count="1" selected="0">
            <x v="0"/>
          </reference>
          <reference field="11" count="1">
            <x v="43"/>
          </reference>
        </references>
      </pivotArea>
    </format>
    <format dxfId="485">
      <pivotArea dataOnly="0" labelOnly="1" outline="0" fieldPosition="0">
        <references count="3">
          <reference field="0" count="1" selected="0">
            <x v="271"/>
          </reference>
          <reference field="10" count="1" selected="0">
            <x v="0"/>
          </reference>
          <reference field="11" count="1">
            <x v="43"/>
          </reference>
        </references>
      </pivotArea>
    </format>
    <format dxfId="484">
      <pivotArea dataOnly="0" labelOnly="1" outline="0" fieldPosition="0">
        <references count="3">
          <reference field="0" count="1" selected="0">
            <x v="272"/>
          </reference>
          <reference field="10" count="1" selected="0">
            <x v="3"/>
          </reference>
          <reference field="11" count="1">
            <x v="39"/>
          </reference>
        </references>
      </pivotArea>
    </format>
    <format dxfId="483">
      <pivotArea dataOnly="0" labelOnly="1" outline="0" fieldPosition="0">
        <references count="3">
          <reference field="0" count="1" selected="0">
            <x v="273"/>
          </reference>
          <reference field="10" count="1" selected="0">
            <x v="3"/>
          </reference>
          <reference field="11" count="1">
            <x v="39"/>
          </reference>
        </references>
      </pivotArea>
    </format>
    <format dxfId="482">
      <pivotArea dataOnly="0" labelOnly="1" outline="0" fieldPosition="0">
        <references count="3">
          <reference field="0" count="1" selected="0">
            <x v="275"/>
          </reference>
          <reference field="10" count="1" selected="0">
            <x v="3"/>
          </reference>
          <reference field="11" count="1">
            <x v="39"/>
          </reference>
        </references>
      </pivotArea>
    </format>
    <format dxfId="481">
      <pivotArea dataOnly="0" labelOnly="1" outline="0" fieldPosition="0">
        <references count="3">
          <reference field="0" count="1" selected="0">
            <x v="276"/>
          </reference>
          <reference field="10" count="1" selected="0">
            <x v="3"/>
          </reference>
          <reference field="11" count="1">
            <x v="39"/>
          </reference>
        </references>
      </pivotArea>
    </format>
    <format dxfId="480">
      <pivotArea dataOnly="0" labelOnly="1" outline="0" fieldPosition="0">
        <references count="3">
          <reference field="0" count="1" selected="0">
            <x v="277"/>
          </reference>
          <reference field="10" count="1" selected="0">
            <x v="0"/>
          </reference>
          <reference field="11" count="1">
            <x v="5"/>
          </reference>
        </references>
      </pivotArea>
    </format>
    <format dxfId="479">
      <pivotArea dataOnly="0" labelOnly="1" outline="0" fieldPosition="0">
        <references count="3">
          <reference field="0" count="1" selected="0">
            <x v="277"/>
          </reference>
          <reference field="10" count="1" selected="0">
            <x v="2"/>
          </reference>
          <reference field="11" count="1">
            <x v="29"/>
          </reference>
        </references>
      </pivotArea>
    </format>
    <format dxfId="478">
      <pivotArea dataOnly="0" labelOnly="1" outline="0" fieldPosition="0">
        <references count="3">
          <reference field="0" count="1" selected="0">
            <x v="278"/>
          </reference>
          <reference field="10" count="1" selected="0">
            <x v="0"/>
          </reference>
          <reference field="11" count="1">
            <x v="39"/>
          </reference>
        </references>
      </pivotArea>
    </format>
    <format dxfId="477">
      <pivotArea dataOnly="0" labelOnly="1" outline="0" fieldPosition="0">
        <references count="3">
          <reference field="0" count="1" selected="0">
            <x v="286"/>
          </reference>
          <reference field="10" count="1" selected="0">
            <x v="0"/>
          </reference>
          <reference field="11" count="1">
            <x v="13"/>
          </reference>
        </references>
      </pivotArea>
    </format>
    <format dxfId="476">
      <pivotArea dataOnly="0" labelOnly="1" outline="0" fieldPosition="0">
        <references count="3">
          <reference field="0" count="1" selected="0">
            <x v="288"/>
          </reference>
          <reference field="10" count="1" selected="0">
            <x v="3"/>
          </reference>
          <reference field="11" count="1">
            <x v="39"/>
          </reference>
        </references>
      </pivotArea>
    </format>
    <format dxfId="475">
      <pivotArea dataOnly="0" labelOnly="1" outline="0" fieldPosition="0">
        <references count="3">
          <reference field="0" count="1" selected="0">
            <x v="292"/>
          </reference>
          <reference field="10" count="1" selected="0">
            <x v="3"/>
          </reference>
          <reference field="11" count="1">
            <x v="39"/>
          </reference>
        </references>
      </pivotArea>
    </format>
    <format dxfId="474">
      <pivotArea dataOnly="0" labelOnly="1" outline="0" fieldPosition="0">
        <references count="3">
          <reference field="0" count="1" selected="0">
            <x v="294"/>
          </reference>
          <reference field="10" count="1" selected="0">
            <x v="0"/>
          </reference>
          <reference field="11" count="1">
            <x v="40"/>
          </reference>
        </references>
      </pivotArea>
    </format>
    <format dxfId="473">
      <pivotArea dataOnly="0" labelOnly="1" outline="0" fieldPosition="0">
        <references count="3">
          <reference field="0" count="1" selected="0">
            <x v="295"/>
          </reference>
          <reference field="10" count="1" selected="0">
            <x v="3"/>
          </reference>
          <reference field="11" count="1">
            <x v="39"/>
          </reference>
        </references>
      </pivotArea>
    </format>
    <format dxfId="472">
      <pivotArea dataOnly="0" labelOnly="1" outline="0" fieldPosition="0">
        <references count="3">
          <reference field="0" count="1" selected="0">
            <x v="296"/>
          </reference>
          <reference field="10" count="1" selected="0">
            <x v="0"/>
          </reference>
          <reference field="11" count="1">
            <x v="39"/>
          </reference>
        </references>
      </pivotArea>
    </format>
    <format dxfId="471">
      <pivotArea dataOnly="0" labelOnly="1" outline="0" fieldPosition="0">
        <references count="3">
          <reference field="0" count="1" selected="0">
            <x v="298"/>
          </reference>
          <reference field="10" count="1" selected="0">
            <x v="0"/>
          </reference>
          <reference field="11" count="1">
            <x v="25"/>
          </reference>
        </references>
      </pivotArea>
    </format>
    <format dxfId="470">
      <pivotArea dataOnly="0" labelOnly="1" outline="0" fieldPosition="0">
        <references count="3">
          <reference field="0" count="1" selected="0">
            <x v="298"/>
          </reference>
          <reference field="10" count="1" selected="0">
            <x v="3"/>
          </reference>
          <reference field="11" count="1">
            <x v="39"/>
          </reference>
        </references>
      </pivotArea>
    </format>
    <format dxfId="469">
      <pivotArea dataOnly="0" labelOnly="1" outline="0" fieldPosition="0">
        <references count="3">
          <reference field="0" count="1" selected="0">
            <x v="341"/>
          </reference>
          <reference field="10" count="1" selected="0">
            <x v="0"/>
          </reference>
          <reference field="11" count="1">
            <x v="39"/>
          </reference>
        </references>
      </pivotArea>
    </format>
    <format dxfId="468">
      <pivotArea dataOnly="0" labelOnly="1" outline="0" fieldPosition="0">
        <references count="3">
          <reference field="0" count="1" selected="0">
            <x v="342"/>
          </reference>
          <reference field="10" count="1" selected="0">
            <x v="3"/>
          </reference>
          <reference field="11" count="1">
            <x v="39"/>
          </reference>
        </references>
      </pivotArea>
    </format>
    <format dxfId="467">
      <pivotArea dataOnly="0" labelOnly="1" outline="0" fieldPosition="0">
        <references count="3">
          <reference field="0" count="1" selected="0">
            <x v="343"/>
          </reference>
          <reference field="10" count="1" selected="0">
            <x v="3"/>
          </reference>
          <reference field="11" count="1">
            <x v="39"/>
          </reference>
        </references>
      </pivotArea>
    </format>
    <format dxfId="466">
      <pivotArea dataOnly="0" labelOnly="1" outline="0" fieldPosition="0">
        <references count="3">
          <reference field="0" count="1" selected="0">
            <x v="344"/>
          </reference>
          <reference field="10" count="1" selected="0">
            <x v="3"/>
          </reference>
          <reference field="11" count="1">
            <x v="39"/>
          </reference>
        </references>
      </pivotArea>
    </format>
    <format dxfId="465">
      <pivotArea dataOnly="0" labelOnly="1" outline="0" fieldPosition="0">
        <references count="3">
          <reference field="0" count="1" selected="0">
            <x v="345"/>
          </reference>
          <reference field="10" count="1" selected="0">
            <x v="0"/>
          </reference>
          <reference field="11" count="2">
            <x v="10"/>
            <x v="31"/>
          </reference>
        </references>
      </pivotArea>
    </format>
    <format dxfId="464">
      <pivotArea dataOnly="0" labelOnly="1" outline="0" fieldPosition="0">
        <references count="3">
          <reference field="0" count="1" selected="0">
            <x v="345"/>
          </reference>
          <reference field="10" count="1" selected="0">
            <x v="3"/>
          </reference>
          <reference field="11" count="1">
            <x v="39"/>
          </reference>
        </references>
      </pivotArea>
    </format>
    <format dxfId="463">
      <pivotArea dataOnly="0" labelOnly="1" outline="0" fieldPosition="0">
        <references count="3">
          <reference field="0" count="1" selected="0">
            <x v="346"/>
          </reference>
          <reference field="10" count="1" selected="0">
            <x v="0"/>
          </reference>
          <reference field="11" count="3">
            <x v="10"/>
            <x v="15"/>
            <x v="40"/>
          </reference>
        </references>
      </pivotArea>
    </format>
    <format dxfId="462">
      <pivotArea dataOnly="0" labelOnly="1" outline="0" fieldPosition="0">
        <references count="3">
          <reference field="0" count="1" selected="0">
            <x v="346"/>
          </reference>
          <reference field="10" count="1" selected="0">
            <x v="3"/>
          </reference>
          <reference field="11" count="1">
            <x v="39"/>
          </reference>
        </references>
      </pivotArea>
    </format>
    <format dxfId="461">
      <pivotArea dataOnly="0" labelOnly="1" outline="0" fieldPosition="0">
        <references count="3">
          <reference field="0" count="1" selected="0">
            <x v="347"/>
          </reference>
          <reference field="10" count="1" selected="0">
            <x v="3"/>
          </reference>
          <reference field="11" count="1">
            <x v="39"/>
          </reference>
        </references>
      </pivotArea>
    </format>
    <format dxfId="460">
      <pivotArea dataOnly="0" labelOnly="1" outline="0" fieldPosition="0">
        <references count="3">
          <reference field="0" count="1" selected="0">
            <x v="348"/>
          </reference>
          <reference field="10" count="1" selected="0">
            <x v="0"/>
          </reference>
          <reference field="11" count="2">
            <x v="19"/>
            <x v="39"/>
          </reference>
        </references>
      </pivotArea>
    </format>
    <format dxfId="459">
      <pivotArea dataOnly="0" labelOnly="1" outline="0" fieldPosition="0">
        <references count="3">
          <reference field="0" count="1" selected="0">
            <x v="349"/>
          </reference>
          <reference field="10" count="1" selected="0">
            <x v="0"/>
          </reference>
          <reference field="11" count="4">
            <x v="6"/>
            <x v="10"/>
            <x v="38"/>
            <x v="39"/>
          </reference>
        </references>
      </pivotArea>
    </format>
    <format dxfId="458">
      <pivotArea dataOnly="0" labelOnly="1" outline="0" fieldPosition="0">
        <references count="3">
          <reference field="0" count="1" selected="0">
            <x v="349"/>
          </reference>
          <reference field="10" count="1" selected="0">
            <x v="3"/>
          </reference>
          <reference field="11" count="1">
            <x v="39"/>
          </reference>
        </references>
      </pivotArea>
    </format>
    <format dxfId="457">
      <pivotArea dataOnly="0" labelOnly="1" outline="0" fieldPosition="0">
        <references count="3">
          <reference field="0" count="1" selected="0">
            <x v="353"/>
          </reference>
          <reference field="10" count="1" selected="0">
            <x v="0"/>
          </reference>
          <reference field="11" count="1">
            <x v="5"/>
          </reference>
        </references>
      </pivotArea>
    </format>
    <format dxfId="456">
      <pivotArea dataOnly="0" labelOnly="1" outline="0" fieldPosition="0">
        <references count="3">
          <reference field="0" count="1" selected="0">
            <x v="353"/>
          </reference>
          <reference field="10" count="1" selected="0">
            <x v="2"/>
          </reference>
          <reference field="11" count="1">
            <x v="30"/>
          </reference>
        </references>
      </pivotArea>
    </format>
    <format dxfId="455">
      <pivotArea dataOnly="0" labelOnly="1" outline="0" fieldPosition="0">
        <references count="3">
          <reference field="0" count="1" selected="0">
            <x v="354"/>
          </reference>
          <reference field="10" count="1" selected="0">
            <x v="0"/>
          </reference>
          <reference field="11" count="1">
            <x v="40"/>
          </reference>
        </references>
      </pivotArea>
    </format>
    <format dxfId="454">
      <pivotArea dataOnly="0" labelOnly="1" outline="0" fieldPosition="0">
        <references count="3">
          <reference field="0" count="1" selected="0">
            <x v="355"/>
          </reference>
          <reference field="10" count="1" selected="0">
            <x v="3"/>
          </reference>
          <reference field="11" count="1">
            <x v="39"/>
          </reference>
        </references>
      </pivotArea>
    </format>
    <format dxfId="453">
      <pivotArea dataOnly="0" labelOnly="1" outline="0" fieldPosition="0">
        <references count="3">
          <reference field="0" count="1" selected="0">
            <x v="360"/>
          </reference>
          <reference field="10" count="1" selected="0">
            <x v="2"/>
          </reference>
          <reference field="11" count="1">
            <x v="25"/>
          </reference>
        </references>
      </pivotArea>
    </format>
    <format dxfId="452">
      <pivotArea dataOnly="0" labelOnly="1" outline="0" fieldPosition="0">
        <references count="3">
          <reference field="0" count="1" selected="0">
            <x v="360"/>
          </reference>
          <reference field="10" count="1" selected="0">
            <x v="4"/>
          </reference>
          <reference field="11" count="1">
            <x v="39"/>
          </reference>
        </references>
      </pivotArea>
    </format>
    <format dxfId="451">
      <pivotArea dataOnly="0" labelOnly="1" outline="0" fieldPosition="0">
        <references count="3">
          <reference field="0" count="1" selected="0">
            <x v="361"/>
          </reference>
          <reference field="10" count="1" selected="0">
            <x v="3"/>
          </reference>
          <reference field="11" count="1">
            <x v="39"/>
          </reference>
        </references>
      </pivotArea>
    </format>
    <format dxfId="450">
      <pivotArea dataOnly="0" labelOnly="1" outline="0" fieldPosition="0">
        <references count="3">
          <reference field="0" count="1" selected="0">
            <x v="396"/>
          </reference>
          <reference field="10" count="1" selected="0">
            <x v="0"/>
          </reference>
          <reference field="11" count="1">
            <x v="39"/>
          </reference>
        </references>
      </pivotArea>
    </format>
    <format dxfId="449">
      <pivotArea dataOnly="0" labelOnly="1" outline="0" fieldPosition="0">
        <references count="3">
          <reference field="0" count="1" selected="0">
            <x v="397"/>
          </reference>
          <reference field="10" count="1" selected="0">
            <x v="0"/>
          </reference>
          <reference field="11" count="1">
            <x v="22"/>
          </reference>
        </references>
      </pivotArea>
    </format>
    <format dxfId="448">
      <pivotArea dataOnly="0" labelOnly="1" outline="0" fieldPosition="0">
        <references count="3">
          <reference field="0" count="1" selected="0">
            <x v="398"/>
          </reference>
          <reference field="10" count="1" selected="0">
            <x v="3"/>
          </reference>
          <reference field="11" count="1">
            <x v="39"/>
          </reference>
        </references>
      </pivotArea>
    </format>
    <format dxfId="447">
      <pivotArea dataOnly="0" labelOnly="1" outline="0" fieldPosition="0">
        <references count="3">
          <reference field="0" count="1" selected="0">
            <x v="401"/>
          </reference>
          <reference field="10" count="1" selected="0">
            <x v="4"/>
          </reference>
          <reference field="11" count="1">
            <x v="39"/>
          </reference>
        </references>
      </pivotArea>
    </format>
    <format dxfId="446">
      <pivotArea dataOnly="0" labelOnly="1" outline="0" fieldPosition="0">
        <references count="3">
          <reference field="0" count="1" selected="0">
            <x v="402"/>
          </reference>
          <reference field="10" count="1" selected="0">
            <x v="4"/>
          </reference>
          <reference field="11" count="1">
            <x v="39"/>
          </reference>
        </references>
      </pivotArea>
    </format>
    <format dxfId="445">
      <pivotArea dataOnly="0" labelOnly="1" outline="0" fieldPosition="0">
        <references count="3">
          <reference field="0" count="1" selected="0">
            <x v="403"/>
          </reference>
          <reference field="10" count="1" selected="0">
            <x v="4"/>
          </reference>
          <reference field="11" count="1">
            <x v="39"/>
          </reference>
        </references>
      </pivotArea>
    </format>
    <format dxfId="444">
      <pivotArea dataOnly="0" labelOnly="1" outline="0" fieldPosition="0">
        <references count="3">
          <reference field="0" count="1" selected="0">
            <x v="404"/>
          </reference>
          <reference field="10" count="1" selected="0">
            <x v="4"/>
          </reference>
          <reference field="11" count="1">
            <x v="39"/>
          </reference>
        </references>
      </pivotArea>
    </format>
    <format dxfId="443">
      <pivotArea dataOnly="0" labelOnly="1" outline="0" fieldPosition="0">
        <references count="3">
          <reference field="0" count="1" selected="0">
            <x v="405"/>
          </reference>
          <reference field="10" count="1" selected="0">
            <x v="4"/>
          </reference>
          <reference field="11" count="1">
            <x v="39"/>
          </reference>
        </references>
      </pivotArea>
    </format>
    <format dxfId="442">
      <pivotArea dataOnly="0" labelOnly="1" outline="0" fieldPosition="0">
        <references count="3">
          <reference field="0" count="1" selected="0">
            <x v="406"/>
          </reference>
          <reference field="10" count="1" selected="0">
            <x v="4"/>
          </reference>
          <reference field="11" count="1">
            <x v="39"/>
          </reference>
        </references>
      </pivotArea>
    </format>
    <format dxfId="441">
      <pivotArea dataOnly="0" labelOnly="1" outline="0" fieldPosition="0">
        <references count="3">
          <reference field="0" count="1" selected="0">
            <x v="407"/>
          </reference>
          <reference field="10" count="1" selected="0">
            <x v="3"/>
          </reference>
          <reference field="11" count="1">
            <x v="39"/>
          </reference>
        </references>
      </pivotArea>
    </format>
    <format dxfId="440">
      <pivotArea dataOnly="0" labelOnly="1" outline="0" fieldPosition="0">
        <references count="3">
          <reference field="0" count="1" selected="0">
            <x v="408"/>
          </reference>
          <reference field="10" count="1" selected="0">
            <x v="0"/>
          </reference>
          <reference field="11" count="1">
            <x v="0"/>
          </reference>
        </references>
      </pivotArea>
    </format>
    <format dxfId="439">
      <pivotArea dataOnly="0" labelOnly="1" outline="0" fieldPosition="0">
        <references count="3">
          <reference field="0" count="1" selected="0">
            <x v="408"/>
          </reference>
          <reference field="10" count="1" selected="0">
            <x v="3"/>
          </reference>
          <reference field="11" count="1">
            <x v="39"/>
          </reference>
        </references>
      </pivotArea>
    </format>
    <format dxfId="438">
      <pivotArea dataOnly="0" labelOnly="1" outline="0" fieldPosition="0">
        <references count="3">
          <reference field="0" count="1" selected="0">
            <x v="410"/>
          </reference>
          <reference field="10" count="1" selected="0">
            <x v="3"/>
          </reference>
          <reference field="11" count="1">
            <x v="39"/>
          </reference>
        </references>
      </pivotArea>
    </format>
    <format dxfId="437">
      <pivotArea dataOnly="0" labelOnly="1" outline="0" fieldPosition="0">
        <references count="3">
          <reference field="0" count="1" selected="0">
            <x v="411"/>
          </reference>
          <reference field="10" count="1" selected="0">
            <x v="3"/>
          </reference>
          <reference field="11" count="1">
            <x v="39"/>
          </reference>
        </references>
      </pivotArea>
    </format>
    <format dxfId="436">
      <pivotArea dataOnly="0" labelOnly="1" outline="0" fieldPosition="0">
        <references count="3">
          <reference field="0" count="1" selected="0">
            <x v="412"/>
          </reference>
          <reference field="10" count="1" selected="0">
            <x v="3"/>
          </reference>
          <reference field="11" count="1">
            <x v="39"/>
          </reference>
        </references>
      </pivotArea>
    </format>
    <format dxfId="435">
      <pivotArea dataOnly="0" labelOnly="1" outline="0" fieldPosition="0">
        <references count="3">
          <reference field="0" count="1" selected="0">
            <x v="413"/>
          </reference>
          <reference field="10" count="1" selected="0">
            <x v="2"/>
          </reference>
          <reference field="11" count="1">
            <x v="25"/>
          </reference>
        </references>
      </pivotArea>
    </format>
    <format dxfId="434">
      <pivotArea dataOnly="0" labelOnly="1" outline="0" fieldPosition="0">
        <references count="3">
          <reference field="0" count="1" selected="0">
            <x v="441"/>
          </reference>
          <reference field="10" count="1" selected="0">
            <x v="0"/>
          </reference>
          <reference field="11" count="1">
            <x v="22"/>
          </reference>
        </references>
      </pivotArea>
    </format>
    <format dxfId="433">
      <pivotArea dataOnly="0" labelOnly="1" outline="0" fieldPosition="0">
        <references count="3">
          <reference field="0" count="1" selected="0">
            <x v="474"/>
          </reference>
          <reference field="10" count="1" selected="0">
            <x v="0"/>
          </reference>
          <reference field="11" count="1">
            <x v="22"/>
          </reference>
        </references>
      </pivotArea>
    </format>
    <format dxfId="432">
      <pivotArea dataOnly="0" labelOnly="1" outline="0" fieldPosition="0">
        <references count="3">
          <reference field="0" count="1" selected="0">
            <x v="476"/>
          </reference>
          <reference field="10" count="1" selected="0">
            <x v="0"/>
          </reference>
          <reference field="11" count="2">
            <x v="10"/>
            <x v="39"/>
          </reference>
        </references>
      </pivotArea>
    </format>
    <format dxfId="431">
      <pivotArea dataOnly="0" labelOnly="1" outline="0" fieldPosition="0">
        <references count="3">
          <reference field="0" count="1" selected="0">
            <x v="477"/>
          </reference>
          <reference field="10" count="1" selected="0">
            <x v="0"/>
          </reference>
          <reference field="11" count="4">
            <x v="6"/>
            <x v="7"/>
            <x v="10"/>
            <x v="36"/>
          </reference>
        </references>
      </pivotArea>
    </format>
    <format dxfId="430">
      <pivotArea dataOnly="0" labelOnly="1" outline="0" fieldPosition="0">
        <references count="3">
          <reference field="0" count="1" selected="0">
            <x v="477"/>
          </reference>
          <reference field="10" count="1" selected="0">
            <x v="3"/>
          </reference>
          <reference field="11" count="2">
            <x v="7"/>
            <x v="36"/>
          </reference>
        </references>
      </pivotArea>
    </format>
    <format dxfId="429">
      <pivotArea dataOnly="0" labelOnly="1" outline="0" fieldPosition="0">
        <references count="3">
          <reference field="0" count="1" selected="0">
            <x v="478"/>
          </reference>
          <reference field="10" count="1" selected="0">
            <x v="0"/>
          </reference>
          <reference field="11" count="3">
            <x v="6"/>
            <x v="10"/>
            <x v="36"/>
          </reference>
        </references>
      </pivotArea>
    </format>
    <format dxfId="428">
      <pivotArea dataOnly="0" labelOnly="1" outline="0" fieldPosition="0">
        <references count="3">
          <reference field="0" count="1" selected="0">
            <x v="485"/>
          </reference>
          <reference field="10" count="1" selected="0">
            <x v="0"/>
          </reference>
          <reference field="11" count="2">
            <x v="10"/>
            <x v="15"/>
          </reference>
        </references>
      </pivotArea>
    </format>
    <format dxfId="427">
      <pivotArea dataOnly="0" labelOnly="1" outline="0" fieldPosition="0">
        <references count="3">
          <reference field="0" count="1" selected="0">
            <x v="485"/>
          </reference>
          <reference field="10" count="1" selected="0">
            <x v="3"/>
          </reference>
          <reference field="11" count="1">
            <x v="33"/>
          </reference>
        </references>
      </pivotArea>
    </format>
    <format dxfId="426">
      <pivotArea dataOnly="0" labelOnly="1" outline="0" fieldPosition="0">
        <references count="3">
          <reference field="0" count="1" selected="0">
            <x v="487"/>
          </reference>
          <reference field="10" count="1" selected="0">
            <x v="2"/>
          </reference>
          <reference field="11" count="1">
            <x v="20"/>
          </reference>
        </references>
      </pivotArea>
    </format>
    <format dxfId="425">
      <pivotArea dataOnly="0" labelOnly="1" outline="0" fieldPosition="0">
        <references count="3">
          <reference field="0" count="1" selected="0">
            <x v="487"/>
          </reference>
          <reference field="10" count="1" selected="0">
            <x v="3"/>
          </reference>
          <reference field="11" count="1">
            <x v="39"/>
          </reference>
        </references>
      </pivotArea>
    </format>
    <format dxfId="424">
      <pivotArea dataOnly="0" labelOnly="1" outline="0" fieldPosition="0">
        <references count="3">
          <reference field="0" count="1" selected="0">
            <x v="489"/>
          </reference>
          <reference field="10" count="1" selected="0">
            <x v="3"/>
          </reference>
          <reference field="11" count="1">
            <x v="39"/>
          </reference>
        </references>
      </pivotArea>
    </format>
    <format dxfId="423">
      <pivotArea dataOnly="0" labelOnly="1" outline="0" fieldPosition="0">
        <references count="3">
          <reference field="0" count="1" selected="0">
            <x v="490"/>
          </reference>
          <reference field="10" count="1" selected="0">
            <x v="0"/>
          </reference>
          <reference field="11" count="2">
            <x v="10"/>
            <x v="39"/>
          </reference>
        </references>
      </pivotArea>
    </format>
    <format dxfId="422">
      <pivotArea dataOnly="0" labelOnly="1" outline="0" fieldPosition="0">
        <references count="3">
          <reference field="0" count="1" selected="0">
            <x v="491"/>
          </reference>
          <reference field="10" count="1" selected="0">
            <x v="0"/>
          </reference>
          <reference field="11" count="1">
            <x v="35"/>
          </reference>
        </references>
      </pivotArea>
    </format>
    <format dxfId="421">
      <pivotArea dataOnly="0" labelOnly="1" outline="0" fieldPosition="0">
        <references count="3">
          <reference field="0" count="1" selected="0">
            <x v="491"/>
          </reference>
          <reference field="10" count="1" selected="0">
            <x v="3"/>
          </reference>
          <reference field="11" count="1">
            <x v="39"/>
          </reference>
        </references>
      </pivotArea>
    </format>
    <format dxfId="420">
      <pivotArea dataOnly="0" labelOnly="1" outline="0" fieldPosition="0">
        <references count="3">
          <reference field="0" count="1" selected="0">
            <x v="498"/>
          </reference>
          <reference field="10" count="1" selected="0">
            <x v="0"/>
          </reference>
          <reference field="11" count="1">
            <x v="22"/>
          </reference>
        </references>
      </pivotArea>
    </format>
    <format dxfId="419">
      <pivotArea dataOnly="0" labelOnly="1" outline="0" fieldPosition="0">
        <references count="3">
          <reference field="0" count="1" selected="0">
            <x v="506"/>
          </reference>
          <reference field="10" count="1" selected="0">
            <x v="3"/>
          </reference>
          <reference field="11" count="1">
            <x v="39"/>
          </reference>
        </references>
      </pivotArea>
    </format>
    <format dxfId="418">
      <pivotArea dataOnly="0" labelOnly="1" outline="0" fieldPosition="0">
        <references count="3">
          <reference field="0" count="1" selected="0">
            <x v="511"/>
          </reference>
          <reference field="10" count="1" selected="0">
            <x v="2"/>
          </reference>
          <reference field="11" count="1">
            <x v="28"/>
          </reference>
        </references>
      </pivotArea>
    </format>
    <format dxfId="417">
      <pivotArea dataOnly="0" labelOnly="1" outline="0" fieldPosition="0">
        <references count="3">
          <reference field="0" count="1" selected="0">
            <x v="511"/>
          </reference>
          <reference field="10" count="1" selected="0">
            <x v="3"/>
          </reference>
          <reference field="11" count="1">
            <x v="39"/>
          </reference>
        </references>
      </pivotArea>
    </format>
    <format dxfId="416">
      <pivotArea dataOnly="0" labelOnly="1" outline="0" fieldPosition="0">
        <references count="3">
          <reference field="0" count="1" selected="0">
            <x v="512"/>
          </reference>
          <reference field="10" count="1" selected="0">
            <x v="3"/>
          </reference>
          <reference field="11" count="1">
            <x v="39"/>
          </reference>
        </references>
      </pivotArea>
    </format>
    <format dxfId="415">
      <pivotArea dataOnly="0" labelOnly="1" outline="0" fieldPosition="0">
        <references count="3">
          <reference field="0" count="1" selected="0">
            <x v="513"/>
          </reference>
          <reference field="10" count="1" selected="0">
            <x v="3"/>
          </reference>
          <reference field="11" count="1">
            <x v="39"/>
          </reference>
        </references>
      </pivotArea>
    </format>
    <format dxfId="414">
      <pivotArea dataOnly="0" labelOnly="1" outline="0" fieldPosition="0">
        <references count="3">
          <reference field="0" count="1" selected="0">
            <x v="514"/>
          </reference>
          <reference field="10" count="1" selected="0">
            <x v="0"/>
          </reference>
          <reference field="11" count="1">
            <x v="25"/>
          </reference>
        </references>
      </pivotArea>
    </format>
    <format dxfId="413">
      <pivotArea dataOnly="0" labelOnly="1" outline="0" fieldPosition="0">
        <references count="3">
          <reference field="0" count="1" selected="0">
            <x v="514"/>
          </reference>
          <reference field="10" count="1" selected="0">
            <x v="3"/>
          </reference>
          <reference field="11" count="1">
            <x v="39"/>
          </reference>
        </references>
      </pivotArea>
    </format>
    <format dxfId="412">
      <pivotArea dataOnly="0" labelOnly="1" outline="0" fieldPosition="0">
        <references count="3">
          <reference field="0" count="1" selected="0">
            <x v="517"/>
          </reference>
          <reference field="10" count="1" selected="0">
            <x v="3"/>
          </reference>
          <reference field="11" count="1">
            <x v="39"/>
          </reference>
        </references>
      </pivotArea>
    </format>
    <format dxfId="411">
      <pivotArea dataOnly="0" labelOnly="1" outline="0" fieldPosition="0">
        <references count="3">
          <reference field="0" count="1" selected="0">
            <x v="524"/>
          </reference>
          <reference field="10" count="1" selected="0">
            <x v="3"/>
          </reference>
          <reference field="11" count="1">
            <x v="33"/>
          </reference>
        </references>
      </pivotArea>
    </format>
    <format dxfId="410">
      <pivotArea dataOnly="0" labelOnly="1" outline="0" fieldPosition="0">
        <references count="3">
          <reference field="0" count="1" selected="0">
            <x v="528"/>
          </reference>
          <reference field="10" count="1" selected="0">
            <x v="0"/>
          </reference>
          <reference field="11" count="1">
            <x v="34"/>
          </reference>
        </references>
      </pivotArea>
    </format>
    <format dxfId="409">
      <pivotArea dataOnly="0" labelOnly="1" outline="0" fieldPosition="0">
        <references count="3">
          <reference field="0" count="1" selected="0">
            <x v="530"/>
          </reference>
          <reference field="10" count="1" selected="0">
            <x v="3"/>
          </reference>
          <reference field="11" count="1">
            <x v="39"/>
          </reference>
        </references>
      </pivotArea>
    </format>
    <format dxfId="408">
      <pivotArea dataOnly="0" labelOnly="1" outline="0" fieldPosition="0">
        <references count="3">
          <reference field="0" count="1" selected="0">
            <x v="536"/>
          </reference>
          <reference field="10" count="1" selected="0">
            <x v="3"/>
          </reference>
          <reference field="11" count="1">
            <x v="36"/>
          </reference>
        </references>
      </pivotArea>
    </format>
    <format dxfId="407">
      <pivotArea dataOnly="0" labelOnly="1" outline="0" fieldPosition="0">
        <references count="3">
          <reference field="0" count="1" selected="0">
            <x v="537"/>
          </reference>
          <reference field="10" count="1" selected="0">
            <x v="3"/>
          </reference>
          <reference field="11" count="1">
            <x v="36"/>
          </reference>
        </references>
      </pivotArea>
    </format>
    <format dxfId="406">
      <pivotArea dataOnly="0" labelOnly="1" outline="0" fieldPosition="0">
        <references count="3">
          <reference field="0" count="1" selected="0">
            <x v="538"/>
          </reference>
          <reference field="10" count="1" selected="0">
            <x v="3"/>
          </reference>
          <reference field="11" count="1">
            <x v="36"/>
          </reference>
        </references>
      </pivotArea>
    </format>
    <format dxfId="405">
      <pivotArea dataOnly="0" labelOnly="1" outline="0" fieldPosition="0">
        <references count="3">
          <reference field="0" count="1" selected="0">
            <x v="539"/>
          </reference>
          <reference field="10" count="1" selected="0">
            <x v="3"/>
          </reference>
          <reference field="11" count="1">
            <x v="36"/>
          </reference>
        </references>
      </pivotArea>
    </format>
    <format dxfId="404">
      <pivotArea dataOnly="0" labelOnly="1" outline="0" fieldPosition="0">
        <references count="3">
          <reference field="0" count="1" selected="0">
            <x v="540"/>
          </reference>
          <reference field="10" count="1" selected="0">
            <x v="0"/>
          </reference>
          <reference field="11" count="1">
            <x v="2"/>
          </reference>
        </references>
      </pivotArea>
    </format>
    <format dxfId="403">
      <pivotArea dataOnly="0" labelOnly="1" outline="0" fieldPosition="0">
        <references count="3">
          <reference field="0" count="1" selected="0">
            <x v="540"/>
          </reference>
          <reference field="10" count="1" selected="0">
            <x v="4"/>
          </reference>
          <reference field="11" count="1">
            <x v="39"/>
          </reference>
        </references>
      </pivotArea>
    </format>
    <format dxfId="402">
      <pivotArea dataOnly="0" labelOnly="1" outline="0" fieldPosition="0">
        <references count="3">
          <reference field="0" count="1" selected="0">
            <x v="541"/>
          </reference>
          <reference field="10" count="1" selected="0">
            <x v="3"/>
          </reference>
          <reference field="11" count="1">
            <x v="39"/>
          </reference>
        </references>
      </pivotArea>
    </format>
    <format dxfId="401">
      <pivotArea dataOnly="0" labelOnly="1" outline="0" fieldPosition="0">
        <references count="3">
          <reference field="0" count="1" selected="0">
            <x v="545"/>
          </reference>
          <reference field="10" count="1" selected="0">
            <x v="0"/>
          </reference>
          <reference field="11" count="1">
            <x v="39"/>
          </reference>
        </references>
      </pivotArea>
    </format>
    <format dxfId="400">
      <pivotArea dataOnly="0" labelOnly="1" outline="0" fieldPosition="0">
        <references count="3">
          <reference field="0" count="1" selected="0">
            <x v="548"/>
          </reference>
          <reference field="10" count="1" selected="0">
            <x v="3"/>
          </reference>
          <reference field="11" count="1">
            <x v="39"/>
          </reference>
        </references>
      </pivotArea>
    </format>
    <format dxfId="399">
      <pivotArea dataOnly="0" labelOnly="1" outline="0" fieldPosition="0">
        <references count="3">
          <reference field="0" count="1" selected="0">
            <x v="549"/>
          </reference>
          <reference field="10" count="1" selected="0">
            <x v="0"/>
          </reference>
          <reference field="11" count="1">
            <x v="44"/>
          </reference>
        </references>
      </pivotArea>
    </format>
    <format dxfId="398">
      <pivotArea dataOnly="0" labelOnly="1" outline="0" fieldPosition="0">
        <references count="3">
          <reference field="0" count="1" selected="0">
            <x v="0"/>
          </reference>
          <reference field="10" count="1" selected="0">
            <x v="3"/>
          </reference>
          <reference field="11" count="1">
            <x v="35"/>
          </reference>
        </references>
      </pivotArea>
    </format>
    <format dxfId="397">
      <pivotArea dataOnly="0" labelOnly="1" outline="0" fieldPosition="0">
        <references count="3">
          <reference field="0" count="1" selected="0">
            <x v="1"/>
          </reference>
          <reference field="10" count="1" selected="0">
            <x v="3"/>
          </reference>
          <reference field="11" count="1">
            <x v="35"/>
          </reference>
        </references>
      </pivotArea>
    </format>
    <format dxfId="396">
      <pivotArea dataOnly="0" labelOnly="1" outline="0" fieldPosition="0">
        <references count="3">
          <reference field="0" count="1" selected="0">
            <x v="2"/>
          </reference>
          <reference field="10" count="1" selected="0">
            <x v="3"/>
          </reference>
          <reference field="11" count="1">
            <x v="35"/>
          </reference>
        </references>
      </pivotArea>
    </format>
    <format dxfId="395">
      <pivotArea dataOnly="0" labelOnly="1" outline="0" fieldPosition="0">
        <references count="3">
          <reference field="0" count="1" selected="0">
            <x v="5"/>
          </reference>
          <reference field="10" count="1" selected="0">
            <x v="0"/>
          </reference>
          <reference field="11" count="3">
            <x v="6"/>
            <x v="7"/>
            <x v="10"/>
          </reference>
        </references>
      </pivotArea>
    </format>
    <format dxfId="394">
      <pivotArea dataOnly="0" labelOnly="1" outline="0" fieldPosition="0">
        <references count="3">
          <reference field="0" count="1" selected="0">
            <x v="5"/>
          </reference>
          <reference field="10" count="1" selected="0">
            <x v="3"/>
          </reference>
          <reference field="11" count="1">
            <x v="37"/>
          </reference>
        </references>
      </pivotArea>
    </format>
    <format dxfId="393">
      <pivotArea dataOnly="0" labelOnly="1" outline="0" fieldPosition="0">
        <references count="3">
          <reference field="0" count="1" selected="0">
            <x v="6"/>
          </reference>
          <reference field="10" count="1" selected="0">
            <x v="0"/>
          </reference>
          <reference field="11" count="3">
            <x v="6"/>
            <x v="7"/>
            <x v="10"/>
          </reference>
        </references>
      </pivotArea>
    </format>
    <format dxfId="392">
      <pivotArea dataOnly="0" labelOnly="1" outline="0" fieldPosition="0">
        <references count="3">
          <reference field="0" count="1" selected="0">
            <x v="6"/>
          </reference>
          <reference field="10" count="1" selected="0">
            <x v="3"/>
          </reference>
          <reference field="11" count="1">
            <x v="37"/>
          </reference>
        </references>
      </pivotArea>
    </format>
    <format dxfId="391">
      <pivotArea dataOnly="0" labelOnly="1" outline="0" fieldPosition="0">
        <references count="3">
          <reference field="0" count="1" selected="0">
            <x v="8"/>
          </reference>
          <reference field="10" count="1" selected="0">
            <x v="3"/>
          </reference>
          <reference field="11" count="1">
            <x v="39"/>
          </reference>
        </references>
      </pivotArea>
    </format>
    <format dxfId="390">
      <pivotArea dataOnly="0" labelOnly="1" outline="0" fieldPosition="0">
        <references count="3">
          <reference field="0" count="1" selected="0">
            <x v="9"/>
          </reference>
          <reference field="10" count="1" selected="0">
            <x v="3"/>
          </reference>
          <reference field="11" count="1">
            <x v="39"/>
          </reference>
        </references>
      </pivotArea>
    </format>
    <format dxfId="389">
      <pivotArea dataOnly="0" labelOnly="1" outline="0" fieldPosition="0">
        <references count="3">
          <reference field="0" count="1" selected="0">
            <x v="12"/>
          </reference>
          <reference field="10" count="1" selected="0">
            <x v="0"/>
          </reference>
          <reference field="11" count="3">
            <x v="8"/>
            <x v="10"/>
            <x v="35"/>
          </reference>
        </references>
      </pivotArea>
    </format>
    <format dxfId="388">
      <pivotArea dataOnly="0" labelOnly="1" outline="0" fieldPosition="0">
        <references count="3">
          <reference field="0" count="1" selected="0">
            <x v="12"/>
          </reference>
          <reference field="10" count="1" selected="0">
            <x v="3"/>
          </reference>
          <reference field="11" count="1">
            <x v="35"/>
          </reference>
        </references>
      </pivotArea>
    </format>
    <format dxfId="387">
      <pivotArea dataOnly="0" labelOnly="1" outline="0" fieldPosition="0">
        <references count="3">
          <reference field="0" count="1" selected="0">
            <x v="13"/>
          </reference>
          <reference field="10" count="1" selected="0">
            <x v="3"/>
          </reference>
          <reference field="11" count="1">
            <x v="39"/>
          </reference>
        </references>
      </pivotArea>
    </format>
    <format dxfId="386">
      <pivotArea dataOnly="0" labelOnly="1" outline="0" fieldPosition="0">
        <references count="3">
          <reference field="0" count="1" selected="0">
            <x v="15"/>
          </reference>
          <reference field="10" count="1" selected="0">
            <x v="4"/>
          </reference>
          <reference field="11" count="1">
            <x v="39"/>
          </reference>
        </references>
      </pivotArea>
    </format>
    <format dxfId="385">
      <pivotArea dataOnly="0" labelOnly="1" outline="0" fieldPosition="0">
        <references count="3">
          <reference field="0" count="1" selected="0">
            <x v="22"/>
          </reference>
          <reference field="10" count="1" selected="0">
            <x v="0"/>
          </reference>
          <reference field="11" count="1">
            <x v="44"/>
          </reference>
        </references>
      </pivotArea>
    </format>
    <format dxfId="384">
      <pivotArea dataOnly="0" labelOnly="1" outline="0" fieldPosition="0">
        <references count="3">
          <reference field="0" count="1" selected="0">
            <x v="22"/>
          </reference>
          <reference field="10" count="1" selected="0">
            <x v="3"/>
          </reference>
          <reference field="11" count="1">
            <x v="39"/>
          </reference>
        </references>
      </pivotArea>
    </format>
    <format dxfId="383">
      <pivotArea dataOnly="0" labelOnly="1" outline="0" fieldPosition="0">
        <references count="3">
          <reference field="0" count="1" selected="0">
            <x v="25"/>
          </reference>
          <reference field="10" count="1" selected="0">
            <x v="3"/>
          </reference>
          <reference field="11" count="1">
            <x v="39"/>
          </reference>
        </references>
      </pivotArea>
    </format>
    <format dxfId="382">
      <pivotArea dataOnly="0" labelOnly="1" outline="0" fieldPosition="0">
        <references count="3">
          <reference field="0" count="1" selected="0">
            <x v="27"/>
          </reference>
          <reference field="10" count="1" selected="0">
            <x v="0"/>
          </reference>
          <reference field="11" count="2">
            <x v="10"/>
            <x v="17"/>
          </reference>
        </references>
      </pivotArea>
    </format>
    <format dxfId="381">
      <pivotArea dataOnly="0" labelOnly="1" outline="0" fieldPosition="0">
        <references count="3">
          <reference field="0" count="1" selected="0">
            <x v="28"/>
          </reference>
          <reference field="10" count="1" selected="0">
            <x v="0"/>
          </reference>
          <reference field="11" count="1">
            <x v="39"/>
          </reference>
        </references>
      </pivotArea>
    </format>
    <format dxfId="380">
      <pivotArea dataOnly="0" labelOnly="1" outline="0" fieldPosition="0">
        <references count="3">
          <reference field="0" count="1" selected="0">
            <x v="28"/>
          </reference>
          <reference field="10" count="1" selected="0">
            <x v="3"/>
          </reference>
          <reference field="11" count="1">
            <x v="39"/>
          </reference>
        </references>
      </pivotArea>
    </format>
    <format dxfId="379">
      <pivotArea dataOnly="0" labelOnly="1" outline="0" fieldPosition="0">
        <references count="3">
          <reference field="0" count="1" selected="0">
            <x v="28"/>
          </reference>
          <reference field="10" count="1" selected="0">
            <x v="4"/>
          </reference>
          <reference field="11" count="1">
            <x v="39"/>
          </reference>
        </references>
      </pivotArea>
    </format>
    <format dxfId="378">
      <pivotArea dataOnly="0" labelOnly="1" outline="0" fieldPosition="0">
        <references count="3">
          <reference field="0" count="1" selected="0">
            <x v="29"/>
          </reference>
          <reference field="10" count="1" selected="0">
            <x v="0"/>
          </reference>
          <reference field="11" count="1">
            <x v="42"/>
          </reference>
        </references>
      </pivotArea>
    </format>
    <format dxfId="377">
      <pivotArea dataOnly="0" labelOnly="1" outline="0" fieldPosition="0">
        <references count="3">
          <reference field="0" count="1" selected="0">
            <x v="29"/>
          </reference>
          <reference field="10" count="1" selected="0">
            <x v="3"/>
          </reference>
          <reference field="11" count="1">
            <x v="42"/>
          </reference>
        </references>
      </pivotArea>
    </format>
    <format dxfId="376">
      <pivotArea dataOnly="0" labelOnly="1" outline="0" fieldPosition="0">
        <references count="3">
          <reference field="0" count="1" selected="0">
            <x v="31"/>
          </reference>
          <reference field="10" count="1" selected="0">
            <x v="3"/>
          </reference>
          <reference field="11" count="1">
            <x v="39"/>
          </reference>
        </references>
      </pivotArea>
    </format>
    <format dxfId="375">
      <pivotArea dataOnly="0" labelOnly="1" outline="0" fieldPosition="0">
        <references count="3">
          <reference field="0" count="1" selected="0">
            <x v="33"/>
          </reference>
          <reference field="10" count="1" selected="0">
            <x v="0"/>
          </reference>
          <reference field="11" count="2">
            <x v="6"/>
            <x v="10"/>
          </reference>
        </references>
      </pivotArea>
    </format>
    <format dxfId="374">
      <pivotArea dataOnly="0" labelOnly="1" outline="0" fieldPosition="0">
        <references count="3">
          <reference field="0" count="1" selected="0">
            <x v="34"/>
          </reference>
          <reference field="10" count="1" selected="0">
            <x v="0"/>
          </reference>
          <reference field="11" count="2">
            <x v="6"/>
            <x v="10"/>
          </reference>
        </references>
      </pivotArea>
    </format>
    <format dxfId="373">
      <pivotArea dataOnly="0" labelOnly="1" outline="0" fieldPosition="0">
        <references count="3">
          <reference field="0" count="1" selected="0">
            <x v="34"/>
          </reference>
          <reference field="10" count="1" selected="0">
            <x v="3"/>
          </reference>
          <reference field="11" count="1">
            <x v="36"/>
          </reference>
        </references>
      </pivotArea>
    </format>
    <format dxfId="372">
      <pivotArea dataOnly="0" labelOnly="1" outline="0" fieldPosition="0">
        <references count="3">
          <reference field="0" count="1" selected="0">
            <x v="36"/>
          </reference>
          <reference field="10" count="1" selected="0">
            <x v="0"/>
          </reference>
          <reference field="11" count="1">
            <x v="10"/>
          </reference>
        </references>
      </pivotArea>
    </format>
    <format dxfId="371">
      <pivotArea dataOnly="0" labelOnly="1" outline="0" fieldPosition="0">
        <references count="3">
          <reference field="0" count="1" selected="0">
            <x v="36"/>
          </reference>
          <reference field="10" count="1" selected="0">
            <x v="3"/>
          </reference>
          <reference field="11" count="1">
            <x v="39"/>
          </reference>
        </references>
      </pivotArea>
    </format>
    <format dxfId="370">
      <pivotArea dataOnly="0" labelOnly="1" outline="0" fieldPosition="0">
        <references count="3">
          <reference field="0" count="1" selected="0">
            <x v="38"/>
          </reference>
          <reference field="10" count="1" selected="0">
            <x v="3"/>
          </reference>
          <reference field="11" count="1">
            <x v="39"/>
          </reference>
        </references>
      </pivotArea>
    </format>
    <format dxfId="369">
      <pivotArea dataOnly="0" labelOnly="1" outline="0" fieldPosition="0">
        <references count="3">
          <reference field="0" count="1" selected="0">
            <x v="40"/>
          </reference>
          <reference field="10" count="1" selected="0">
            <x v="0"/>
          </reference>
          <reference field="11" count="1">
            <x v="39"/>
          </reference>
        </references>
      </pivotArea>
    </format>
    <format dxfId="368">
      <pivotArea dataOnly="0" labelOnly="1" outline="0" fieldPosition="0">
        <references count="3">
          <reference field="0" count="1" selected="0">
            <x v="50"/>
          </reference>
          <reference field="10" count="1" selected="0">
            <x v="0"/>
          </reference>
          <reference field="11" count="2">
            <x v="6"/>
            <x v="10"/>
          </reference>
        </references>
      </pivotArea>
    </format>
    <format dxfId="367">
      <pivotArea dataOnly="0" labelOnly="1" outline="0" fieldPosition="0">
        <references count="3">
          <reference field="0" count="1" selected="0">
            <x v="50"/>
          </reference>
          <reference field="10" count="1" selected="0">
            <x v="3"/>
          </reference>
          <reference field="11" count="1">
            <x v="36"/>
          </reference>
        </references>
      </pivotArea>
    </format>
    <format dxfId="366">
      <pivotArea dataOnly="0" labelOnly="1" outline="0" fieldPosition="0">
        <references count="3">
          <reference field="0" count="1" selected="0">
            <x v="52"/>
          </reference>
          <reference field="10" count="1" selected="0">
            <x v="3"/>
          </reference>
          <reference field="11" count="1">
            <x v="39"/>
          </reference>
        </references>
      </pivotArea>
    </format>
    <format dxfId="365">
      <pivotArea dataOnly="0" labelOnly="1" outline="0" fieldPosition="0">
        <references count="3">
          <reference field="0" count="1" selected="0">
            <x v="54"/>
          </reference>
          <reference field="10" count="1" selected="0">
            <x v="0"/>
          </reference>
          <reference field="11" count="2">
            <x v="6"/>
            <x v="10"/>
          </reference>
        </references>
      </pivotArea>
    </format>
    <format dxfId="364">
      <pivotArea dataOnly="0" labelOnly="1" outline="0" fieldPosition="0">
        <references count="3">
          <reference field="0" count="1" selected="0">
            <x v="54"/>
          </reference>
          <reference field="10" count="1" selected="0">
            <x v="3"/>
          </reference>
          <reference field="11" count="1">
            <x v="36"/>
          </reference>
        </references>
      </pivotArea>
    </format>
    <format dxfId="363">
      <pivotArea dataOnly="0" labelOnly="1" outline="0" fieldPosition="0">
        <references count="3">
          <reference field="0" count="1" selected="0">
            <x v="55"/>
          </reference>
          <reference field="10" count="1" selected="0">
            <x v="0"/>
          </reference>
          <reference field="11" count="2">
            <x v="6"/>
            <x v="10"/>
          </reference>
        </references>
      </pivotArea>
    </format>
    <format dxfId="362">
      <pivotArea dataOnly="0" labelOnly="1" outline="0" fieldPosition="0">
        <references count="3">
          <reference field="0" count="1" selected="0">
            <x v="55"/>
          </reference>
          <reference field="10" count="1" selected="0">
            <x v="3"/>
          </reference>
          <reference field="11" count="1">
            <x v="36"/>
          </reference>
        </references>
      </pivotArea>
    </format>
    <format dxfId="361">
      <pivotArea dataOnly="0" labelOnly="1" outline="0" fieldPosition="0">
        <references count="3">
          <reference field="0" count="1" selected="0">
            <x v="56"/>
          </reference>
          <reference field="10" count="1" selected="0">
            <x v="0"/>
          </reference>
          <reference field="11" count="2">
            <x v="6"/>
            <x v="10"/>
          </reference>
        </references>
      </pivotArea>
    </format>
    <format dxfId="360">
      <pivotArea dataOnly="0" labelOnly="1" outline="0" fieldPosition="0">
        <references count="3">
          <reference field="0" count="1" selected="0">
            <x v="56"/>
          </reference>
          <reference field="10" count="1" selected="0">
            <x v="3"/>
          </reference>
          <reference field="11" count="1">
            <x v="36"/>
          </reference>
        </references>
      </pivotArea>
    </format>
    <format dxfId="359">
      <pivotArea dataOnly="0" labelOnly="1" outline="0" fieldPosition="0">
        <references count="3">
          <reference field="0" count="1" selected="0">
            <x v="59"/>
          </reference>
          <reference field="10" count="1" selected="0">
            <x v="3"/>
          </reference>
          <reference field="11" count="1">
            <x v="39"/>
          </reference>
        </references>
      </pivotArea>
    </format>
    <format dxfId="358">
      <pivotArea dataOnly="0" labelOnly="1" outline="0" fieldPosition="0">
        <references count="3">
          <reference field="0" count="1" selected="0">
            <x v="61"/>
          </reference>
          <reference field="10" count="1" selected="0">
            <x v="0"/>
          </reference>
          <reference field="11" count="1">
            <x v="24"/>
          </reference>
        </references>
      </pivotArea>
    </format>
    <format dxfId="357">
      <pivotArea dataOnly="0" labelOnly="1" outline="0" fieldPosition="0">
        <references count="3">
          <reference field="0" count="1" selected="0">
            <x v="62"/>
          </reference>
          <reference field="10" count="1" selected="0">
            <x v="1"/>
          </reference>
          <reference field="11" count="1">
            <x v="21"/>
          </reference>
        </references>
      </pivotArea>
    </format>
    <format dxfId="356">
      <pivotArea dataOnly="0" labelOnly="1" outline="0" fieldPosition="0">
        <references count="3">
          <reference field="0" count="1" selected="0">
            <x v="63"/>
          </reference>
          <reference field="10" count="1" selected="0">
            <x v="3"/>
          </reference>
          <reference field="11" count="1">
            <x v="33"/>
          </reference>
        </references>
      </pivotArea>
    </format>
    <format dxfId="355">
      <pivotArea dataOnly="0" labelOnly="1" outline="0" fieldPosition="0">
        <references count="3">
          <reference field="0" count="1" selected="0">
            <x v="66"/>
          </reference>
          <reference field="10" count="1" selected="0">
            <x v="0"/>
          </reference>
          <reference field="11" count="1">
            <x v="39"/>
          </reference>
        </references>
      </pivotArea>
    </format>
    <format dxfId="354">
      <pivotArea dataOnly="0" labelOnly="1" outline="0" fieldPosition="0">
        <references count="3">
          <reference field="0" count="1" selected="0">
            <x v="68"/>
          </reference>
          <reference field="10" count="1" selected="0">
            <x v="1"/>
          </reference>
          <reference field="11" count="1">
            <x v="21"/>
          </reference>
        </references>
      </pivotArea>
    </format>
    <format dxfId="353">
      <pivotArea dataOnly="0" labelOnly="1" outline="0" fieldPosition="0">
        <references count="3">
          <reference field="0" count="1" selected="0">
            <x v="72"/>
          </reference>
          <reference field="10" count="1" selected="0">
            <x v="0"/>
          </reference>
          <reference field="11" count="1">
            <x v="39"/>
          </reference>
        </references>
      </pivotArea>
    </format>
    <format dxfId="352">
      <pivotArea dataOnly="0" labelOnly="1" outline="0" fieldPosition="0">
        <references count="3">
          <reference field="0" count="1" selected="0">
            <x v="72"/>
          </reference>
          <reference field="10" count="1" selected="0">
            <x v="3"/>
          </reference>
          <reference field="11" count="1">
            <x v="39"/>
          </reference>
        </references>
      </pivotArea>
    </format>
    <format dxfId="351">
      <pivotArea dataOnly="0" labelOnly="1" outline="0" fieldPosition="0">
        <references count="3">
          <reference field="0" count="1" selected="0">
            <x v="77"/>
          </reference>
          <reference field="10" count="1" selected="0">
            <x v="0"/>
          </reference>
          <reference field="11" count="1">
            <x v="9"/>
          </reference>
        </references>
      </pivotArea>
    </format>
    <format dxfId="350">
      <pivotArea dataOnly="0" labelOnly="1" outline="0" fieldPosition="0">
        <references count="3">
          <reference field="0" count="1" selected="0">
            <x v="77"/>
          </reference>
          <reference field="10" count="1" selected="0">
            <x v="3"/>
          </reference>
          <reference field="11" count="1">
            <x v="34"/>
          </reference>
        </references>
      </pivotArea>
    </format>
    <format dxfId="349">
      <pivotArea dataOnly="0" labelOnly="1" outline="0" fieldPosition="0">
        <references count="3">
          <reference field="0" count="1" selected="0">
            <x v="78"/>
          </reference>
          <reference field="10" count="1" selected="0">
            <x v="0"/>
          </reference>
          <reference field="11" count="1">
            <x v="9"/>
          </reference>
        </references>
      </pivotArea>
    </format>
    <format dxfId="348">
      <pivotArea dataOnly="0" labelOnly="1" outline="0" fieldPosition="0">
        <references count="3">
          <reference field="0" count="1" selected="0">
            <x v="78"/>
          </reference>
          <reference field="10" count="1" selected="0">
            <x v="3"/>
          </reference>
          <reference field="11" count="1">
            <x v="34"/>
          </reference>
        </references>
      </pivotArea>
    </format>
    <format dxfId="347">
      <pivotArea dataOnly="0" labelOnly="1" outline="0" fieldPosition="0">
        <references count="3">
          <reference field="0" count="1" selected="0">
            <x v="79"/>
          </reference>
          <reference field="10" count="1" selected="0">
            <x v="0"/>
          </reference>
          <reference field="11" count="1">
            <x v="9"/>
          </reference>
        </references>
      </pivotArea>
    </format>
    <format dxfId="346">
      <pivotArea dataOnly="0" labelOnly="1" outline="0" fieldPosition="0">
        <references count="3">
          <reference field="0" count="1" selected="0">
            <x v="79"/>
          </reference>
          <reference field="10" count="1" selected="0">
            <x v="3"/>
          </reference>
          <reference field="11" count="1">
            <x v="40"/>
          </reference>
        </references>
      </pivotArea>
    </format>
    <format dxfId="345">
      <pivotArea dataOnly="0" labelOnly="1" outline="0" fieldPosition="0">
        <references count="3">
          <reference field="0" count="1" selected="0">
            <x v="80"/>
          </reference>
          <reference field="10" count="1" selected="0">
            <x v="0"/>
          </reference>
          <reference field="11" count="1">
            <x v="9"/>
          </reference>
        </references>
      </pivotArea>
    </format>
    <format dxfId="344">
      <pivotArea dataOnly="0" labelOnly="1" outline="0" fieldPosition="0">
        <references count="3">
          <reference field="0" count="1" selected="0">
            <x v="80"/>
          </reference>
          <reference field="10" count="1" selected="0">
            <x v="3"/>
          </reference>
          <reference field="11" count="1">
            <x v="39"/>
          </reference>
        </references>
      </pivotArea>
    </format>
    <format dxfId="343">
      <pivotArea dataOnly="0" labelOnly="1" outline="0" fieldPosition="0">
        <references count="3">
          <reference field="0" count="1" selected="0">
            <x v="82"/>
          </reference>
          <reference field="10" count="1" selected="0">
            <x v="0"/>
          </reference>
          <reference field="11" count="1">
            <x v="43"/>
          </reference>
        </references>
      </pivotArea>
    </format>
    <format dxfId="342">
      <pivotArea dataOnly="0" labelOnly="1" outline="0" fieldPosition="0">
        <references count="3">
          <reference field="0" count="1" selected="0">
            <x v="82"/>
          </reference>
          <reference field="10" count="1" selected="0">
            <x v="4"/>
          </reference>
          <reference field="11" count="1">
            <x v="39"/>
          </reference>
        </references>
      </pivotArea>
    </format>
    <format dxfId="341">
      <pivotArea dataOnly="0" labelOnly="1" outline="0" fieldPosition="0">
        <references count="3">
          <reference field="0" count="1" selected="0">
            <x v="99"/>
          </reference>
          <reference field="10" count="1" selected="0">
            <x v="0"/>
          </reference>
          <reference field="11" count="1">
            <x v="12"/>
          </reference>
        </references>
      </pivotArea>
    </format>
    <format dxfId="340">
      <pivotArea dataOnly="0" labelOnly="1" outline="0" fieldPosition="0">
        <references count="3">
          <reference field="0" count="1" selected="0">
            <x v="100"/>
          </reference>
          <reference field="10" count="1" selected="0">
            <x v="0"/>
          </reference>
          <reference field="11" count="1">
            <x v="41"/>
          </reference>
        </references>
      </pivotArea>
    </format>
    <format dxfId="339">
      <pivotArea dataOnly="0" labelOnly="1" outline="0" fieldPosition="0">
        <references count="3">
          <reference field="0" count="1" selected="0">
            <x v="101"/>
          </reference>
          <reference field="10" count="1" selected="0">
            <x v="0"/>
          </reference>
          <reference field="11" count="1">
            <x v="11"/>
          </reference>
        </references>
      </pivotArea>
    </format>
    <format dxfId="338">
      <pivotArea dataOnly="0" labelOnly="1" outline="0" fieldPosition="0">
        <references count="3">
          <reference field="0" count="1" selected="0">
            <x v="105"/>
          </reference>
          <reference field="10" count="1" selected="0">
            <x v="3"/>
          </reference>
          <reference field="11" count="1">
            <x v="39"/>
          </reference>
        </references>
      </pivotArea>
    </format>
    <format dxfId="337">
      <pivotArea dataOnly="0" labelOnly="1" outline="0" fieldPosition="0">
        <references count="3">
          <reference field="0" count="1" selected="0">
            <x v="116"/>
          </reference>
          <reference field="10" count="1" selected="0">
            <x v="1"/>
          </reference>
          <reference field="11" count="1">
            <x v="21"/>
          </reference>
        </references>
      </pivotArea>
    </format>
    <format dxfId="336">
      <pivotArea dataOnly="0" labelOnly="1" outline="0" fieldPosition="0">
        <references count="3">
          <reference field="0" count="1" selected="0">
            <x v="118"/>
          </reference>
          <reference field="10" count="1" selected="0">
            <x v="1"/>
          </reference>
          <reference field="11" count="1">
            <x v="21"/>
          </reference>
        </references>
      </pivotArea>
    </format>
    <format dxfId="335">
      <pivotArea dataOnly="0" labelOnly="1" outline="0" fieldPosition="0">
        <references count="3">
          <reference field="0" count="1" selected="0">
            <x v="119"/>
          </reference>
          <reference field="10" count="1" selected="0">
            <x v="0"/>
          </reference>
          <reference field="11" count="1">
            <x v="43"/>
          </reference>
        </references>
      </pivotArea>
    </format>
    <format dxfId="334">
      <pivotArea dataOnly="0" labelOnly="1" outline="0" fieldPosition="0">
        <references count="3">
          <reference field="0" count="1" selected="0">
            <x v="119"/>
          </reference>
          <reference field="10" count="1" selected="0">
            <x v="4"/>
          </reference>
          <reference field="11" count="1">
            <x v="39"/>
          </reference>
        </references>
      </pivotArea>
    </format>
    <format dxfId="333">
      <pivotArea dataOnly="0" labelOnly="1" outline="0" fieldPosition="0">
        <references count="3">
          <reference field="0" count="1" selected="0">
            <x v="122"/>
          </reference>
          <reference field="10" count="1" selected="0">
            <x v="0"/>
          </reference>
          <reference field="11" count="1">
            <x v="3"/>
          </reference>
        </references>
      </pivotArea>
    </format>
    <format dxfId="332">
      <pivotArea dataOnly="0" labelOnly="1" outline="0" fieldPosition="0">
        <references count="3">
          <reference field="0" count="1" selected="0">
            <x v="122"/>
          </reference>
          <reference field="10" count="1" selected="0">
            <x v="3"/>
          </reference>
          <reference field="11" count="1">
            <x v="39"/>
          </reference>
        </references>
      </pivotArea>
    </format>
    <format dxfId="331">
      <pivotArea dataOnly="0" labelOnly="1" outline="0" fieldPosition="0">
        <references count="3">
          <reference field="0" count="1" selected="0">
            <x v="123"/>
          </reference>
          <reference field="10" count="1" selected="0">
            <x v="3"/>
          </reference>
          <reference field="11" count="1">
            <x v="39"/>
          </reference>
        </references>
      </pivotArea>
    </format>
    <format dxfId="330">
      <pivotArea dataOnly="0" labelOnly="1" outline="0" fieldPosition="0">
        <references count="3">
          <reference field="0" count="1" selected="0">
            <x v="132"/>
          </reference>
          <reference field="10" count="1" selected="0">
            <x v="3"/>
          </reference>
          <reference field="11" count="1">
            <x v="39"/>
          </reference>
        </references>
      </pivotArea>
    </format>
    <format dxfId="329">
      <pivotArea dataOnly="0" labelOnly="1" outline="0" fieldPosition="0">
        <references count="3">
          <reference field="0" count="1" selected="0">
            <x v="133"/>
          </reference>
          <reference field="10" count="1" selected="0">
            <x v="1"/>
          </reference>
          <reference field="11" count="1">
            <x v="21"/>
          </reference>
        </references>
      </pivotArea>
    </format>
    <format dxfId="328">
      <pivotArea dataOnly="0" labelOnly="1" outline="0" fieldPosition="0">
        <references count="3">
          <reference field="0" count="1" selected="0">
            <x v="134"/>
          </reference>
          <reference field="10" count="1" selected="0">
            <x v="0"/>
          </reference>
          <reference field="11" count="1">
            <x v="18"/>
          </reference>
        </references>
      </pivotArea>
    </format>
    <format dxfId="327">
      <pivotArea dataOnly="0" labelOnly="1" outline="0" fieldPosition="0">
        <references count="3">
          <reference field="0" count="1" selected="0">
            <x v="134"/>
          </reference>
          <reference field="10" count="1" selected="0">
            <x v="1"/>
          </reference>
          <reference field="11" count="1">
            <x v="21"/>
          </reference>
        </references>
      </pivotArea>
    </format>
    <format dxfId="326">
      <pivotArea dataOnly="0" labelOnly="1" outline="0" fieldPosition="0">
        <references count="3">
          <reference field="0" count="1" selected="0">
            <x v="135"/>
          </reference>
          <reference field="10" count="1" selected="0">
            <x v="1"/>
          </reference>
          <reference field="11" count="1">
            <x v="21"/>
          </reference>
        </references>
      </pivotArea>
    </format>
    <format dxfId="325">
      <pivotArea dataOnly="0" labelOnly="1" outline="0" fieldPosition="0">
        <references count="3">
          <reference field="0" count="1" selected="0">
            <x v="135"/>
          </reference>
          <reference field="10" count="1" selected="0">
            <x v="3"/>
          </reference>
          <reference field="11" count="1">
            <x v="33"/>
          </reference>
        </references>
      </pivotArea>
    </format>
    <format dxfId="324">
      <pivotArea dataOnly="0" labelOnly="1" outline="0" fieldPosition="0">
        <references count="3">
          <reference field="0" count="1" selected="0">
            <x v="136"/>
          </reference>
          <reference field="10" count="1" selected="0">
            <x v="1"/>
          </reference>
          <reference field="11" count="1">
            <x v="21"/>
          </reference>
        </references>
      </pivotArea>
    </format>
    <format dxfId="323">
      <pivotArea dataOnly="0" labelOnly="1" outline="0" fieldPosition="0">
        <references count="3">
          <reference field="0" count="1" selected="0">
            <x v="139"/>
          </reference>
          <reference field="10" count="1" selected="0">
            <x v="0"/>
          </reference>
          <reference field="11" count="1">
            <x v="12"/>
          </reference>
        </references>
      </pivotArea>
    </format>
    <format dxfId="322">
      <pivotArea dataOnly="0" labelOnly="1" outline="0" fieldPosition="0">
        <references count="3">
          <reference field="0" count="1" selected="0">
            <x v="139"/>
          </reference>
          <reference field="10" count="1" selected="0">
            <x v="3"/>
          </reference>
          <reference field="11" count="1">
            <x v="39"/>
          </reference>
        </references>
      </pivotArea>
    </format>
    <format dxfId="321">
      <pivotArea dataOnly="0" labelOnly="1" outline="0" fieldPosition="0">
        <references count="3">
          <reference field="0" count="1" selected="0">
            <x v="141"/>
          </reference>
          <reference field="10" count="1" selected="0">
            <x v="3"/>
          </reference>
          <reference field="11" count="1">
            <x v="39"/>
          </reference>
        </references>
      </pivotArea>
    </format>
    <format dxfId="320">
      <pivotArea dataOnly="0" labelOnly="1" outline="0" fieldPosition="0">
        <references count="3">
          <reference field="0" count="1" selected="0">
            <x v="144"/>
          </reference>
          <reference field="10" count="1" selected="0">
            <x v="3"/>
          </reference>
          <reference field="11" count="1">
            <x v="39"/>
          </reference>
        </references>
      </pivotArea>
    </format>
    <format dxfId="319">
      <pivotArea dataOnly="0" labelOnly="1" outline="0" fieldPosition="0">
        <references count="3">
          <reference field="0" count="1" selected="0">
            <x v="147"/>
          </reference>
          <reference field="10" count="1" selected="0">
            <x v="0"/>
          </reference>
          <reference field="11" count="1">
            <x v="16"/>
          </reference>
        </references>
      </pivotArea>
    </format>
    <format dxfId="318">
      <pivotArea dataOnly="0" labelOnly="1" outline="0" fieldPosition="0">
        <references count="3">
          <reference field="0" count="1" selected="0">
            <x v="148"/>
          </reference>
          <reference field="10" count="1" selected="0">
            <x v="0"/>
          </reference>
          <reference field="11" count="1">
            <x v="16"/>
          </reference>
        </references>
      </pivotArea>
    </format>
    <format dxfId="317">
      <pivotArea dataOnly="0" labelOnly="1" outline="0" fieldPosition="0">
        <references count="3">
          <reference field="0" count="1" selected="0">
            <x v="149"/>
          </reference>
          <reference field="10" count="1" selected="0">
            <x v="0"/>
          </reference>
          <reference field="11" count="1">
            <x v="16"/>
          </reference>
        </references>
      </pivotArea>
    </format>
    <format dxfId="316">
      <pivotArea dataOnly="0" labelOnly="1" outline="0" fieldPosition="0">
        <references count="3">
          <reference field="0" count="1" selected="0">
            <x v="150"/>
          </reference>
          <reference field="10" count="1" selected="0">
            <x v="0"/>
          </reference>
          <reference field="11" count="1">
            <x v="16"/>
          </reference>
        </references>
      </pivotArea>
    </format>
    <format dxfId="315">
      <pivotArea dataOnly="0" labelOnly="1" outline="0" fieldPosition="0">
        <references count="3">
          <reference field="0" count="1" selected="0">
            <x v="151"/>
          </reference>
          <reference field="10" count="1" selected="0">
            <x v="0"/>
          </reference>
          <reference field="11" count="1">
            <x v="16"/>
          </reference>
        </references>
      </pivotArea>
    </format>
    <format dxfId="314">
      <pivotArea dataOnly="0" labelOnly="1" outline="0" fieldPosition="0">
        <references count="3">
          <reference field="0" count="1" selected="0">
            <x v="152"/>
          </reference>
          <reference field="10" count="1" selected="0">
            <x v="0"/>
          </reference>
          <reference field="11" count="1">
            <x v="16"/>
          </reference>
        </references>
      </pivotArea>
    </format>
    <format dxfId="313">
      <pivotArea dataOnly="0" labelOnly="1" outline="0" fieldPosition="0">
        <references count="3">
          <reference field="0" count="1" selected="0">
            <x v="153"/>
          </reference>
          <reference field="10" count="1" selected="0">
            <x v="0"/>
          </reference>
          <reference field="11" count="1">
            <x v="16"/>
          </reference>
        </references>
      </pivotArea>
    </format>
    <format dxfId="312">
      <pivotArea dataOnly="0" labelOnly="1" outline="0" fieldPosition="0">
        <references count="3">
          <reference field="0" count="1" selected="0">
            <x v="154"/>
          </reference>
          <reference field="10" count="1" selected="0">
            <x v="0"/>
          </reference>
          <reference field="11" count="1">
            <x v="16"/>
          </reference>
        </references>
      </pivotArea>
    </format>
    <format dxfId="311">
      <pivotArea dataOnly="0" labelOnly="1" outline="0" fieldPosition="0">
        <references count="3">
          <reference field="0" count="1" selected="0">
            <x v="155"/>
          </reference>
          <reference field="10" count="1" selected="0">
            <x v="0"/>
          </reference>
          <reference field="11" count="1">
            <x v="16"/>
          </reference>
        </references>
      </pivotArea>
    </format>
    <format dxfId="310">
      <pivotArea dataOnly="0" labelOnly="1" outline="0" fieldPosition="0">
        <references count="3">
          <reference field="0" count="1" selected="0">
            <x v="156"/>
          </reference>
          <reference field="10" count="1" selected="0">
            <x v="0"/>
          </reference>
          <reference field="11" count="1">
            <x v="16"/>
          </reference>
        </references>
      </pivotArea>
    </format>
    <format dxfId="309">
      <pivotArea dataOnly="0" labelOnly="1" outline="0" fieldPosition="0">
        <references count="3">
          <reference field="0" count="1" selected="0">
            <x v="157"/>
          </reference>
          <reference field="10" count="1" selected="0">
            <x v="0"/>
          </reference>
          <reference field="11" count="1">
            <x v="16"/>
          </reference>
        </references>
      </pivotArea>
    </format>
    <format dxfId="308">
      <pivotArea dataOnly="0" labelOnly="1" outline="0" fieldPosition="0">
        <references count="3">
          <reference field="0" count="1" selected="0">
            <x v="158"/>
          </reference>
          <reference field="10" count="1" selected="0">
            <x v="0"/>
          </reference>
          <reference field="11" count="1">
            <x v="16"/>
          </reference>
        </references>
      </pivotArea>
    </format>
    <format dxfId="307">
      <pivotArea dataOnly="0" labelOnly="1" outline="0" fieldPosition="0">
        <references count="3">
          <reference field="0" count="1" selected="0">
            <x v="163"/>
          </reference>
          <reference field="10" count="1" selected="0">
            <x v="3"/>
          </reference>
          <reference field="11" count="1">
            <x v="39"/>
          </reference>
        </references>
      </pivotArea>
    </format>
    <format dxfId="306">
      <pivotArea dataOnly="0" labelOnly="1" outline="0" fieldPosition="0">
        <references count="3">
          <reference field="0" count="1" selected="0">
            <x v="164"/>
          </reference>
          <reference field="10" count="1" selected="0">
            <x v="0"/>
          </reference>
          <reference field="11" count="2">
            <x v="10"/>
            <x v="39"/>
          </reference>
        </references>
      </pivotArea>
    </format>
    <format dxfId="305">
      <pivotArea dataOnly="0" labelOnly="1" outline="0" fieldPosition="0">
        <references count="3">
          <reference field="0" count="1" selected="0">
            <x v="164"/>
          </reference>
          <reference field="10" count="1" selected="0">
            <x v="3"/>
          </reference>
          <reference field="11" count="1">
            <x v="39"/>
          </reference>
        </references>
      </pivotArea>
    </format>
    <format dxfId="304">
      <pivotArea dataOnly="0" labelOnly="1" outline="0" fieldPosition="0">
        <references count="3">
          <reference field="0" count="1" selected="0">
            <x v="165"/>
          </reference>
          <reference field="10" count="1" selected="0">
            <x v="3"/>
          </reference>
          <reference field="11" count="1">
            <x v="39"/>
          </reference>
        </references>
      </pivotArea>
    </format>
    <format dxfId="303">
      <pivotArea dataOnly="0" labelOnly="1" outline="0" fieldPosition="0">
        <references count="3">
          <reference field="0" count="1" selected="0">
            <x v="166"/>
          </reference>
          <reference field="10" count="1" selected="0">
            <x v="3"/>
          </reference>
          <reference field="11" count="1">
            <x v="39"/>
          </reference>
        </references>
      </pivotArea>
    </format>
    <format dxfId="302">
      <pivotArea dataOnly="0" labelOnly="1" outline="0" fieldPosition="0">
        <references count="3">
          <reference field="0" count="1" selected="0">
            <x v="167"/>
          </reference>
          <reference field="10" count="1" selected="0">
            <x v="3"/>
          </reference>
          <reference field="11" count="1">
            <x v="39"/>
          </reference>
        </references>
      </pivotArea>
    </format>
    <format dxfId="301">
      <pivotArea dataOnly="0" labelOnly="1" outline="0" fieldPosition="0">
        <references count="3">
          <reference field="0" count="1" selected="0">
            <x v="168"/>
          </reference>
          <reference field="10" count="1" selected="0">
            <x v="3"/>
          </reference>
          <reference field="11" count="1">
            <x v="39"/>
          </reference>
        </references>
      </pivotArea>
    </format>
    <format dxfId="300">
      <pivotArea dataOnly="0" labelOnly="1" outline="0" fieldPosition="0">
        <references count="3">
          <reference field="0" count="1" selected="0">
            <x v="169"/>
          </reference>
          <reference field="10" count="1" selected="0">
            <x v="3"/>
          </reference>
          <reference field="11" count="1">
            <x v="39"/>
          </reference>
        </references>
      </pivotArea>
    </format>
    <format dxfId="299">
      <pivotArea dataOnly="0" labelOnly="1" outline="0" fieldPosition="0">
        <references count="3">
          <reference field="0" count="1" selected="0">
            <x v="170"/>
          </reference>
          <reference field="10" count="1" selected="0">
            <x v="3"/>
          </reference>
          <reference field="11" count="1">
            <x v="39"/>
          </reference>
        </references>
      </pivotArea>
    </format>
    <format dxfId="298">
      <pivotArea dataOnly="0" labelOnly="1" outline="0" fieldPosition="0">
        <references count="3">
          <reference field="0" count="1" selected="0">
            <x v="177"/>
          </reference>
          <reference field="10" count="1" selected="0">
            <x v="0"/>
          </reference>
          <reference field="11" count="2">
            <x v="10"/>
            <x v="15"/>
          </reference>
        </references>
      </pivotArea>
    </format>
    <format dxfId="297">
      <pivotArea dataOnly="0" labelOnly="1" outline="0" fieldPosition="0">
        <references count="3">
          <reference field="0" count="1" selected="0">
            <x v="177"/>
          </reference>
          <reference field="10" count="1" selected="0">
            <x v="3"/>
          </reference>
          <reference field="11" count="1">
            <x v="39"/>
          </reference>
        </references>
      </pivotArea>
    </format>
    <format dxfId="296">
      <pivotArea dataOnly="0" labelOnly="1" outline="0" fieldPosition="0">
        <references count="3">
          <reference field="0" count="1" selected="0">
            <x v="179"/>
          </reference>
          <reference field="10" count="1" selected="0">
            <x v="0"/>
          </reference>
          <reference field="11" count="1">
            <x v="23"/>
          </reference>
        </references>
      </pivotArea>
    </format>
    <format dxfId="295">
      <pivotArea dataOnly="0" labelOnly="1" outline="0" fieldPosition="0">
        <references count="3">
          <reference field="0" count="1" selected="0">
            <x v="180"/>
          </reference>
          <reference field="10" count="1" selected="0">
            <x v="3"/>
          </reference>
          <reference field="11" count="1">
            <x v="39"/>
          </reference>
        </references>
      </pivotArea>
    </format>
    <format dxfId="294">
      <pivotArea dataOnly="0" labelOnly="1" outline="0" fieldPosition="0">
        <references count="3">
          <reference field="0" count="1" selected="0">
            <x v="187"/>
          </reference>
          <reference field="10" count="1" selected="0">
            <x v="0"/>
          </reference>
          <reference field="11" count="1">
            <x v="44"/>
          </reference>
        </references>
      </pivotArea>
    </format>
    <format dxfId="293">
      <pivotArea dataOnly="0" labelOnly="1" outline="0" fieldPosition="0">
        <references count="3">
          <reference field="0" count="1" selected="0">
            <x v="189"/>
          </reference>
          <reference field="10" count="1" selected="0">
            <x v="3"/>
          </reference>
          <reference field="11" count="1">
            <x v="39"/>
          </reference>
        </references>
      </pivotArea>
    </format>
    <format dxfId="292">
      <pivotArea dataOnly="0" labelOnly="1" outline="0" fieldPosition="0">
        <references count="3">
          <reference field="0" count="1" selected="0">
            <x v="190"/>
          </reference>
          <reference field="10" count="1" selected="0">
            <x v="0"/>
          </reference>
          <reference field="11" count="1">
            <x v="4"/>
          </reference>
        </references>
      </pivotArea>
    </format>
    <format dxfId="291">
      <pivotArea dataOnly="0" labelOnly="1" outline="0" fieldPosition="0">
        <references count="3">
          <reference field="0" count="1" selected="0">
            <x v="197"/>
          </reference>
          <reference field="10" count="1" selected="0">
            <x v="0"/>
          </reference>
          <reference field="11" count="1">
            <x v="23"/>
          </reference>
        </references>
      </pivotArea>
    </format>
    <format dxfId="290">
      <pivotArea dataOnly="0" labelOnly="1" outline="0" fieldPosition="0">
        <references count="3">
          <reference field="0" count="1" selected="0">
            <x v="198"/>
          </reference>
          <reference field="10" count="1" selected="0">
            <x v="3"/>
          </reference>
          <reference field="11" count="1">
            <x v="39"/>
          </reference>
        </references>
      </pivotArea>
    </format>
    <format dxfId="289">
      <pivotArea dataOnly="0" labelOnly="1" outline="0" fieldPosition="0">
        <references count="3">
          <reference field="0" count="1" selected="0">
            <x v="206"/>
          </reference>
          <reference field="10" count="1" selected="0">
            <x v="3"/>
          </reference>
          <reference field="11" count="1">
            <x v="39"/>
          </reference>
        </references>
      </pivotArea>
    </format>
    <format dxfId="288">
      <pivotArea dataOnly="0" labelOnly="1" outline="0" fieldPosition="0">
        <references count="3">
          <reference field="0" count="1" selected="0">
            <x v="209"/>
          </reference>
          <reference field="10" count="1" selected="0">
            <x v="3"/>
          </reference>
          <reference field="11" count="1">
            <x v="39"/>
          </reference>
        </references>
      </pivotArea>
    </format>
    <format dxfId="287">
      <pivotArea dataOnly="0" labelOnly="1" outline="0" fieldPosition="0">
        <references count="3">
          <reference field="0" count="1" selected="0">
            <x v="218"/>
          </reference>
          <reference field="10" count="1" selected="0">
            <x v="0"/>
          </reference>
          <reference field="11" count="1">
            <x v="39"/>
          </reference>
        </references>
      </pivotArea>
    </format>
    <format dxfId="286">
      <pivotArea dataOnly="0" labelOnly="1" outline="0" fieldPosition="0">
        <references count="3">
          <reference field="0" count="1" selected="0">
            <x v="219"/>
          </reference>
          <reference field="10" count="1" selected="0">
            <x v="0"/>
          </reference>
          <reference field="11" count="1">
            <x v="39"/>
          </reference>
        </references>
      </pivotArea>
    </format>
    <format dxfId="285">
      <pivotArea dataOnly="0" labelOnly="1" outline="0" fieldPosition="0">
        <references count="3">
          <reference field="0" count="1" selected="0">
            <x v="220"/>
          </reference>
          <reference field="10" count="1" selected="0">
            <x v="0"/>
          </reference>
          <reference field="11" count="1">
            <x v="39"/>
          </reference>
        </references>
      </pivotArea>
    </format>
    <format dxfId="284">
      <pivotArea dataOnly="0" labelOnly="1" outline="0" fieldPosition="0">
        <references count="3">
          <reference field="0" count="1" selected="0">
            <x v="222"/>
          </reference>
          <reference field="10" count="1" selected="0">
            <x v="3"/>
          </reference>
          <reference field="11" count="1">
            <x v="39"/>
          </reference>
        </references>
      </pivotArea>
    </format>
    <format dxfId="283">
      <pivotArea dataOnly="0" labelOnly="1" outline="0" fieldPosition="0">
        <references count="3">
          <reference field="0" count="1" selected="0">
            <x v="223"/>
          </reference>
          <reference field="10" count="1" selected="0">
            <x v="0"/>
          </reference>
          <reference field="11" count="1">
            <x v="4"/>
          </reference>
        </references>
      </pivotArea>
    </format>
    <format dxfId="282">
      <pivotArea dataOnly="0" labelOnly="1" outline="0" fieldPosition="0">
        <references count="3">
          <reference field="0" count="1" selected="0">
            <x v="223"/>
          </reference>
          <reference field="10" count="1" selected="0">
            <x v="3"/>
          </reference>
          <reference field="11" count="1">
            <x v="39"/>
          </reference>
        </references>
      </pivotArea>
    </format>
    <format dxfId="281">
      <pivotArea dataOnly="0" labelOnly="1" outline="0" fieldPosition="0">
        <references count="3">
          <reference field="0" count="1" selected="0">
            <x v="225"/>
          </reference>
          <reference field="10" count="1" selected="0">
            <x v="0"/>
          </reference>
          <reference field="11" count="2">
            <x v="2"/>
            <x v="10"/>
          </reference>
        </references>
      </pivotArea>
    </format>
    <format dxfId="280">
      <pivotArea dataOnly="0" labelOnly="1" outline="0" fieldPosition="0">
        <references count="3">
          <reference field="0" count="1" selected="0">
            <x v="226"/>
          </reference>
          <reference field="10" count="1" selected="0">
            <x v="0"/>
          </reference>
          <reference field="11" count="1">
            <x v="31"/>
          </reference>
        </references>
      </pivotArea>
    </format>
    <format dxfId="279">
      <pivotArea dataOnly="0" labelOnly="1" outline="0" fieldPosition="0">
        <references count="3">
          <reference field="0" count="1" selected="0">
            <x v="228"/>
          </reference>
          <reference field="10" count="1" selected="0">
            <x v="3"/>
          </reference>
          <reference field="11" count="1">
            <x v="39"/>
          </reference>
        </references>
      </pivotArea>
    </format>
    <format dxfId="278">
      <pivotArea dataOnly="0" labelOnly="1" outline="0" fieldPosition="0">
        <references count="3">
          <reference field="0" count="1" selected="0">
            <x v="233"/>
          </reference>
          <reference field="10" count="1" selected="0">
            <x v="0"/>
          </reference>
          <reference field="11" count="1">
            <x v="31"/>
          </reference>
        </references>
      </pivotArea>
    </format>
    <format dxfId="277">
      <pivotArea dataOnly="0" labelOnly="1" outline="0" fieldPosition="0">
        <references count="3">
          <reference field="0" count="1" selected="0">
            <x v="234"/>
          </reference>
          <reference field="10" count="1" selected="0">
            <x v="0"/>
          </reference>
          <reference field="11" count="1">
            <x v="39"/>
          </reference>
        </references>
      </pivotArea>
    </format>
    <format dxfId="276">
      <pivotArea dataOnly="0" labelOnly="1" outline="0" fieldPosition="0">
        <references count="3">
          <reference field="0" count="1" selected="0">
            <x v="234"/>
          </reference>
          <reference field="10" count="1" selected="0">
            <x v="3"/>
          </reference>
          <reference field="11" count="1">
            <x v="39"/>
          </reference>
        </references>
      </pivotArea>
    </format>
    <format dxfId="275">
      <pivotArea dataOnly="0" labelOnly="1" outline="0" fieldPosition="0">
        <references count="3">
          <reference field="0" count="1" selected="0">
            <x v="237"/>
          </reference>
          <reference field="10" count="1" selected="0">
            <x v="0"/>
          </reference>
          <reference field="11" count="2">
            <x v="10"/>
            <x v="39"/>
          </reference>
        </references>
      </pivotArea>
    </format>
    <format dxfId="274">
      <pivotArea dataOnly="0" labelOnly="1" outline="0" fieldPosition="0">
        <references count="3">
          <reference field="0" count="1" selected="0">
            <x v="238"/>
          </reference>
          <reference field="10" count="1" selected="0">
            <x v="0"/>
          </reference>
          <reference field="11" count="1">
            <x v="10"/>
          </reference>
        </references>
      </pivotArea>
    </format>
    <format dxfId="273">
      <pivotArea dataOnly="0" labelOnly="1" outline="0" fieldPosition="0">
        <references count="3">
          <reference field="0" count="1" selected="0">
            <x v="238"/>
          </reference>
          <reference field="10" count="1" selected="0">
            <x v="3"/>
          </reference>
          <reference field="11" count="1">
            <x v="39"/>
          </reference>
        </references>
      </pivotArea>
    </format>
    <format dxfId="272">
      <pivotArea dataOnly="0" labelOnly="1" outline="0" fieldPosition="0">
        <references count="3">
          <reference field="0" count="1" selected="0">
            <x v="240"/>
          </reference>
          <reference field="10" count="1" selected="0">
            <x v="3"/>
          </reference>
          <reference field="11" count="1">
            <x v="39"/>
          </reference>
        </references>
      </pivotArea>
    </format>
    <format dxfId="271">
      <pivotArea dataOnly="0" labelOnly="1" outline="0" fieldPosition="0">
        <references count="3">
          <reference field="0" count="1" selected="0">
            <x v="241"/>
          </reference>
          <reference field="10" count="1" selected="0">
            <x v="0"/>
          </reference>
          <reference field="11" count="1">
            <x v="14"/>
          </reference>
        </references>
      </pivotArea>
    </format>
    <format dxfId="270">
      <pivotArea dataOnly="0" labelOnly="1" outline="0" fieldPosition="0">
        <references count="3">
          <reference field="0" count="1" selected="0">
            <x v="247"/>
          </reference>
          <reference field="10" count="1" selected="0">
            <x v="3"/>
          </reference>
          <reference field="11" count="1">
            <x v="39"/>
          </reference>
        </references>
      </pivotArea>
    </format>
    <format dxfId="269">
      <pivotArea dataOnly="0" labelOnly="1" outline="0" fieldPosition="0">
        <references count="3">
          <reference field="0" count="1" selected="0">
            <x v="250"/>
          </reference>
          <reference field="10" count="1" selected="0">
            <x v="3"/>
          </reference>
          <reference field="11" count="1">
            <x v="39"/>
          </reference>
        </references>
      </pivotArea>
    </format>
    <format dxfId="268">
      <pivotArea dataOnly="0" labelOnly="1" outline="0" fieldPosition="0">
        <references count="3">
          <reference field="0" count="1" selected="0">
            <x v="253"/>
          </reference>
          <reference field="10" count="1" selected="0">
            <x v="0"/>
          </reference>
          <reference field="11" count="1">
            <x v="45"/>
          </reference>
        </references>
      </pivotArea>
    </format>
    <format dxfId="267">
      <pivotArea dataOnly="0" labelOnly="1" outline="0" fieldPosition="0">
        <references count="3">
          <reference field="0" count="1" selected="0">
            <x v="253"/>
          </reference>
          <reference field="10" count="1" selected="0">
            <x v="4"/>
          </reference>
          <reference field="11" count="1">
            <x v="39"/>
          </reference>
        </references>
      </pivotArea>
    </format>
    <format dxfId="266">
      <pivotArea dataOnly="0" labelOnly="1" outline="0" fieldPosition="0">
        <references count="3">
          <reference field="0" count="1" selected="0">
            <x v="254"/>
          </reference>
          <reference field="10" count="1" selected="0">
            <x v="0"/>
          </reference>
          <reference field="11" count="1">
            <x v="44"/>
          </reference>
        </references>
      </pivotArea>
    </format>
    <format dxfId="265">
      <pivotArea dataOnly="0" labelOnly="1" outline="0" fieldPosition="0">
        <references count="3">
          <reference field="0" count="1" selected="0">
            <x v="254"/>
          </reference>
          <reference field="10" count="1" selected="0">
            <x v="3"/>
          </reference>
          <reference field="11" count="1">
            <x v="32"/>
          </reference>
        </references>
      </pivotArea>
    </format>
    <format dxfId="264">
      <pivotArea dataOnly="0" labelOnly="1" outline="0" fieldPosition="0">
        <references count="3">
          <reference field="0" count="1" selected="0">
            <x v="255"/>
          </reference>
          <reference field="10" count="1" selected="0">
            <x v="0"/>
          </reference>
          <reference field="11" count="1">
            <x v="43"/>
          </reference>
        </references>
      </pivotArea>
    </format>
    <format dxfId="263">
      <pivotArea dataOnly="0" labelOnly="1" outline="0" fieldPosition="0">
        <references count="3">
          <reference field="0" count="1" selected="0">
            <x v="255"/>
          </reference>
          <reference field="10" count="1" selected="0">
            <x v="4"/>
          </reference>
          <reference field="11" count="1">
            <x v="39"/>
          </reference>
        </references>
      </pivotArea>
    </format>
    <format dxfId="262">
      <pivotArea dataOnly="0" labelOnly="1" outline="0" fieldPosition="0">
        <references count="3">
          <reference field="0" count="1" selected="0">
            <x v="258"/>
          </reference>
          <reference field="10" count="1" selected="0">
            <x v="3"/>
          </reference>
          <reference field="11" count="1">
            <x v="39"/>
          </reference>
        </references>
      </pivotArea>
    </format>
    <format dxfId="261">
      <pivotArea dataOnly="0" labelOnly="1" outline="0" fieldPosition="0">
        <references count="3">
          <reference field="0" count="1" selected="0">
            <x v="261"/>
          </reference>
          <reference field="10" count="1" selected="0">
            <x v="3"/>
          </reference>
          <reference field="11" count="1">
            <x v="39"/>
          </reference>
        </references>
      </pivotArea>
    </format>
    <format dxfId="260">
      <pivotArea dataOnly="0" labelOnly="1" outline="0" fieldPosition="0">
        <references count="3">
          <reference field="0" count="1" selected="0">
            <x v="262"/>
          </reference>
          <reference field="10" count="1" selected="0">
            <x v="3"/>
          </reference>
          <reference field="11" count="1">
            <x v="39"/>
          </reference>
        </references>
      </pivotArea>
    </format>
    <format dxfId="259">
      <pivotArea dataOnly="0" labelOnly="1" outline="0" fieldPosition="0">
        <references count="3">
          <reference field="0" count="1" selected="0">
            <x v="263"/>
          </reference>
          <reference field="10" count="1" selected="0">
            <x v="3"/>
          </reference>
          <reference field="11" count="1">
            <x v="39"/>
          </reference>
        </references>
      </pivotArea>
    </format>
    <format dxfId="258">
      <pivotArea dataOnly="0" labelOnly="1" outline="0" fieldPosition="0">
        <references count="3">
          <reference field="0" count="1" selected="0">
            <x v="264"/>
          </reference>
          <reference field="10" count="1" selected="0">
            <x v="3"/>
          </reference>
          <reference field="11" count="1">
            <x v="39"/>
          </reference>
        </references>
      </pivotArea>
    </format>
    <format dxfId="257">
      <pivotArea dataOnly="0" labelOnly="1" outline="0" fieldPosition="0">
        <references count="3">
          <reference field="0" count="1" selected="0">
            <x v="265"/>
          </reference>
          <reference field="10" count="1" selected="0">
            <x v="3"/>
          </reference>
          <reference field="11" count="1">
            <x v="39"/>
          </reference>
        </references>
      </pivotArea>
    </format>
    <format dxfId="256">
      <pivotArea dataOnly="0" labelOnly="1" outline="0" fieldPosition="0">
        <references count="3">
          <reference field="0" count="1" selected="0">
            <x v="266"/>
          </reference>
          <reference field="10" count="1" selected="0">
            <x v="3"/>
          </reference>
          <reference field="11" count="1">
            <x v="39"/>
          </reference>
        </references>
      </pivotArea>
    </format>
    <format dxfId="255">
      <pivotArea dataOnly="0" labelOnly="1" outline="0" fieldPosition="0">
        <references count="3">
          <reference field="0" count="1" selected="0">
            <x v="267"/>
          </reference>
          <reference field="10" count="1" selected="0">
            <x v="0"/>
          </reference>
          <reference field="11" count="1">
            <x v="43"/>
          </reference>
        </references>
      </pivotArea>
    </format>
    <format dxfId="254">
      <pivotArea dataOnly="0" labelOnly="1" outline="0" fieldPosition="0">
        <references count="3">
          <reference field="0" count="1" selected="0">
            <x v="268"/>
          </reference>
          <reference field="10" count="1" selected="0">
            <x v="0"/>
          </reference>
          <reference field="11" count="1">
            <x v="43"/>
          </reference>
        </references>
      </pivotArea>
    </format>
    <format dxfId="253">
      <pivotArea dataOnly="0" labelOnly="1" outline="0" fieldPosition="0">
        <references count="3">
          <reference field="0" count="1" selected="0">
            <x v="269"/>
          </reference>
          <reference field="10" count="1" selected="0">
            <x v="0"/>
          </reference>
          <reference field="11" count="1">
            <x v="43"/>
          </reference>
        </references>
      </pivotArea>
    </format>
    <format dxfId="252">
      <pivotArea dataOnly="0" labelOnly="1" outline="0" fieldPosition="0">
        <references count="3">
          <reference field="0" count="1" selected="0">
            <x v="270"/>
          </reference>
          <reference field="10" count="1" selected="0">
            <x v="0"/>
          </reference>
          <reference field="11" count="1">
            <x v="43"/>
          </reference>
        </references>
      </pivotArea>
    </format>
    <format dxfId="251">
      <pivotArea dataOnly="0" labelOnly="1" outline="0" fieldPosition="0">
        <references count="3">
          <reference field="0" count="1" selected="0">
            <x v="271"/>
          </reference>
          <reference field="10" count="1" selected="0">
            <x v="0"/>
          </reference>
          <reference field="11" count="1">
            <x v="43"/>
          </reference>
        </references>
      </pivotArea>
    </format>
    <format dxfId="250">
      <pivotArea dataOnly="0" labelOnly="1" outline="0" fieldPosition="0">
        <references count="3">
          <reference field="0" count="1" selected="0">
            <x v="272"/>
          </reference>
          <reference field="10" count="1" selected="0">
            <x v="3"/>
          </reference>
          <reference field="11" count="1">
            <x v="39"/>
          </reference>
        </references>
      </pivotArea>
    </format>
    <format dxfId="249">
      <pivotArea dataOnly="0" labelOnly="1" outline="0" fieldPosition="0">
        <references count="3">
          <reference field="0" count="1" selected="0">
            <x v="273"/>
          </reference>
          <reference field="10" count="1" selected="0">
            <x v="3"/>
          </reference>
          <reference field="11" count="1">
            <x v="39"/>
          </reference>
        </references>
      </pivotArea>
    </format>
    <format dxfId="248">
      <pivotArea dataOnly="0" labelOnly="1" outline="0" fieldPosition="0">
        <references count="3">
          <reference field="0" count="1" selected="0">
            <x v="275"/>
          </reference>
          <reference field="10" count="1" selected="0">
            <x v="3"/>
          </reference>
          <reference field="11" count="1">
            <x v="39"/>
          </reference>
        </references>
      </pivotArea>
    </format>
    <format dxfId="247">
      <pivotArea dataOnly="0" labelOnly="1" outline="0" fieldPosition="0">
        <references count="3">
          <reference field="0" count="1" selected="0">
            <x v="276"/>
          </reference>
          <reference field="10" count="1" selected="0">
            <x v="3"/>
          </reference>
          <reference field="11" count="1">
            <x v="39"/>
          </reference>
        </references>
      </pivotArea>
    </format>
    <format dxfId="246">
      <pivotArea dataOnly="0" labelOnly="1" outline="0" fieldPosition="0">
        <references count="3">
          <reference field="0" count="1" selected="0">
            <x v="277"/>
          </reference>
          <reference field="10" count="1" selected="0">
            <x v="0"/>
          </reference>
          <reference field="11" count="1">
            <x v="5"/>
          </reference>
        </references>
      </pivotArea>
    </format>
    <format dxfId="245">
      <pivotArea dataOnly="0" labelOnly="1" outline="0" fieldPosition="0">
        <references count="3">
          <reference field="0" count="1" selected="0">
            <x v="278"/>
          </reference>
          <reference field="10" count="1" selected="0">
            <x v="0"/>
          </reference>
          <reference field="11" count="1">
            <x v="39"/>
          </reference>
        </references>
      </pivotArea>
    </format>
    <format dxfId="244">
      <pivotArea dataOnly="0" labelOnly="1" outline="0" fieldPosition="0">
        <references count="3">
          <reference field="0" count="1" selected="0">
            <x v="286"/>
          </reference>
          <reference field="10" count="1" selected="0">
            <x v="0"/>
          </reference>
          <reference field="11" count="1">
            <x v="13"/>
          </reference>
        </references>
      </pivotArea>
    </format>
    <format dxfId="243">
      <pivotArea dataOnly="0" labelOnly="1" outline="0" fieldPosition="0">
        <references count="3">
          <reference field="0" count="1" selected="0">
            <x v="288"/>
          </reference>
          <reference field="10" count="1" selected="0">
            <x v="3"/>
          </reference>
          <reference field="11" count="1">
            <x v="39"/>
          </reference>
        </references>
      </pivotArea>
    </format>
    <format dxfId="242">
      <pivotArea dataOnly="0" labelOnly="1" outline="0" fieldPosition="0">
        <references count="3">
          <reference field="0" count="1" selected="0">
            <x v="292"/>
          </reference>
          <reference field="10" count="1" selected="0">
            <x v="3"/>
          </reference>
          <reference field="11" count="1">
            <x v="39"/>
          </reference>
        </references>
      </pivotArea>
    </format>
    <format dxfId="241">
      <pivotArea dataOnly="0" labelOnly="1" outline="0" fieldPosition="0">
        <references count="3">
          <reference field="0" count="1" selected="0">
            <x v="294"/>
          </reference>
          <reference field="10" count="1" selected="0">
            <x v="0"/>
          </reference>
          <reference field="11" count="1">
            <x v="40"/>
          </reference>
        </references>
      </pivotArea>
    </format>
    <format dxfId="240">
      <pivotArea dataOnly="0" labelOnly="1" outline="0" fieldPosition="0">
        <references count="3">
          <reference field="0" count="1" selected="0">
            <x v="295"/>
          </reference>
          <reference field="10" count="1" selected="0">
            <x v="3"/>
          </reference>
          <reference field="11" count="1">
            <x v="39"/>
          </reference>
        </references>
      </pivotArea>
    </format>
    <format dxfId="239">
      <pivotArea dataOnly="0" labelOnly="1" outline="0" fieldPosition="0">
        <references count="3">
          <reference field="0" count="1" selected="0">
            <x v="296"/>
          </reference>
          <reference field="10" count="1" selected="0">
            <x v="0"/>
          </reference>
          <reference field="11" count="1">
            <x v="39"/>
          </reference>
        </references>
      </pivotArea>
    </format>
    <format dxfId="238">
      <pivotArea dataOnly="0" labelOnly="1" outline="0" fieldPosition="0">
        <references count="3">
          <reference field="0" count="1" selected="0">
            <x v="298"/>
          </reference>
          <reference field="10" count="1" selected="0">
            <x v="3"/>
          </reference>
          <reference field="11" count="1">
            <x v="39"/>
          </reference>
        </references>
      </pivotArea>
    </format>
    <format dxfId="237">
      <pivotArea dataOnly="0" labelOnly="1" outline="0" fieldPosition="0">
        <references count="3">
          <reference field="0" count="1" selected="0">
            <x v="341"/>
          </reference>
          <reference field="10" count="1" selected="0">
            <x v="0"/>
          </reference>
          <reference field="11" count="1">
            <x v="39"/>
          </reference>
        </references>
      </pivotArea>
    </format>
    <format dxfId="236">
      <pivotArea dataOnly="0" labelOnly="1" outline="0" fieldPosition="0">
        <references count="3">
          <reference field="0" count="1" selected="0">
            <x v="342"/>
          </reference>
          <reference field="10" count="1" selected="0">
            <x v="3"/>
          </reference>
          <reference field="11" count="1">
            <x v="39"/>
          </reference>
        </references>
      </pivotArea>
    </format>
    <format dxfId="235">
      <pivotArea dataOnly="0" labelOnly="1" outline="0" fieldPosition="0">
        <references count="3">
          <reference field="0" count="1" selected="0">
            <x v="343"/>
          </reference>
          <reference field="10" count="1" selected="0">
            <x v="3"/>
          </reference>
          <reference field="11" count="1">
            <x v="39"/>
          </reference>
        </references>
      </pivotArea>
    </format>
    <format dxfId="234">
      <pivotArea dataOnly="0" labelOnly="1" outline="0" fieldPosition="0">
        <references count="3">
          <reference field="0" count="1" selected="0">
            <x v="344"/>
          </reference>
          <reference field="10" count="1" selected="0">
            <x v="3"/>
          </reference>
          <reference field="11" count="1">
            <x v="39"/>
          </reference>
        </references>
      </pivotArea>
    </format>
    <format dxfId="233">
      <pivotArea dataOnly="0" labelOnly="1" outline="0" fieldPosition="0">
        <references count="3">
          <reference field="0" count="1" selected="0">
            <x v="345"/>
          </reference>
          <reference field="10" count="1" selected="0">
            <x v="0"/>
          </reference>
          <reference field="11" count="2">
            <x v="10"/>
            <x v="31"/>
          </reference>
        </references>
      </pivotArea>
    </format>
    <format dxfId="232">
      <pivotArea dataOnly="0" labelOnly="1" outline="0" fieldPosition="0">
        <references count="3">
          <reference field="0" count="1" selected="0">
            <x v="345"/>
          </reference>
          <reference field="10" count="1" selected="0">
            <x v="3"/>
          </reference>
          <reference field="11" count="1">
            <x v="39"/>
          </reference>
        </references>
      </pivotArea>
    </format>
    <format dxfId="231">
      <pivotArea dataOnly="0" labelOnly="1" outline="0" fieldPosition="0">
        <references count="3">
          <reference field="0" count="1" selected="0">
            <x v="346"/>
          </reference>
          <reference field="10" count="1" selected="0">
            <x v="0"/>
          </reference>
          <reference field="11" count="3">
            <x v="10"/>
            <x v="15"/>
            <x v="40"/>
          </reference>
        </references>
      </pivotArea>
    </format>
    <format dxfId="230">
      <pivotArea dataOnly="0" labelOnly="1" outline="0" fieldPosition="0">
        <references count="3">
          <reference field="0" count="1" selected="0">
            <x v="346"/>
          </reference>
          <reference field="10" count="1" selected="0">
            <x v="3"/>
          </reference>
          <reference field="11" count="1">
            <x v="39"/>
          </reference>
        </references>
      </pivotArea>
    </format>
    <format dxfId="229">
      <pivotArea dataOnly="0" labelOnly="1" outline="0" fieldPosition="0">
        <references count="3">
          <reference field="0" count="1" selected="0">
            <x v="347"/>
          </reference>
          <reference field="10" count="1" selected="0">
            <x v="3"/>
          </reference>
          <reference field="11" count="1">
            <x v="39"/>
          </reference>
        </references>
      </pivotArea>
    </format>
    <format dxfId="228">
      <pivotArea dataOnly="0" labelOnly="1" outline="0" fieldPosition="0">
        <references count="3">
          <reference field="0" count="1" selected="0">
            <x v="348"/>
          </reference>
          <reference field="10" count="1" selected="0">
            <x v="0"/>
          </reference>
          <reference field="11" count="2">
            <x v="19"/>
            <x v="39"/>
          </reference>
        </references>
      </pivotArea>
    </format>
    <format dxfId="227">
      <pivotArea dataOnly="0" labelOnly="1" outline="0" fieldPosition="0">
        <references count="3">
          <reference field="0" count="1" selected="0">
            <x v="349"/>
          </reference>
          <reference field="10" count="1" selected="0">
            <x v="0"/>
          </reference>
          <reference field="11" count="4">
            <x v="6"/>
            <x v="10"/>
            <x v="38"/>
            <x v="39"/>
          </reference>
        </references>
      </pivotArea>
    </format>
    <format dxfId="226">
      <pivotArea dataOnly="0" labelOnly="1" outline="0" fieldPosition="0">
        <references count="3">
          <reference field="0" count="1" selected="0">
            <x v="349"/>
          </reference>
          <reference field="10" count="1" selected="0">
            <x v="3"/>
          </reference>
          <reference field="11" count="1">
            <x v="39"/>
          </reference>
        </references>
      </pivotArea>
    </format>
    <format dxfId="225">
      <pivotArea dataOnly="0" labelOnly="1" outline="0" fieldPosition="0">
        <references count="3">
          <reference field="0" count="1" selected="0">
            <x v="353"/>
          </reference>
          <reference field="10" count="1" selected="0">
            <x v="0"/>
          </reference>
          <reference field="11" count="1">
            <x v="5"/>
          </reference>
        </references>
      </pivotArea>
    </format>
    <format dxfId="224">
      <pivotArea dataOnly="0" labelOnly="1" outline="0" fieldPosition="0">
        <references count="3">
          <reference field="0" count="1" selected="0">
            <x v="354"/>
          </reference>
          <reference field="10" count="1" selected="0">
            <x v="0"/>
          </reference>
          <reference field="11" count="1">
            <x v="40"/>
          </reference>
        </references>
      </pivotArea>
    </format>
    <format dxfId="223">
      <pivotArea dataOnly="0" labelOnly="1" outline="0" fieldPosition="0">
        <references count="3">
          <reference field="0" count="1" selected="0">
            <x v="355"/>
          </reference>
          <reference field="10" count="1" selected="0">
            <x v="3"/>
          </reference>
          <reference field="11" count="1">
            <x v="39"/>
          </reference>
        </references>
      </pivotArea>
    </format>
    <format dxfId="222">
      <pivotArea dataOnly="0" labelOnly="1" outline="0" fieldPosition="0">
        <references count="3">
          <reference field="0" count="1" selected="0">
            <x v="360"/>
          </reference>
          <reference field="10" count="1" selected="0">
            <x v="4"/>
          </reference>
          <reference field="11" count="1">
            <x v="39"/>
          </reference>
        </references>
      </pivotArea>
    </format>
    <format dxfId="221">
      <pivotArea dataOnly="0" labelOnly="1" outline="0" fieldPosition="0">
        <references count="3">
          <reference field="0" count="1" selected="0">
            <x v="361"/>
          </reference>
          <reference field="10" count="1" selected="0">
            <x v="3"/>
          </reference>
          <reference field="11" count="1">
            <x v="39"/>
          </reference>
        </references>
      </pivotArea>
    </format>
    <format dxfId="220">
      <pivotArea dataOnly="0" labelOnly="1" outline="0" fieldPosition="0">
        <references count="3">
          <reference field="0" count="1" selected="0">
            <x v="396"/>
          </reference>
          <reference field="10" count="1" selected="0">
            <x v="0"/>
          </reference>
          <reference field="11" count="1">
            <x v="39"/>
          </reference>
        </references>
      </pivotArea>
    </format>
    <format dxfId="219">
      <pivotArea dataOnly="0" labelOnly="1" outline="0" fieldPosition="0">
        <references count="3">
          <reference field="0" count="1" selected="0">
            <x v="397"/>
          </reference>
          <reference field="10" count="1" selected="0">
            <x v="0"/>
          </reference>
          <reference field="11" count="1">
            <x v="22"/>
          </reference>
        </references>
      </pivotArea>
    </format>
    <format dxfId="218">
      <pivotArea dataOnly="0" labelOnly="1" outline="0" fieldPosition="0">
        <references count="3">
          <reference field="0" count="1" selected="0">
            <x v="398"/>
          </reference>
          <reference field="10" count="1" selected="0">
            <x v="3"/>
          </reference>
          <reference field="11" count="1">
            <x v="39"/>
          </reference>
        </references>
      </pivotArea>
    </format>
    <format dxfId="217">
      <pivotArea dataOnly="0" labelOnly="1" outline="0" fieldPosition="0">
        <references count="3">
          <reference field="0" count="1" selected="0">
            <x v="401"/>
          </reference>
          <reference field="10" count="1" selected="0">
            <x v="4"/>
          </reference>
          <reference field="11" count="1">
            <x v="39"/>
          </reference>
        </references>
      </pivotArea>
    </format>
    <format dxfId="216">
      <pivotArea dataOnly="0" labelOnly="1" outline="0" fieldPosition="0">
        <references count="3">
          <reference field="0" count="1" selected="0">
            <x v="402"/>
          </reference>
          <reference field="10" count="1" selected="0">
            <x v="4"/>
          </reference>
          <reference field="11" count="1">
            <x v="39"/>
          </reference>
        </references>
      </pivotArea>
    </format>
    <format dxfId="215">
      <pivotArea dataOnly="0" labelOnly="1" outline="0" fieldPosition="0">
        <references count="3">
          <reference field="0" count="1" selected="0">
            <x v="403"/>
          </reference>
          <reference field="10" count="1" selected="0">
            <x v="4"/>
          </reference>
          <reference field="11" count="1">
            <x v="39"/>
          </reference>
        </references>
      </pivotArea>
    </format>
    <format dxfId="214">
      <pivotArea dataOnly="0" labelOnly="1" outline="0" fieldPosition="0">
        <references count="3">
          <reference field="0" count="1" selected="0">
            <x v="404"/>
          </reference>
          <reference field="10" count="1" selected="0">
            <x v="4"/>
          </reference>
          <reference field="11" count="1">
            <x v="39"/>
          </reference>
        </references>
      </pivotArea>
    </format>
    <format dxfId="213">
      <pivotArea dataOnly="0" labelOnly="1" outline="0" fieldPosition="0">
        <references count="3">
          <reference field="0" count="1" selected="0">
            <x v="405"/>
          </reference>
          <reference field="10" count="1" selected="0">
            <x v="4"/>
          </reference>
          <reference field="11" count="1">
            <x v="39"/>
          </reference>
        </references>
      </pivotArea>
    </format>
    <format dxfId="212">
      <pivotArea dataOnly="0" labelOnly="1" outline="0" fieldPosition="0">
        <references count="3">
          <reference field="0" count="1" selected="0">
            <x v="406"/>
          </reference>
          <reference field="10" count="1" selected="0">
            <x v="4"/>
          </reference>
          <reference field="11" count="1">
            <x v="39"/>
          </reference>
        </references>
      </pivotArea>
    </format>
    <format dxfId="211">
      <pivotArea dataOnly="0" labelOnly="1" outline="0" fieldPosition="0">
        <references count="3">
          <reference field="0" count="1" selected="0">
            <x v="407"/>
          </reference>
          <reference field="10" count="1" selected="0">
            <x v="3"/>
          </reference>
          <reference field="11" count="1">
            <x v="39"/>
          </reference>
        </references>
      </pivotArea>
    </format>
    <format dxfId="210">
      <pivotArea dataOnly="0" labelOnly="1" outline="0" fieldPosition="0">
        <references count="3">
          <reference field="0" count="1" selected="0">
            <x v="408"/>
          </reference>
          <reference field="10" count="1" selected="0">
            <x v="0"/>
          </reference>
          <reference field="11" count="1">
            <x v="0"/>
          </reference>
        </references>
      </pivotArea>
    </format>
    <format dxfId="209">
      <pivotArea dataOnly="0" labelOnly="1" outline="0" fieldPosition="0">
        <references count="3">
          <reference field="0" count="1" selected="0">
            <x v="408"/>
          </reference>
          <reference field="10" count="1" selected="0">
            <x v="3"/>
          </reference>
          <reference field="11" count="1">
            <x v="39"/>
          </reference>
        </references>
      </pivotArea>
    </format>
    <format dxfId="208">
      <pivotArea dataOnly="0" labelOnly="1" outline="0" fieldPosition="0">
        <references count="3">
          <reference field="0" count="1" selected="0">
            <x v="410"/>
          </reference>
          <reference field="10" count="1" selected="0">
            <x v="3"/>
          </reference>
          <reference field="11" count="1">
            <x v="39"/>
          </reference>
        </references>
      </pivotArea>
    </format>
    <format dxfId="207">
      <pivotArea dataOnly="0" labelOnly="1" outline="0" fieldPosition="0">
        <references count="3">
          <reference field="0" count="1" selected="0">
            <x v="411"/>
          </reference>
          <reference field="10" count="1" selected="0">
            <x v="3"/>
          </reference>
          <reference field="11" count="1">
            <x v="39"/>
          </reference>
        </references>
      </pivotArea>
    </format>
    <format dxfId="206">
      <pivotArea dataOnly="0" labelOnly="1" outline="0" fieldPosition="0">
        <references count="3">
          <reference field="0" count="1" selected="0">
            <x v="412"/>
          </reference>
          <reference field="10" count="1" selected="0">
            <x v="3"/>
          </reference>
          <reference field="11" count="1">
            <x v="39"/>
          </reference>
        </references>
      </pivotArea>
    </format>
    <format dxfId="205">
      <pivotArea dataOnly="0" labelOnly="1" outline="0" fieldPosition="0">
        <references count="3">
          <reference field="0" count="1" selected="0">
            <x v="441"/>
          </reference>
          <reference field="10" count="1" selected="0">
            <x v="0"/>
          </reference>
          <reference field="11" count="1">
            <x v="22"/>
          </reference>
        </references>
      </pivotArea>
    </format>
    <format dxfId="204">
      <pivotArea dataOnly="0" labelOnly="1" outline="0" fieldPosition="0">
        <references count="3">
          <reference field="0" count="1" selected="0">
            <x v="474"/>
          </reference>
          <reference field="10" count="1" selected="0">
            <x v="0"/>
          </reference>
          <reference field="11" count="1">
            <x v="22"/>
          </reference>
        </references>
      </pivotArea>
    </format>
    <format dxfId="203">
      <pivotArea dataOnly="0" labelOnly="1" outline="0" fieldPosition="0">
        <references count="3">
          <reference field="0" count="1" selected="0">
            <x v="476"/>
          </reference>
          <reference field="10" count="1" selected="0">
            <x v="0"/>
          </reference>
          <reference field="11" count="2">
            <x v="10"/>
            <x v="39"/>
          </reference>
        </references>
      </pivotArea>
    </format>
    <format dxfId="202">
      <pivotArea dataOnly="0" labelOnly="1" outline="0" fieldPosition="0">
        <references count="3">
          <reference field="0" count="1" selected="0">
            <x v="477"/>
          </reference>
          <reference field="10" count="1" selected="0">
            <x v="0"/>
          </reference>
          <reference field="11" count="4">
            <x v="6"/>
            <x v="7"/>
            <x v="10"/>
            <x v="36"/>
          </reference>
        </references>
      </pivotArea>
    </format>
    <format dxfId="201">
      <pivotArea dataOnly="0" labelOnly="1" outline="0" fieldPosition="0">
        <references count="3">
          <reference field="0" count="1" selected="0">
            <x v="477"/>
          </reference>
          <reference field="10" count="1" selected="0">
            <x v="3"/>
          </reference>
          <reference field="11" count="2">
            <x v="7"/>
            <x v="36"/>
          </reference>
        </references>
      </pivotArea>
    </format>
    <format dxfId="200">
      <pivotArea dataOnly="0" labelOnly="1" outline="0" fieldPosition="0">
        <references count="3">
          <reference field="0" count="1" selected="0">
            <x v="478"/>
          </reference>
          <reference field="10" count="1" selected="0">
            <x v="0"/>
          </reference>
          <reference field="11" count="3">
            <x v="6"/>
            <x v="10"/>
            <x v="36"/>
          </reference>
        </references>
      </pivotArea>
    </format>
    <format dxfId="199">
      <pivotArea dataOnly="0" labelOnly="1" outline="0" fieldPosition="0">
        <references count="3">
          <reference field="0" count="1" selected="0">
            <x v="485"/>
          </reference>
          <reference field="10" count="1" selected="0">
            <x v="0"/>
          </reference>
          <reference field="11" count="2">
            <x v="10"/>
            <x v="15"/>
          </reference>
        </references>
      </pivotArea>
    </format>
    <format dxfId="198">
      <pivotArea dataOnly="0" labelOnly="1" outline="0" fieldPosition="0">
        <references count="3">
          <reference field="0" count="1" selected="0">
            <x v="485"/>
          </reference>
          <reference field="10" count="1" selected="0">
            <x v="3"/>
          </reference>
          <reference field="11" count="1">
            <x v="33"/>
          </reference>
        </references>
      </pivotArea>
    </format>
    <format dxfId="197">
      <pivotArea dataOnly="0" labelOnly="1" outline="0" fieldPosition="0">
        <references count="3">
          <reference field="0" count="1" selected="0">
            <x v="487"/>
          </reference>
          <reference field="10" count="1" selected="0">
            <x v="3"/>
          </reference>
          <reference field="11" count="1">
            <x v="39"/>
          </reference>
        </references>
      </pivotArea>
    </format>
    <format dxfId="196">
      <pivotArea dataOnly="0" labelOnly="1" outline="0" fieldPosition="0">
        <references count="3">
          <reference field="0" count="1" selected="0">
            <x v="489"/>
          </reference>
          <reference field="10" count="1" selected="0">
            <x v="3"/>
          </reference>
          <reference field="11" count="1">
            <x v="39"/>
          </reference>
        </references>
      </pivotArea>
    </format>
    <format dxfId="195">
      <pivotArea dataOnly="0" labelOnly="1" outline="0" fieldPosition="0">
        <references count="3">
          <reference field="0" count="1" selected="0">
            <x v="490"/>
          </reference>
          <reference field="10" count="1" selected="0">
            <x v="0"/>
          </reference>
          <reference field="11" count="2">
            <x v="10"/>
            <x v="39"/>
          </reference>
        </references>
      </pivotArea>
    </format>
    <format dxfId="194">
      <pivotArea dataOnly="0" labelOnly="1" outline="0" fieldPosition="0">
        <references count="3">
          <reference field="0" count="1" selected="0">
            <x v="491"/>
          </reference>
          <reference field="10" count="1" selected="0">
            <x v="0"/>
          </reference>
          <reference field="11" count="1">
            <x v="35"/>
          </reference>
        </references>
      </pivotArea>
    </format>
    <format dxfId="193">
      <pivotArea dataOnly="0" labelOnly="1" outline="0" fieldPosition="0">
        <references count="3">
          <reference field="0" count="1" selected="0">
            <x v="491"/>
          </reference>
          <reference field="10" count="1" selected="0">
            <x v="3"/>
          </reference>
          <reference field="11" count="1">
            <x v="39"/>
          </reference>
        </references>
      </pivotArea>
    </format>
    <format dxfId="192">
      <pivotArea dataOnly="0" labelOnly="1" outline="0" fieldPosition="0">
        <references count="3">
          <reference field="0" count="1" selected="0">
            <x v="498"/>
          </reference>
          <reference field="10" count="1" selected="0">
            <x v="0"/>
          </reference>
          <reference field="11" count="1">
            <x v="22"/>
          </reference>
        </references>
      </pivotArea>
    </format>
    <format dxfId="191">
      <pivotArea dataOnly="0" labelOnly="1" outline="0" fieldPosition="0">
        <references count="3">
          <reference field="0" count="1" selected="0">
            <x v="506"/>
          </reference>
          <reference field="10" count="1" selected="0">
            <x v="3"/>
          </reference>
          <reference field="11" count="1">
            <x v="39"/>
          </reference>
        </references>
      </pivotArea>
    </format>
    <format dxfId="190">
      <pivotArea dataOnly="0" labelOnly="1" outline="0" fieldPosition="0">
        <references count="3">
          <reference field="0" count="1" selected="0">
            <x v="511"/>
          </reference>
          <reference field="10" count="1" selected="0">
            <x v="3"/>
          </reference>
          <reference field="11" count="1">
            <x v="39"/>
          </reference>
        </references>
      </pivotArea>
    </format>
    <format dxfId="189">
      <pivotArea dataOnly="0" labelOnly="1" outline="0" fieldPosition="0">
        <references count="3">
          <reference field="0" count="1" selected="0">
            <x v="512"/>
          </reference>
          <reference field="10" count="1" selected="0">
            <x v="3"/>
          </reference>
          <reference field="11" count="1">
            <x v="39"/>
          </reference>
        </references>
      </pivotArea>
    </format>
    <format dxfId="188">
      <pivotArea dataOnly="0" labelOnly="1" outline="0" fieldPosition="0">
        <references count="3">
          <reference field="0" count="1" selected="0">
            <x v="513"/>
          </reference>
          <reference field="10" count="1" selected="0">
            <x v="3"/>
          </reference>
          <reference field="11" count="1">
            <x v="39"/>
          </reference>
        </references>
      </pivotArea>
    </format>
    <format dxfId="187">
      <pivotArea dataOnly="0" labelOnly="1" outline="0" fieldPosition="0">
        <references count="3">
          <reference field="0" count="1" selected="0">
            <x v="514"/>
          </reference>
          <reference field="10" count="1" selected="0">
            <x v="3"/>
          </reference>
          <reference field="11" count="1">
            <x v="39"/>
          </reference>
        </references>
      </pivotArea>
    </format>
    <format dxfId="186">
      <pivotArea dataOnly="0" labelOnly="1" outline="0" fieldPosition="0">
        <references count="3">
          <reference field="0" count="1" selected="0">
            <x v="517"/>
          </reference>
          <reference field="10" count="1" selected="0">
            <x v="3"/>
          </reference>
          <reference field="11" count="1">
            <x v="39"/>
          </reference>
        </references>
      </pivotArea>
    </format>
    <format dxfId="185">
      <pivotArea dataOnly="0" labelOnly="1" outline="0" fieldPosition="0">
        <references count="3">
          <reference field="0" count="1" selected="0">
            <x v="524"/>
          </reference>
          <reference field="10" count="1" selected="0">
            <x v="3"/>
          </reference>
          <reference field="11" count="1">
            <x v="33"/>
          </reference>
        </references>
      </pivotArea>
    </format>
    <format dxfId="184">
      <pivotArea dataOnly="0" labelOnly="1" outline="0" fieldPosition="0">
        <references count="3">
          <reference field="0" count="1" selected="0">
            <x v="528"/>
          </reference>
          <reference field="10" count="1" selected="0">
            <x v="0"/>
          </reference>
          <reference field="11" count="1">
            <x v="34"/>
          </reference>
        </references>
      </pivotArea>
    </format>
    <format dxfId="183">
      <pivotArea dataOnly="0" labelOnly="1" outline="0" fieldPosition="0">
        <references count="3">
          <reference field="0" count="1" selected="0">
            <x v="530"/>
          </reference>
          <reference field="10" count="1" selected="0">
            <x v="3"/>
          </reference>
          <reference field="11" count="1">
            <x v="39"/>
          </reference>
        </references>
      </pivotArea>
    </format>
    <format dxfId="182">
      <pivotArea dataOnly="0" labelOnly="1" outline="0" fieldPosition="0">
        <references count="3">
          <reference field="0" count="1" selected="0">
            <x v="536"/>
          </reference>
          <reference field="10" count="1" selected="0">
            <x v="3"/>
          </reference>
          <reference field="11" count="1">
            <x v="36"/>
          </reference>
        </references>
      </pivotArea>
    </format>
    <format dxfId="181">
      <pivotArea dataOnly="0" labelOnly="1" outline="0" fieldPosition="0">
        <references count="3">
          <reference field="0" count="1" selected="0">
            <x v="537"/>
          </reference>
          <reference field="10" count="1" selected="0">
            <x v="3"/>
          </reference>
          <reference field="11" count="1">
            <x v="36"/>
          </reference>
        </references>
      </pivotArea>
    </format>
    <format dxfId="180">
      <pivotArea dataOnly="0" labelOnly="1" outline="0" fieldPosition="0">
        <references count="3">
          <reference field="0" count="1" selected="0">
            <x v="538"/>
          </reference>
          <reference field="10" count="1" selected="0">
            <x v="3"/>
          </reference>
          <reference field="11" count="1">
            <x v="36"/>
          </reference>
        </references>
      </pivotArea>
    </format>
    <format dxfId="179">
      <pivotArea dataOnly="0" labelOnly="1" outline="0" fieldPosition="0">
        <references count="3">
          <reference field="0" count="1" selected="0">
            <x v="539"/>
          </reference>
          <reference field="10" count="1" selected="0">
            <x v="3"/>
          </reference>
          <reference field="11" count="1">
            <x v="36"/>
          </reference>
        </references>
      </pivotArea>
    </format>
    <format dxfId="178">
      <pivotArea dataOnly="0" labelOnly="1" outline="0" fieldPosition="0">
        <references count="3">
          <reference field="0" count="1" selected="0">
            <x v="540"/>
          </reference>
          <reference field="10" count="1" selected="0">
            <x v="0"/>
          </reference>
          <reference field="11" count="1">
            <x v="2"/>
          </reference>
        </references>
      </pivotArea>
    </format>
    <format dxfId="177">
      <pivotArea dataOnly="0" labelOnly="1" outline="0" fieldPosition="0">
        <references count="3">
          <reference field="0" count="1" selected="0">
            <x v="540"/>
          </reference>
          <reference field="10" count="1" selected="0">
            <x v="4"/>
          </reference>
          <reference field="11" count="1">
            <x v="39"/>
          </reference>
        </references>
      </pivotArea>
    </format>
    <format dxfId="176">
      <pivotArea dataOnly="0" labelOnly="1" outline="0" fieldPosition="0">
        <references count="3">
          <reference field="0" count="1" selected="0">
            <x v="541"/>
          </reference>
          <reference field="10" count="1" selected="0">
            <x v="3"/>
          </reference>
          <reference field="11" count="1">
            <x v="39"/>
          </reference>
        </references>
      </pivotArea>
    </format>
    <format dxfId="175">
      <pivotArea dataOnly="0" labelOnly="1" outline="0" fieldPosition="0">
        <references count="3">
          <reference field="0" count="1" selected="0">
            <x v="545"/>
          </reference>
          <reference field="10" count="1" selected="0">
            <x v="0"/>
          </reference>
          <reference field="11" count="1">
            <x v="39"/>
          </reference>
        </references>
      </pivotArea>
    </format>
    <format dxfId="174">
      <pivotArea dataOnly="0" labelOnly="1" outline="0" fieldPosition="0">
        <references count="3">
          <reference field="0" count="1" selected="0">
            <x v="548"/>
          </reference>
          <reference field="10" count="1" selected="0">
            <x v="3"/>
          </reference>
          <reference field="11" count="1">
            <x v="39"/>
          </reference>
        </references>
      </pivotArea>
    </format>
    <format dxfId="173">
      <pivotArea dataOnly="0" labelOnly="1" outline="0" fieldPosition="0">
        <references count="3">
          <reference field="0" count="1" selected="0">
            <x v="549"/>
          </reference>
          <reference field="10" count="1" selected="0">
            <x v="0"/>
          </reference>
          <reference field="11" count="1">
            <x v="44"/>
          </reference>
        </references>
      </pivotArea>
    </format>
    <format dxfId="172">
      <pivotArea field="10" type="button" dataOnly="0" labelOnly="1" outline="0" axis="axisRow" fieldPosition="1"/>
    </format>
    <format dxfId="171">
      <pivotArea dataOnly="0" labelOnly="1" outline="0" fieldPosition="0">
        <references count="2">
          <reference field="0" count="1" selected="0">
            <x v="0"/>
          </reference>
          <reference field="10" count="1">
            <x v="3"/>
          </reference>
        </references>
      </pivotArea>
    </format>
    <format dxfId="170">
      <pivotArea dataOnly="0" labelOnly="1" outline="0" fieldPosition="0">
        <references count="2">
          <reference field="0" count="1" selected="0">
            <x v="5"/>
          </reference>
          <reference field="10" count="2">
            <x v="0"/>
            <x v="3"/>
          </reference>
        </references>
      </pivotArea>
    </format>
    <format dxfId="169">
      <pivotArea dataOnly="0" labelOnly="1" outline="0" fieldPosition="0">
        <references count="2">
          <reference field="0" count="1" selected="0">
            <x v="6"/>
          </reference>
          <reference field="10" count="2">
            <x v="0"/>
            <x v="3"/>
          </reference>
        </references>
      </pivotArea>
    </format>
    <format dxfId="168">
      <pivotArea dataOnly="0" labelOnly="1" outline="0" fieldPosition="0">
        <references count="2">
          <reference field="0" count="1" selected="0">
            <x v="7"/>
          </reference>
          <reference field="10" count="1">
            <x v="2"/>
          </reference>
        </references>
      </pivotArea>
    </format>
    <format dxfId="167">
      <pivotArea dataOnly="0" labelOnly="1" outline="0" fieldPosition="0">
        <references count="2">
          <reference field="0" count="1" selected="0">
            <x v="8"/>
          </reference>
          <reference field="10" count="1">
            <x v="3"/>
          </reference>
        </references>
      </pivotArea>
    </format>
    <format dxfId="166">
      <pivotArea dataOnly="0" labelOnly="1" outline="0" fieldPosition="0">
        <references count="2">
          <reference field="0" count="1" selected="0">
            <x v="9"/>
          </reference>
          <reference field="10" count="2">
            <x v="2"/>
            <x v="3"/>
          </reference>
        </references>
      </pivotArea>
    </format>
    <format dxfId="165">
      <pivotArea dataOnly="0" labelOnly="1" outline="0" fieldPosition="0">
        <references count="2">
          <reference field="0" count="1" selected="0">
            <x v="12"/>
          </reference>
          <reference field="10" count="2">
            <x v="0"/>
            <x v="3"/>
          </reference>
        </references>
      </pivotArea>
    </format>
    <format dxfId="164">
      <pivotArea dataOnly="0" labelOnly="1" outline="0" fieldPosition="0">
        <references count="2">
          <reference field="0" count="1" selected="0">
            <x v="15"/>
          </reference>
          <reference field="10" count="1">
            <x v="4"/>
          </reference>
        </references>
      </pivotArea>
    </format>
    <format dxfId="163">
      <pivotArea dataOnly="0" labelOnly="1" outline="0" fieldPosition="0">
        <references count="2">
          <reference field="0" count="1" selected="0">
            <x v="18"/>
          </reference>
          <reference field="10" count="1">
            <x v="2"/>
          </reference>
        </references>
      </pivotArea>
    </format>
    <format dxfId="162">
      <pivotArea dataOnly="0" labelOnly="1" outline="0" fieldPosition="0">
        <references count="2">
          <reference field="0" count="1" selected="0">
            <x v="22"/>
          </reference>
          <reference field="10" count="2">
            <x v="0"/>
            <x v="3"/>
          </reference>
        </references>
      </pivotArea>
    </format>
    <format dxfId="161">
      <pivotArea dataOnly="0" labelOnly="1" outline="0" fieldPosition="0">
        <references count="2">
          <reference field="0" count="1" selected="0">
            <x v="27"/>
          </reference>
          <reference field="10" count="1">
            <x v="0"/>
          </reference>
        </references>
      </pivotArea>
    </format>
    <format dxfId="160">
      <pivotArea dataOnly="0" labelOnly="1" outline="0" fieldPosition="0">
        <references count="2">
          <reference field="0" count="1" selected="0">
            <x v="28"/>
          </reference>
          <reference field="10" count="2">
            <x v="3"/>
            <x v="4"/>
          </reference>
        </references>
      </pivotArea>
    </format>
    <format dxfId="159">
      <pivotArea dataOnly="0" labelOnly="1" outline="0" fieldPosition="0">
        <references count="2">
          <reference field="0" count="1" selected="0">
            <x v="29"/>
          </reference>
          <reference field="10" count="2">
            <x v="0"/>
            <x v="3"/>
          </reference>
        </references>
      </pivotArea>
    </format>
    <format dxfId="158">
      <pivotArea dataOnly="0" labelOnly="1" outline="0" fieldPosition="0">
        <references count="2">
          <reference field="0" count="1" selected="0">
            <x v="32"/>
          </reference>
          <reference field="10" count="1">
            <x v="2"/>
          </reference>
        </references>
      </pivotArea>
    </format>
    <format dxfId="157">
      <pivotArea dataOnly="0" labelOnly="1" outline="0" fieldPosition="0">
        <references count="2">
          <reference field="0" count="1" selected="0">
            <x v="33"/>
          </reference>
          <reference field="10" count="1">
            <x v="0"/>
          </reference>
        </references>
      </pivotArea>
    </format>
    <format dxfId="156">
      <pivotArea dataOnly="0" labelOnly="1" outline="0" fieldPosition="0">
        <references count="2">
          <reference field="0" count="1" selected="0">
            <x v="34"/>
          </reference>
          <reference field="10" count="1">
            <x v="3"/>
          </reference>
        </references>
      </pivotArea>
    </format>
    <format dxfId="155">
      <pivotArea dataOnly="0" labelOnly="1" outline="0" fieldPosition="0">
        <references count="2">
          <reference field="0" count="1" selected="0">
            <x v="36"/>
          </reference>
          <reference field="10" count="3">
            <x v="0"/>
            <x v="2"/>
            <x v="3"/>
          </reference>
        </references>
      </pivotArea>
    </format>
    <format dxfId="154">
      <pivotArea dataOnly="0" labelOnly="1" outline="0" fieldPosition="0">
        <references count="2">
          <reference field="0" count="1" selected="0">
            <x v="40"/>
          </reference>
          <reference field="10" count="1">
            <x v="0"/>
          </reference>
        </references>
      </pivotArea>
    </format>
    <format dxfId="153">
      <pivotArea dataOnly="0" labelOnly="1" outline="0" fieldPosition="0">
        <references count="2">
          <reference field="0" count="1" selected="0">
            <x v="50"/>
          </reference>
          <reference field="10" count="1">
            <x v="3"/>
          </reference>
        </references>
      </pivotArea>
    </format>
    <format dxfId="152">
      <pivotArea dataOnly="0" labelOnly="1" outline="0" fieldPosition="0">
        <references count="2">
          <reference field="0" count="1" selected="0">
            <x v="54"/>
          </reference>
          <reference field="10" count="2">
            <x v="0"/>
            <x v="3"/>
          </reference>
        </references>
      </pivotArea>
    </format>
    <format dxfId="151">
      <pivotArea dataOnly="0" labelOnly="1" outline="0" fieldPosition="0">
        <references count="2">
          <reference field="0" count="1" selected="0">
            <x v="55"/>
          </reference>
          <reference field="10" count="2">
            <x v="0"/>
            <x v="3"/>
          </reference>
        </references>
      </pivotArea>
    </format>
    <format dxfId="150">
      <pivotArea dataOnly="0" labelOnly="1" outline="0" fieldPosition="0">
        <references count="2">
          <reference field="0" count="1" selected="0">
            <x v="56"/>
          </reference>
          <reference field="10" count="2">
            <x v="0"/>
            <x v="3"/>
          </reference>
        </references>
      </pivotArea>
    </format>
    <format dxfId="149">
      <pivotArea dataOnly="0" labelOnly="1" outline="0" fieldPosition="0">
        <references count="2">
          <reference field="0" count="1" selected="0">
            <x v="61"/>
          </reference>
          <reference field="10" count="1">
            <x v="0"/>
          </reference>
        </references>
      </pivotArea>
    </format>
    <format dxfId="148">
      <pivotArea dataOnly="0" labelOnly="1" outline="0" fieldPosition="0">
        <references count="2">
          <reference field="0" count="1" selected="0">
            <x v="62"/>
          </reference>
          <reference field="10" count="1">
            <x v="1"/>
          </reference>
        </references>
      </pivotArea>
    </format>
    <format dxfId="147">
      <pivotArea dataOnly="0" labelOnly="1" outline="0" fieldPosition="0">
        <references count="2">
          <reference field="0" count="1" selected="0">
            <x v="63"/>
          </reference>
          <reference field="10" count="1">
            <x v="3"/>
          </reference>
        </references>
      </pivotArea>
    </format>
    <format dxfId="146">
      <pivotArea dataOnly="0" labelOnly="1" outline="0" fieldPosition="0">
        <references count="2">
          <reference field="0" count="1" selected="0">
            <x v="66"/>
          </reference>
          <reference field="10" count="1">
            <x v="0"/>
          </reference>
        </references>
      </pivotArea>
    </format>
    <format dxfId="145">
      <pivotArea dataOnly="0" labelOnly="1" outline="0" fieldPosition="0">
        <references count="2">
          <reference field="0" count="1" selected="0">
            <x v="68"/>
          </reference>
          <reference field="10" count="1">
            <x v="1"/>
          </reference>
        </references>
      </pivotArea>
    </format>
    <format dxfId="144">
      <pivotArea dataOnly="0" labelOnly="1" outline="0" fieldPosition="0">
        <references count="2">
          <reference field="0" count="1" selected="0">
            <x v="72"/>
          </reference>
          <reference field="10" count="2">
            <x v="0"/>
            <x v="3"/>
          </reference>
        </references>
      </pivotArea>
    </format>
    <format dxfId="143">
      <pivotArea dataOnly="0" labelOnly="1" outline="0" fieldPosition="0">
        <references count="2">
          <reference field="0" count="1" selected="0">
            <x v="77"/>
          </reference>
          <reference field="10" count="2">
            <x v="0"/>
            <x v="3"/>
          </reference>
        </references>
      </pivotArea>
    </format>
    <format dxfId="142">
      <pivotArea dataOnly="0" labelOnly="1" outline="0" fieldPosition="0">
        <references count="2">
          <reference field="0" count="1" selected="0">
            <x v="78"/>
          </reference>
          <reference field="10" count="2">
            <x v="0"/>
            <x v="3"/>
          </reference>
        </references>
      </pivotArea>
    </format>
    <format dxfId="141">
      <pivotArea dataOnly="0" labelOnly="1" outline="0" fieldPosition="0">
        <references count="2">
          <reference field="0" count="1" selected="0">
            <x v="79"/>
          </reference>
          <reference field="10" count="2">
            <x v="0"/>
            <x v="3"/>
          </reference>
        </references>
      </pivotArea>
    </format>
    <format dxfId="140">
      <pivotArea dataOnly="0" labelOnly="1" outline="0" fieldPosition="0">
        <references count="2">
          <reference field="0" count="1" selected="0">
            <x v="80"/>
          </reference>
          <reference field="10" count="2">
            <x v="0"/>
            <x v="3"/>
          </reference>
        </references>
      </pivotArea>
    </format>
    <format dxfId="139">
      <pivotArea dataOnly="0" labelOnly="1" outline="0" fieldPosition="0">
        <references count="2">
          <reference field="0" count="1" selected="0">
            <x v="82"/>
          </reference>
          <reference field="10" count="2">
            <x v="0"/>
            <x v="4"/>
          </reference>
        </references>
      </pivotArea>
    </format>
    <format dxfId="138">
      <pivotArea dataOnly="0" labelOnly="1" outline="0" fieldPosition="0">
        <references count="2">
          <reference field="0" count="1" selected="0">
            <x v="99"/>
          </reference>
          <reference field="10" count="1">
            <x v="0"/>
          </reference>
        </references>
      </pivotArea>
    </format>
    <format dxfId="137">
      <pivotArea dataOnly="0" labelOnly="1" outline="0" fieldPosition="0">
        <references count="2">
          <reference field="0" count="1" selected="0">
            <x v="105"/>
          </reference>
          <reference field="10" count="1">
            <x v="3"/>
          </reference>
        </references>
      </pivotArea>
    </format>
    <format dxfId="136">
      <pivotArea dataOnly="0" labelOnly="1" outline="0" fieldPosition="0">
        <references count="2">
          <reference field="0" count="1" selected="0">
            <x v="116"/>
          </reference>
          <reference field="10" count="1">
            <x v="1"/>
          </reference>
        </references>
      </pivotArea>
    </format>
    <format dxfId="135">
      <pivotArea dataOnly="0" labelOnly="1" outline="0" fieldPosition="0">
        <references count="2">
          <reference field="0" count="1" selected="0">
            <x v="119"/>
          </reference>
          <reference field="10" count="2">
            <x v="0"/>
            <x v="4"/>
          </reference>
        </references>
      </pivotArea>
    </format>
    <format dxfId="134">
      <pivotArea dataOnly="0" labelOnly="1" outline="0" fieldPosition="0">
        <references count="2">
          <reference field="0" count="1" selected="0">
            <x v="122"/>
          </reference>
          <reference field="10" count="2">
            <x v="0"/>
            <x v="3"/>
          </reference>
        </references>
      </pivotArea>
    </format>
    <format dxfId="133">
      <pivotArea dataOnly="0" labelOnly="1" outline="0" fieldPosition="0">
        <references count="2">
          <reference field="0" count="1" selected="0">
            <x v="133"/>
          </reference>
          <reference field="10" count="1">
            <x v="1"/>
          </reference>
        </references>
      </pivotArea>
    </format>
    <format dxfId="132">
      <pivotArea dataOnly="0" labelOnly="1" outline="0" fieldPosition="0">
        <references count="2">
          <reference field="0" count="1" selected="0">
            <x v="134"/>
          </reference>
          <reference field="10" count="2">
            <x v="0"/>
            <x v="1"/>
          </reference>
        </references>
      </pivotArea>
    </format>
    <format dxfId="131">
      <pivotArea dataOnly="0" labelOnly="1" outline="0" fieldPosition="0">
        <references count="2">
          <reference field="0" count="1" selected="0">
            <x v="135"/>
          </reference>
          <reference field="10" count="1">
            <x v="3"/>
          </reference>
        </references>
      </pivotArea>
    </format>
    <format dxfId="130">
      <pivotArea dataOnly="0" labelOnly="1" outline="0" fieldPosition="0">
        <references count="2">
          <reference field="0" count="1" selected="0">
            <x v="136"/>
          </reference>
          <reference field="10" count="1">
            <x v="1"/>
          </reference>
        </references>
      </pivotArea>
    </format>
    <format dxfId="129">
      <pivotArea dataOnly="0" labelOnly="1" outline="0" fieldPosition="0">
        <references count="2">
          <reference field="0" count="1" selected="0">
            <x v="139"/>
          </reference>
          <reference field="10" count="2">
            <x v="0"/>
            <x v="3"/>
          </reference>
        </references>
      </pivotArea>
    </format>
    <format dxfId="128">
      <pivotArea dataOnly="0" labelOnly="1" outline="0" fieldPosition="0">
        <references count="2">
          <reference field="0" count="1" selected="0">
            <x v="141"/>
          </reference>
          <reference field="10" count="2">
            <x v="2"/>
            <x v="3"/>
          </reference>
        </references>
      </pivotArea>
    </format>
    <format dxfId="127">
      <pivotArea dataOnly="0" labelOnly="1" outline="0" fieldPosition="0">
        <references count="2">
          <reference field="0" count="1" selected="0">
            <x v="147"/>
          </reference>
          <reference field="10" count="1">
            <x v="0"/>
          </reference>
        </references>
      </pivotArea>
    </format>
    <format dxfId="126">
      <pivotArea dataOnly="0" labelOnly="1" outline="0" fieldPosition="0">
        <references count="2">
          <reference field="0" count="1" selected="0">
            <x v="163"/>
          </reference>
          <reference field="10" count="1">
            <x v="3"/>
          </reference>
        </references>
      </pivotArea>
    </format>
    <format dxfId="125">
      <pivotArea dataOnly="0" labelOnly="1" outline="0" fieldPosition="0">
        <references count="2">
          <reference field="0" count="1" selected="0">
            <x v="164"/>
          </reference>
          <reference field="10" count="2">
            <x v="0"/>
            <x v="3"/>
          </reference>
        </references>
      </pivotArea>
    </format>
    <format dxfId="124">
      <pivotArea dataOnly="0" labelOnly="1" outline="0" fieldPosition="0">
        <references count="2">
          <reference field="0" count="1" selected="0">
            <x v="177"/>
          </reference>
          <reference field="10" count="2">
            <x v="0"/>
            <x v="3"/>
          </reference>
        </references>
      </pivotArea>
    </format>
    <format dxfId="123">
      <pivotArea dataOnly="0" labelOnly="1" outline="0" fieldPosition="0">
        <references count="2">
          <reference field="0" count="1" selected="0">
            <x v="179"/>
          </reference>
          <reference field="10" count="1">
            <x v="0"/>
          </reference>
        </references>
      </pivotArea>
    </format>
    <format dxfId="122">
      <pivotArea dataOnly="0" labelOnly="1" outline="0" fieldPosition="0">
        <references count="2">
          <reference field="0" count="1" selected="0">
            <x v="180"/>
          </reference>
          <reference field="10" count="1">
            <x v="3"/>
          </reference>
        </references>
      </pivotArea>
    </format>
    <format dxfId="121">
      <pivotArea dataOnly="0" labelOnly="1" outline="0" fieldPosition="0">
        <references count="2">
          <reference field="0" count="1" selected="0">
            <x v="187"/>
          </reference>
          <reference field="10" count="1">
            <x v="0"/>
          </reference>
        </references>
      </pivotArea>
    </format>
    <format dxfId="120">
      <pivotArea dataOnly="0" labelOnly="1" outline="0" fieldPosition="0">
        <references count="2">
          <reference field="0" count="1" selected="0">
            <x v="189"/>
          </reference>
          <reference field="10" count="1">
            <x v="3"/>
          </reference>
        </references>
      </pivotArea>
    </format>
    <format dxfId="119">
      <pivotArea dataOnly="0" labelOnly="1" outline="0" fieldPosition="0">
        <references count="2">
          <reference field="0" count="1" selected="0">
            <x v="190"/>
          </reference>
          <reference field="10" count="1">
            <x v="0"/>
          </reference>
        </references>
      </pivotArea>
    </format>
    <format dxfId="118">
      <pivotArea dataOnly="0" labelOnly="1" outline="0" fieldPosition="0">
        <references count="2">
          <reference field="0" count="1" selected="0">
            <x v="198"/>
          </reference>
          <reference field="10" count="1">
            <x v="3"/>
          </reference>
        </references>
      </pivotArea>
    </format>
    <format dxfId="117">
      <pivotArea dataOnly="0" labelOnly="1" outline="0" fieldPosition="0">
        <references count="2">
          <reference field="0" count="1" selected="0">
            <x v="207"/>
          </reference>
          <reference field="10" count="1">
            <x v="0"/>
          </reference>
        </references>
      </pivotArea>
    </format>
    <format dxfId="116">
      <pivotArea dataOnly="0" labelOnly="1" outline="0" fieldPosition="0">
        <references count="2">
          <reference field="0" count="1" selected="0">
            <x v="209"/>
          </reference>
          <reference field="10" count="1">
            <x v="3"/>
          </reference>
        </references>
      </pivotArea>
    </format>
    <format dxfId="115">
      <pivotArea dataOnly="0" labelOnly="1" outline="0" fieldPosition="0">
        <references count="2">
          <reference field="0" count="1" selected="0">
            <x v="218"/>
          </reference>
          <reference field="10" count="1">
            <x v="0"/>
          </reference>
        </references>
      </pivotArea>
    </format>
    <format dxfId="114">
      <pivotArea dataOnly="0" labelOnly="1" outline="0" fieldPosition="0">
        <references count="2">
          <reference field="0" count="1" selected="0">
            <x v="222"/>
          </reference>
          <reference field="10" count="1">
            <x v="3"/>
          </reference>
        </references>
      </pivotArea>
    </format>
    <format dxfId="113">
      <pivotArea dataOnly="0" labelOnly="1" outline="0" fieldPosition="0">
        <references count="2">
          <reference field="0" count="1" selected="0">
            <x v="223"/>
          </reference>
          <reference field="10" count="2">
            <x v="0"/>
            <x v="3"/>
          </reference>
        </references>
      </pivotArea>
    </format>
    <format dxfId="112">
      <pivotArea dataOnly="0" labelOnly="1" outline="0" fieldPosition="0">
        <references count="2">
          <reference field="0" count="1" selected="0">
            <x v="225"/>
          </reference>
          <reference field="10" count="1">
            <x v="0"/>
          </reference>
        </references>
      </pivotArea>
    </format>
    <format dxfId="111">
      <pivotArea dataOnly="0" labelOnly="1" outline="0" fieldPosition="0">
        <references count="2">
          <reference field="0" count="1" selected="0">
            <x v="228"/>
          </reference>
          <reference field="10" count="1">
            <x v="3"/>
          </reference>
        </references>
      </pivotArea>
    </format>
    <format dxfId="110">
      <pivotArea dataOnly="0" labelOnly="1" outline="0" fieldPosition="0">
        <references count="2">
          <reference field="0" count="1" selected="0">
            <x v="233"/>
          </reference>
          <reference field="10" count="1">
            <x v="0"/>
          </reference>
        </references>
      </pivotArea>
    </format>
    <format dxfId="109">
      <pivotArea dataOnly="0" labelOnly="1" outline="0" fieldPosition="0">
        <references count="2">
          <reference field="0" count="1" selected="0">
            <x v="234"/>
          </reference>
          <reference field="10" count="1">
            <x v="3"/>
          </reference>
        </references>
      </pivotArea>
    </format>
    <format dxfId="108">
      <pivotArea dataOnly="0" labelOnly="1" outline="0" fieldPosition="0">
        <references count="2">
          <reference field="0" count="1" selected="0">
            <x v="237"/>
          </reference>
          <reference field="10" count="1">
            <x v="0"/>
          </reference>
        </references>
      </pivotArea>
    </format>
    <format dxfId="107">
      <pivotArea dataOnly="0" labelOnly="1" outline="0" fieldPosition="0">
        <references count="2">
          <reference field="0" count="1" selected="0">
            <x v="238"/>
          </reference>
          <reference field="10" count="1">
            <x v="3"/>
          </reference>
        </references>
      </pivotArea>
    </format>
    <format dxfId="106">
      <pivotArea dataOnly="0" labelOnly="1" outline="0" fieldPosition="0">
        <references count="2">
          <reference field="0" count="1" selected="0">
            <x v="241"/>
          </reference>
          <reference field="10" count="1">
            <x v="0"/>
          </reference>
        </references>
      </pivotArea>
    </format>
    <format dxfId="105">
      <pivotArea dataOnly="0" labelOnly="1" outline="0" fieldPosition="0">
        <references count="2">
          <reference field="0" count="1" selected="0">
            <x v="247"/>
          </reference>
          <reference field="10" count="1">
            <x v="3"/>
          </reference>
        </references>
      </pivotArea>
    </format>
    <format dxfId="104">
      <pivotArea dataOnly="0" labelOnly="1" outline="0" fieldPosition="0">
        <references count="2">
          <reference field="0" count="1" selected="0">
            <x v="253"/>
          </reference>
          <reference field="10" count="2">
            <x v="0"/>
            <x v="4"/>
          </reference>
        </references>
      </pivotArea>
    </format>
    <format dxfId="103">
      <pivotArea dataOnly="0" labelOnly="1" outline="0" fieldPosition="0">
        <references count="2">
          <reference field="0" count="1" selected="0">
            <x v="254"/>
          </reference>
          <reference field="10" count="2">
            <x v="0"/>
            <x v="3"/>
          </reference>
        </references>
      </pivotArea>
    </format>
    <format dxfId="102">
      <pivotArea dataOnly="0" labelOnly="1" outline="0" fieldPosition="0">
        <references count="2">
          <reference field="0" count="1" selected="0">
            <x v="255"/>
          </reference>
          <reference field="10" count="2">
            <x v="0"/>
            <x v="4"/>
          </reference>
        </references>
      </pivotArea>
    </format>
    <format dxfId="101">
      <pivotArea dataOnly="0" labelOnly="1" outline="0" fieldPosition="0">
        <references count="2">
          <reference field="0" count="1" selected="0">
            <x v="258"/>
          </reference>
          <reference field="10" count="1">
            <x v="3"/>
          </reference>
        </references>
      </pivotArea>
    </format>
    <format dxfId="100">
      <pivotArea dataOnly="0" labelOnly="1" outline="0" fieldPosition="0">
        <references count="2">
          <reference field="0" count="1" selected="0">
            <x v="267"/>
          </reference>
          <reference field="10" count="1">
            <x v="0"/>
          </reference>
        </references>
      </pivotArea>
    </format>
    <format dxfId="99">
      <pivotArea dataOnly="0" labelOnly="1" outline="0" fieldPosition="0">
        <references count="2">
          <reference field="0" count="1" selected="0">
            <x v="272"/>
          </reference>
          <reference field="10" count="1">
            <x v="3"/>
          </reference>
        </references>
      </pivotArea>
    </format>
    <format dxfId="98">
      <pivotArea dataOnly="0" labelOnly="1" outline="0" fieldPosition="0">
        <references count="2">
          <reference field="0" count="1" selected="0">
            <x v="277"/>
          </reference>
          <reference field="10" count="2">
            <x v="0"/>
            <x v="2"/>
          </reference>
        </references>
      </pivotArea>
    </format>
    <format dxfId="97">
      <pivotArea dataOnly="0" labelOnly="1" outline="0" fieldPosition="0">
        <references count="2">
          <reference field="0" count="1" selected="0">
            <x v="278"/>
          </reference>
          <reference field="10" count="1">
            <x v="0"/>
          </reference>
        </references>
      </pivotArea>
    </format>
    <format dxfId="96">
      <pivotArea dataOnly="0" labelOnly="1" outline="0" fieldPosition="0">
        <references count="2">
          <reference field="0" count="1" selected="0">
            <x v="288"/>
          </reference>
          <reference field="10" count="1">
            <x v="3"/>
          </reference>
        </references>
      </pivotArea>
    </format>
    <format dxfId="95">
      <pivotArea dataOnly="0" labelOnly="1" outline="0" fieldPosition="0">
        <references count="2">
          <reference field="0" count="1" selected="0">
            <x v="294"/>
          </reference>
          <reference field="10" count="1">
            <x v="0"/>
          </reference>
        </references>
      </pivotArea>
    </format>
    <format dxfId="94">
      <pivotArea dataOnly="0" labelOnly="1" outline="0" fieldPosition="0">
        <references count="2">
          <reference field="0" count="1" selected="0">
            <x v="295"/>
          </reference>
          <reference field="10" count="1">
            <x v="3"/>
          </reference>
        </references>
      </pivotArea>
    </format>
    <format dxfId="93">
      <pivotArea dataOnly="0" labelOnly="1" outline="0" fieldPosition="0">
        <references count="2">
          <reference field="0" count="1" selected="0">
            <x v="296"/>
          </reference>
          <reference field="10" count="1">
            <x v="0"/>
          </reference>
        </references>
      </pivotArea>
    </format>
    <format dxfId="92">
      <pivotArea dataOnly="0" labelOnly="1" outline="0" fieldPosition="0">
        <references count="2">
          <reference field="0" count="1" selected="0">
            <x v="298"/>
          </reference>
          <reference field="10" count="1">
            <x v="3"/>
          </reference>
        </references>
      </pivotArea>
    </format>
    <format dxfId="91">
      <pivotArea dataOnly="0" labelOnly="1" outline="0" fieldPosition="0">
        <references count="2">
          <reference field="0" count="1" selected="0">
            <x v="341"/>
          </reference>
          <reference field="10" count="1">
            <x v="0"/>
          </reference>
        </references>
      </pivotArea>
    </format>
    <format dxfId="90">
      <pivotArea dataOnly="0" labelOnly="1" outline="0" fieldPosition="0">
        <references count="2">
          <reference field="0" count="1" selected="0">
            <x v="342"/>
          </reference>
          <reference field="10" count="1">
            <x v="3"/>
          </reference>
        </references>
      </pivotArea>
    </format>
    <format dxfId="89">
      <pivotArea dataOnly="0" labelOnly="1" outline="0" fieldPosition="0">
        <references count="2">
          <reference field="0" count="1" selected="0">
            <x v="345"/>
          </reference>
          <reference field="10" count="2">
            <x v="0"/>
            <x v="3"/>
          </reference>
        </references>
      </pivotArea>
    </format>
    <format dxfId="88">
      <pivotArea dataOnly="0" labelOnly="1" outline="0" fieldPosition="0">
        <references count="2">
          <reference field="0" count="1" selected="0">
            <x v="346"/>
          </reference>
          <reference field="10" count="2">
            <x v="0"/>
            <x v="3"/>
          </reference>
        </references>
      </pivotArea>
    </format>
    <format dxfId="87">
      <pivotArea dataOnly="0" labelOnly="1" outline="0" fieldPosition="0">
        <references count="2">
          <reference field="0" count="1" selected="0">
            <x v="348"/>
          </reference>
          <reference field="10" count="1">
            <x v="0"/>
          </reference>
        </references>
      </pivotArea>
    </format>
    <format dxfId="86">
      <pivotArea dataOnly="0" labelOnly="1" outline="0" fieldPosition="0">
        <references count="2">
          <reference field="0" count="1" selected="0">
            <x v="349"/>
          </reference>
          <reference field="10" count="1">
            <x v="3"/>
          </reference>
        </references>
      </pivotArea>
    </format>
    <format dxfId="85">
      <pivotArea dataOnly="0" labelOnly="1" outline="0" fieldPosition="0">
        <references count="2">
          <reference field="0" count="1" selected="0">
            <x v="353"/>
          </reference>
          <reference field="10" count="2">
            <x v="0"/>
            <x v="2"/>
          </reference>
        </references>
      </pivotArea>
    </format>
    <format dxfId="84">
      <pivotArea dataOnly="0" labelOnly="1" outline="0" fieldPosition="0">
        <references count="2">
          <reference field="0" count="1" selected="0">
            <x v="354"/>
          </reference>
          <reference field="10" count="1">
            <x v="0"/>
          </reference>
        </references>
      </pivotArea>
    </format>
    <format dxfId="83">
      <pivotArea dataOnly="0" labelOnly="1" outline="0" fieldPosition="0">
        <references count="2">
          <reference field="0" count="1" selected="0">
            <x v="355"/>
          </reference>
          <reference field="10" count="1">
            <x v="3"/>
          </reference>
        </references>
      </pivotArea>
    </format>
    <format dxfId="82">
      <pivotArea dataOnly="0" labelOnly="1" outline="0" fieldPosition="0">
        <references count="2">
          <reference field="0" count="1" selected="0">
            <x v="360"/>
          </reference>
          <reference field="10" count="2">
            <x v="2"/>
            <x v="4"/>
          </reference>
        </references>
      </pivotArea>
    </format>
    <format dxfId="81">
      <pivotArea dataOnly="0" labelOnly="1" outline="0" fieldPosition="0">
        <references count="2">
          <reference field="0" count="1" selected="0">
            <x v="361"/>
          </reference>
          <reference field="10" count="1">
            <x v="3"/>
          </reference>
        </references>
      </pivotArea>
    </format>
    <format dxfId="80">
      <pivotArea dataOnly="0" labelOnly="1" outline="0" fieldPosition="0">
        <references count="2">
          <reference field="0" count="1" selected="0">
            <x v="396"/>
          </reference>
          <reference field="10" count="1">
            <x v="0"/>
          </reference>
        </references>
      </pivotArea>
    </format>
    <format dxfId="79">
      <pivotArea dataOnly="0" labelOnly="1" outline="0" fieldPosition="0">
        <references count="2">
          <reference field="0" count="1" selected="0">
            <x v="398"/>
          </reference>
          <reference field="10" count="1">
            <x v="3"/>
          </reference>
        </references>
      </pivotArea>
    </format>
    <format dxfId="78">
      <pivotArea dataOnly="0" labelOnly="1" outline="0" fieldPosition="0">
        <references count="2">
          <reference field="0" count="1" selected="0">
            <x v="401"/>
          </reference>
          <reference field="10" count="1">
            <x v="4"/>
          </reference>
        </references>
      </pivotArea>
    </format>
    <format dxfId="77">
      <pivotArea dataOnly="0" labelOnly="1" outline="0" fieldPosition="0">
        <references count="2">
          <reference field="0" count="1" selected="0">
            <x v="407"/>
          </reference>
          <reference field="10" count="1">
            <x v="3"/>
          </reference>
        </references>
      </pivotArea>
    </format>
    <format dxfId="76">
      <pivotArea dataOnly="0" labelOnly="1" outline="0" fieldPosition="0">
        <references count="2">
          <reference field="0" count="1" selected="0">
            <x v="408"/>
          </reference>
          <reference field="10" count="2">
            <x v="0"/>
            <x v="3"/>
          </reference>
        </references>
      </pivotArea>
    </format>
    <format dxfId="75">
      <pivotArea dataOnly="0" labelOnly="1" outline="0" fieldPosition="0">
        <references count="2">
          <reference field="0" count="1" selected="0">
            <x v="413"/>
          </reference>
          <reference field="10" count="1">
            <x v="2"/>
          </reference>
        </references>
      </pivotArea>
    </format>
    <format dxfId="74">
      <pivotArea dataOnly="0" labelOnly="1" outline="0" fieldPosition="0">
        <references count="2">
          <reference field="0" count="1" selected="0">
            <x v="441"/>
          </reference>
          <reference field="10" count="1">
            <x v="0"/>
          </reference>
        </references>
      </pivotArea>
    </format>
    <format dxfId="73">
      <pivotArea dataOnly="0" labelOnly="1" outline="0" fieldPosition="0">
        <references count="2">
          <reference field="0" count="1" selected="0">
            <x v="477"/>
          </reference>
          <reference field="10" count="1">
            <x v="3"/>
          </reference>
        </references>
      </pivotArea>
    </format>
    <format dxfId="72">
      <pivotArea dataOnly="0" labelOnly="1" outline="0" fieldPosition="0">
        <references count="2">
          <reference field="0" count="1" selected="0">
            <x v="478"/>
          </reference>
          <reference field="10" count="1">
            <x v="0"/>
          </reference>
        </references>
      </pivotArea>
    </format>
    <format dxfId="71">
      <pivotArea dataOnly="0" labelOnly="1" outline="0" fieldPosition="0">
        <references count="2">
          <reference field="0" count="1" selected="0">
            <x v="485"/>
          </reference>
          <reference field="10" count="1">
            <x v="3"/>
          </reference>
        </references>
      </pivotArea>
    </format>
    <format dxfId="70">
      <pivotArea dataOnly="0" labelOnly="1" outline="0" fieldPosition="0">
        <references count="2">
          <reference field="0" count="1" selected="0">
            <x v="487"/>
          </reference>
          <reference field="10" count="2">
            <x v="2"/>
            <x v="3"/>
          </reference>
        </references>
      </pivotArea>
    </format>
    <format dxfId="69">
      <pivotArea dataOnly="0" labelOnly="1" outline="0" fieldPosition="0">
        <references count="2">
          <reference field="0" count="1" selected="0">
            <x v="490"/>
          </reference>
          <reference field="10" count="1">
            <x v="0"/>
          </reference>
        </references>
      </pivotArea>
    </format>
    <format dxfId="68">
      <pivotArea dataOnly="0" labelOnly="1" outline="0" fieldPosition="0">
        <references count="2">
          <reference field="0" count="1" selected="0">
            <x v="491"/>
          </reference>
          <reference field="10" count="1">
            <x v="3"/>
          </reference>
        </references>
      </pivotArea>
    </format>
    <format dxfId="67">
      <pivotArea dataOnly="0" labelOnly="1" outline="0" fieldPosition="0">
        <references count="2">
          <reference field="0" count="1" selected="0">
            <x v="498"/>
          </reference>
          <reference field="10" count="1">
            <x v="0"/>
          </reference>
        </references>
      </pivotArea>
    </format>
    <format dxfId="66">
      <pivotArea dataOnly="0" labelOnly="1" outline="0" fieldPosition="0">
        <references count="2">
          <reference field="0" count="1" selected="0">
            <x v="506"/>
          </reference>
          <reference field="10" count="1">
            <x v="3"/>
          </reference>
        </references>
      </pivotArea>
    </format>
    <format dxfId="65">
      <pivotArea dataOnly="0" labelOnly="1" outline="0" fieldPosition="0">
        <references count="2">
          <reference field="0" count="1" selected="0">
            <x v="511"/>
          </reference>
          <reference field="10" count="2">
            <x v="2"/>
            <x v="3"/>
          </reference>
        </references>
      </pivotArea>
    </format>
    <format dxfId="64">
      <pivotArea dataOnly="0" labelOnly="1" outline="0" fieldPosition="0">
        <references count="2">
          <reference field="0" count="1" selected="0">
            <x v="514"/>
          </reference>
          <reference field="10" count="2">
            <x v="0"/>
            <x v="3"/>
          </reference>
        </references>
      </pivotArea>
    </format>
    <format dxfId="63">
      <pivotArea dataOnly="0" labelOnly="1" outline="0" fieldPosition="0">
        <references count="2">
          <reference field="0" count="1" selected="0">
            <x v="528"/>
          </reference>
          <reference field="10" count="1">
            <x v="0"/>
          </reference>
        </references>
      </pivotArea>
    </format>
    <format dxfId="62">
      <pivotArea dataOnly="0" labelOnly="1" outline="0" fieldPosition="0">
        <references count="2">
          <reference field="0" count="1" selected="0">
            <x v="530"/>
          </reference>
          <reference field="10" count="1">
            <x v="3"/>
          </reference>
        </references>
      </pivotArea>
    </format>
    <format dxfId="61">
      <pivotArea dataOnly="0" labelOnly="1" outline="0" fieldPosition="0">
        <references count="2">
          <reference field="0" count="1" selected="0">
            <x v="540"/>
          </reference>
          <reference field="10" count="2">
            <x v="0"/>
            <x v="4"/>
          </reference>
        </references>
      </pivotArea>
    </format>
    <format dxfId="60">
      <pivotArea dataOnly="0" labelOnly="1" outline="0" fieldPosition="0">
        <references count="2">
          <reference field="0" count="1" selected="0">
            <x v="541"/>
          </reference>
          <reference field="10" count="1">
            <x v="3"/>
          </reference>
        </references>
      </pivotArea>
    </format>
    <format dxfId="59">
      <pivotArea dataOnly="0" labelOnly="1" outline="0" fieldPosition="0">
        <references count="2">
          <reference field="0" count="1" selected="0">
            <x v="545"/>
          </reference>
          <reference field="10" count="1">
            <x v="0"/>
          </reference>
        </references>
      </pivotArea>
    </format>
    <format dxfId="58">
      <pivotArea dataOnly="0" labelOnly="1" outline="0" fieldPosition="0">
        <references count="2">
          <reference field="0" count="1" selected="0">
            <x v="548"/>
          </reference>
          <reference field="10" count="1">
            <x v="3"/>
          </reference>
        </references>
      </pivotArea>
    </format>
    <format dxfId="57">
      <pivotArea dataOnly="0" labelOnly="1" outline="0" fieldPosition="0">
        <references count="2">
          <reference field="0" count="1" selected="0">
            <x v="549"/>
          </reference>
          <reference field="10" count="1">
            <x v="0"/>
          </reference>
        </references>
      </pivotArea>
    </format>
    <format dxfId="56">
      <pivotArea field="11" type="button" dataOnly="0" labelOnly="1" outline="0" axis="axisRow" fieldPosition="2"/>
    </format>
    <format dxfId="55">
      <pivotArea dataOnly="0" labelOnly="1" outline="0" fieldPosition="0">
        <references count="3">
          <reference field="0" count="1" selected="0">
            <x v="7"/>
          </reference>
          <reference field="10" count="0" selected="0"/>
          <reference field="11" count="1">
            <x v="26"/>
          </reference>
        </references>
      </pivotArea>
    </format>
    <format dxfId="54">
      <pivotArea dataOnly="0" labelOnly="1" outline="0" fieldPosition="0">
        <references count="3">
          <reference field="0" count="1" selected="0">
            <x v="9"/>
          </reference>
          <reference field="10" count="0" selected="0"/>
          <reference field="11" count="1">
            <x v="25"/>
          </reference>
        </references>
      </pivotArea>
    </format>
    <format dxfId="53">
      <pivotArea dataOnly="0" labelOnly="1" outline="0" fieldPosition="0">
        <references count="3">
          <reference field="0" count="1" selected="0">
            <x v="18"/>
          </reference>
          <reference field="10" count="0" selected="0"/>
          <reference field="11" count="1">
            <x v="25"/>
          </reference>
        </references>
      </pivotArea>
    </format>
    <format dxfId="52">
      <pivotArea dataOnly="0" labelOnly="1" outline="0" fieldPosition="0">
        <references count="3">
          <reference field="0" count="1" selected="0">
            <x v="32"/>
          </reference>
          <reference field="10" count="0" selected="0"/>
          <reference field="11" count="1">
            <x v="25"/>
          </reference>
        </references>
      </pivotArea>
    </format>
    <format dxfId="51">
      <pivotArea dataOnly="0" labelOnly="1" outline="0" fieldPosition="0">
        <references count="3">
          <reference field="0" count="1" selected="0">
            <x v="36"/>
          </reference>
          <reference field="10" count="0" selected="0"/>
          <reference field="11" count="1">
            <x v="27"/>
          </reference>
        </references>
      </pivotArea>
    </format>
    <format dxfId="50">
      <pivotArea dataOnly="0" labelOnly="1" outline="0" fieldPosition="0">
        <references count="3">
          <reference field="0" count="1" selected="0">
            <x v="141"/>
          </reference>
          <reference field="10" count="0" selected="0"/>
          <reference field="11" count="1">
            <x v="25"/>
          </reference>
        </references>
      </pivotArea>
    </format>
    <format dxfId="49">
      <pivotArea dataOnly="0" labelOnly="1" outline="0" fieldPosition="0">
        <references count="3">
          <reference field="0" count="1" selected="0">
            <x v="207"/>
          </reference>
          <reference field="10" count="0" selected="0"/>
          <reference field="11" count="1">
            <x v="25"/>
          </reference>
        </references>
      </pivotArea>
    </format>
    <format dxfId="48">
      <pivotArea dataOnly="0" labelOnly="1" outline="0" fieldPosition="0">
        <references count="3">
          <reference field="0" count="1" selected="0">
            <x v="277"/>
          </reference>
          <reference field="10" count="0" selected="0"/>
          <reference field="11" count="1">
            <x v="29"/>
          </reference>
        </references>
      </pivotArea>
    </format>
    <format dxfId="47">
      <pivotArea dataOnly="0" labelOnly="1" outline="0" fieldPosition="0">
        <references count="3">
          <reference field="0" count="1" selected="0">
            <x v="298"/>
          </reference>
          <reference field="10" count="0" selected="0"/>
          <reference field="11" count="1">
            <x v="25"/>
          </reference>
        </references>
      </pivotArea>
    </format>
    <format dxfId="46">
      <pivotArea dataOnly="0" labelOnly="1" outline="0" fieldPosition="0">
        <references count="3">
          <reference field="0" count="1" selected="0">
            <x v="353"/>
          </reference>
          <reference field="10" count="0" selected="0"/>
          <reference field="11" count="1">
            <x v="30"/>
          </reference>
        </references>
      </pivotArea>
    </format>
    <format dxfId="45">
      <pivotArea dataOnly="0" labelOnly="1" outline="0" fieldPosition="0">
        <references count="3">
          <reference field="0" count="1" selected="0">
            <x v="360"/>
          </reference>
          <reference field="10" count="0" selected="0"/>
          <reference field="11" count="1">
            <x v="25"/>
          </reference>
        </references>
      </pivotArea>
    </format>
    <format dxfId="44">
      <pivotArea dataOnly="0" labelOnly="1" outline="0" fieldPosition="0">
        <references count="3">
          <reference field="0" count="1" selected="0">
            <x v="413"/>
          </reference>
          <reference field="10" count="0" selected="0"/>
          <reference field="11" count="1">
            <x v="25"/>
          </reference>
        </references>
      </pivotArea>
    </format>
    <format dxfId="43">
      <pivotArea dataOnly="0" labelOnly="1" outline="0" fieldPosition="0">
        <references count="3">
          <reference field="0" count="1" selected="0">
            <x v="487"/>
          </reference>
          <reference field="10" count="0" selected="0"/>
          <reference field="11" count="1">
            <x v="20"/>
          </reference>
        </references>
      </pivotArea>
    </format>
    <format dxfId="42">
      <pivotArea dataOnly="0" labelOnly="1" outline="0" fieldPosition="0">
        <references count="3">
          <reference field="0" count="1" selected="0">
            <x v="511"/>
          </reference>
          <reference field="10" count="0" selected="0"/>
          <reference field="11" count="1">
            <x v="28"/>
          </reference>
        </references>
      </pivotArea>
    </format>
    <format dxfId="41">
      <pivotArea dataOnly="0" labelOnly="1" outline="0" fieldPosition="0">
        <references count="3">
          <reference field="0" count="1" selected="0">
            <x v="514"/>
          </reference>
          <reference field="10" count="0" selected="0"/>
          <reference field="11" count="1">
            <x v="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DFEBFB-98A8-4D87-8EDB-362E574D8151}" name="Tabela dinâmica1" cacheId="7" applyNumberFormats="0" applyBorderFormats="0" applyFontFormats="0" applyPatternFormats="0" applyAlignmentFormats="0" applyWidthHeightFormats="1" dataCaption="Valores" updatedVersion="6" minRefreshableVersion="3" useAutoFormatting="1" rowGrandTotals="0" colGrandTotals="0" itemPrintTitles="1" createdVersion="6" indent="0" compact="0" compactData="0" multipleFieldFilters="0">
  <location ref="D4:E190" firstHeaderRow="1" firstDataRow="1" firstDataCol="2" rowPageCount="1" colPageCount="1"/>
  <pivotFields count="20">
    <pivotField axis="axisRow" compact="0" outline="0" subtotalTop="0" showAll="0" defaultSubtotal="0">
      <items count="555">
        <item x="0"/>
        <item x="1"/>
        <item x="2"/>
        <item x="3"/>
        <item m="1" x="543"/>
        <item x="4"/>
        <item x="5"/>
        <item x="6"/>
        <item x="7"/>
        <item x="8"/>
        <item m="1" x="480"/>
        <item x="9"/>
        <item x="10"/>
        <item x="11"/>
        <item m="1" x="525"/>
        <item x="12"/>
        <item x="431"/>
        <item x="13"/>
        <item x="14"/>
        <item m="1" x="482"/>
        <item x="15"/>
        <item x="16"/>
        <item x="17"/>
        <item x="18"/>
        <item x="19"/>
        <item x="20"/>
        <item m="1" x="466"/>
        <item x="21"/>
        <item x="22"/>
        <item x="23"/>
        <item m="1" x="442"/>
        <item x="24"/>
        <item x="25"/>
        <item x="26"/>
        <item x="27"/>
        <item x="28"/>
        <item x="29"/>
        <item x="30"/>
        <item x="31"/>
        <item x="32"/>
        <item x="33"/>
        <item x="34"/>
        <item x="35"/>
        <item x="36"/>
        <item x="37"/>
        <item x="38"/>
        <item x="39"/>
        <item x="40"/>
        <item x="41"/>
        <item x="42"/>
        <item x="43"/>
        <item x="44"/>
        <item x="45"/>
        <item x="46"/>
        <item x="47"/>
        <item x="48"/>
        <item x="49"/>
        <item m="1" x="541"/>
        <item x="50"/>
        <item x="51"/>
        <item x="52"/>
        <item x="53"/>
        <item x="54"/>
        <item x="55"/>
        <item m="1" x="465"/>
        <item x="56"/>
        <item x="57"/>
        <item x="58"/>
        <item x="59"/>
        <item x="60"/>
        <item x="61"/>
        <item x="62"/>
        <item x="63"/>
        <item x="64"/>
        <item x="65"/>
        <item x="66"/>
        <item x="67"/>
        <item x="68"/>
        <item x="69"/>
        <item x="70"/>
        <item x="71"/>
        <item x="72"/>
        <item x="73"/>
        <item m="1" x="502"/>
        <item m="1" x="518"/>
        <item m="1" x="527"/>
        <item m="1" x="540"/>
        <item m="1" x="548"/>
        <item m="1" x="445"/>
        <item m="1" x="451"/>
        <item x="74"/>
        <item x="75"/>
        <item x="76"/>
        <item x="77"/>
        <item x="78"/>
        <item x="79"/>
        <item x="80"/>
        <item x="81"/>
        <item x="82"/>
        <item x="83"/>
        <item x="84"/>
        <item x="85"/>
        <item m="1" x="472"/>
        <item m="1" x="513"/>
        <item m="1" x="474"/>
        <item x="86"/>
        <item x="87"/>
        <item m="1" x="506"/>
        <item m="1" x="523"/>
        <item m="1" x="450"/>
        <item x="88"/>
        <item m="1" x="487"/>
        <item m="1" x="496"/>
        <item m="1" x="503"/>
        <item m="1" x="507"/>
        <item m="1" x="511"/>
        <item x="89"/>
        <item x="90"/>
        <item x="91"/>
        <item x="92"/>
        <item m="1" x="486"/>
        <item m="1" x="439"/>
        <item x="93"/>
        <item x="94"/>
        <item m="1" x="554"/>
        <item x="95"/>
        <item x="96"/>
        <item x="97"/>
        <item x="98"/>
        <item x="99"/>
        <item x="100"/>
        <item x="101"/>
        <item x="102"/>
        <item x="103"/>
        <item x="104"/>
        <item x="105"/>
        <item x="106"/>
        <item x="107"/>
        <item m="1" x="491"/>
        <item x="108"/>
        <item m="1" x="470"/>
        <item x="109"/>
        <item x="110"/>
        <item m="1" x="509"/>
        <item x="111"/>
        <item m="1" x="528"/>
        <item m="1" x="549"/>
        <item x="112"/>
        <item x="113"/>
        <item x="114"/>
        <item x="115"/>
        <item x="116"/>
        <item x="117"/>
        <item x="118"/>
        <item x="119"/>
        <item x="120"/>
        <item x="121"/>
        <item x="122"/>
        <item x="123"/>
        <item x="124"/>
        <item x="125"/>
        <item m="1" x="476"/>
        <item x="126"/>
        <item x="127"/>
        <item x="128"/>
        <item x="129"/>
        <item x="130"/>
        <item x="131"/>
        <item x="132"/>
        <item x="133"/>
        <item x="134"/>
        <item m="1" x="443"/>
        <item x="135"/>
        <item x="136"/>
        <item x="137"/>
        <item x="138"/>
        <item m="1" x="454"/>
        <item x="139"/>
        <item x="140"/>
        <item x="141"/>
        <item x="142"/>
        <item m="1" x="493"/>
        <item m="1" x="516"/>
        <item x="143"/>
        <item x="144"/>
        <item x="145"/>
        <item x="146"/>
        <item x="147"/>
        <item m="1" x="485"/>
        <item x="148"/>
        <item x="149"/>
        <item m="1" x="458"/>
        <item m="1" x="481"/>
        <item m="1" x="462"/>
        <item m="1" x="437"/>
        <item m="1" x="495"/>
        <item m="1" x="471"/>
        <item x="150"/>
        <item x="151"/>
        <item m="1" x="467"/>
        <item x="152"/>
        <item m="1" x="517"/>
        <item x="153"/>
        <item x="154"/>
        <item m="1" x="500"/>
        <item m="1" x="464"/>
        <item x="155"/>
        <item x="156"/>
        <item m="1" x="538"/>
        <item x="157"/>
        <item m="1" x="484"/>
        <item x="158"/>
        <item m="1" x="514"/>
        <item m="1" x="539"/>
        <item m="1" x="452"/>
        <item m="1" x="498"/>
        <item x="159"/>
        <item x="160"/>
        <item x="161"/>
        <item x="162"/>
        <item x="163"/>
        <item m="1" x="460"/>
        <item x="164"/>
        <item x="165"/>
        <item x="166"/>
        <item x="167"/>
        <item x="168"/>
        <item m="1" x="475"/>
        <item x="169"/>
        <item x="170"/>
        <item m="1" x="501"/>
        <item m="1" x="544"/>
        <item m="1" x="505"/>
        <item x="171"/>
        <item x="172"/>
        <item m="1" x="524"/>
        <item m="1" x="535"/>
        <item x="173"/>
        <item x="174"/>
        <item m="1" x="534"/>
        <item x="175"/>
        <item x="176"/>
        <item m="1" x="492"/>
        <item m="1" x="537"/>
        <item x="177"/>
        <item x="178"/>
        <item m="1" x="508"/>
        <item x="179"/>
        <item m="1" x="479"/>
        <item m="1" x="438"/>
        <item x="180"/>
        <item m="1" x="512"/>
        <item m="1" x="551"/>
        <item x="181"/>
        <item x="182"/>
        <item x="183"/>
        <item m="1" x="468"/>
        <item m="1" x="469"/>
        <item x="184"/>
        <item x="185"/>
        <item m="1" x="497"/>
        <item x="186"/>
        <item x="187"/>
        <item x="188"/>
        <item x="189"/>
        <item x="190"/>
        <item x="191"/>
        <item x="192"/>
        <item x="193"/>
        <item x="194"/>
        <item x="195"/>
        <item x="196"/>
        <item x="197"/>
        <item x="198"/>
        <item m="1" x="448"/>
        <item x="199"/>
        <item x="200"/>
        <item x="201"/>
        <item x="202"/>
        <item m="1" x="547"/>
        <item m="1" x="550"/>
        <item m="1" x="552"/>
        <item x="203"/>
        <item x="204"/>
        <item x="205"/>
        <item x="206"/>
        <item x="207"/>
        <item m="1" x="504"/>
        <item x="208"/>
        <item x="209"/>
        <item x="210"/>
        <item m="1" x="531"/>
        <item x="211"/>
        <item x="212"/>
        <item x="213"/>
        <item x="214"/>
        <item x="215"/>
        <item m="1" x="499"/>
        <item x="216"/>
        <item x="217"/>
        <item m="1" x="473"/>
        <item m="1" x="510"/>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m="1" x="477"/>
        <item x="256"/>
        <item x="257"/>
        <item x="258"/>
        <item x="259"/>
        <item x="260"/>
        <item x="261"/>
        <item x="262"/>
        <item x="263"/>
        <item x="264"/>
        <item x="265"/>
        <item x="266"/>
        <item m="1" x="490"/>
        <item x="267"/>
        <item x="268"/>
        <item x="269"/>
        <item m="1" x="446"/>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m="1" x="519"/>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m="1" x="444"/>
        <item x="387"/>
        <item x="388"/>
        <item x="389"/>
        <item x="390"/>
        <item x="391"/>
        <item m="1" x="553"/>
        <item m="1" x="441"/>
        <item m="1" x="447"/>
        <item x="392"/>
        <item x="393"/>
        <item m="1" x="440"/>
        <item x="394"/>
        <item m="1" x="478"/>
        <item x="395"/>
        <item x="396"/>
        <item x="397"/>
        <item m="1" x="483"/>
        <item m="1" x="456"/>
        <item m="1" x="459"/>
        <item m="1" x="463"/>
        <item m="1" x="489"/>
        <item m="1" x="494"/>
        <item x="398"/>
        <item m="1" x="515"/>
        <item x="399"/>
        <item m="1" x="449"/>
        <item m="1" x="461"/>
        <item m="1" x="530"/>
        <item m="1" x="532"/>
        <item m="1" x="533"/>
        <item x="400"/>
        <item m="1" x="526"/>
        <item m="1" x="529"/>
        <item m="1" x="522"/>
        <item x="401"/>
        <item x="402"/>
        <item x="403"/>
        <item x="404"/>
        <item x="405"/>
        <item m="1" x="546"/>
        <item m="1" x="457"/>
        <item x="406"/>
        <item m="1" x="542"/>
        <item m="1" x="545"/>
        <item x="407"/>
        <item x="408"/>
        <item x="409"/>
        <item x="410"/>
        <item x="411"/>
        <item x="412"/>
        <item x="413"/>
        <item x="414"/>
        <item x="415"/>
        <item x="416"/>
        <item x="417"/>
        <item m="1" x="455"/>
        <item x="418"/>
        <item m="1" x="453"/>
        <item x="419"/>
        <item x="420"/>
        <item x="421"/>
        <item x="422"/>
        <item x="423"/>
        <item x="424"/>
        <item x="425"/>
        <item x="426"/>
        <item m="1" x="520"/>
        <item m="1" x="521"/>
        <item m="1" x="488"/>
        <item x="427"/>
        <item m="1" x="536"/>
        <item x="428"/>
        <item x="429"/>
        <item x="430"/>
        <item x="432"/>
        <item x="433"/>
        <item x="434"/>
        <item x="435"/>
        <item x="436"/>
      </items>
    </pivotField>
    <pivotField compact="0" outline="0" subtotalTop="0" showAll="0" defaultSubtotal="0"/>
    <pivotField axis="axisPage" compact="0" outline="0" showAll="0" defaultSubtotal="0">
      <items count="2">
        <item x="0"/>
        <item m="1" x="1"/>
      </items>
    </pivotField>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1"/>
        <item h="1" x="2"/>
        <item h="1" m="1" x="3"/>
        <item h="1" x="0"/>
      </items>
    </pivotField>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9"/>
  </rowFields>
  <rowItems count="186">
    <i>
      <x/>
      <x/>
    </i>
    <i>
      <x v="1"/>
      <x/>
    </i>
    <i>
      <x v="2"/>
      <x/>
    </i>
    <i>
      <x v="5"/>
      <x/>
    </i>
    <i>
      <x v="6"/>
      <x/>
    </i>
    <i>
      <x v="7"/>
      <x/>
    </i>
    <i>
      <x v="8"/>
      <x/>
    </i>
    <i>
      <x v="9"/>
      <x/>
    </i>
    <i>
      <x v="12"/>
      <x/>
    </i>
    <i>
      <x v="15"/>
      <x/>
    </i>
    <i>
      <x v="18"/>
      <x/>
    </i>
    <i>
      <x v="22"/>
      <x/>
    </i>
    <i>
      <x v="25"/>
      <x/>
    </i>
    <i>
      <x v="27"/>
      <x/>
    </i>
    <i>
      <x v="28"/>
      <x/>
    </i>
    <i>
      <x v="29"/>
      <x/>
    </i>
    <i>
      <x v="31"/>
      <x/>
    </i>
    <i>
      <x v="32"/>
      <x/>
    </i>
    <i>
      <x v="33"/>
      <x/>
    </i>
    <i>
      <x v="34"/>
      <x/>
    </i>
    <i>
      <x v="36"/>
      <x/>
    </i>
    <i>
      <x v="38"/>
      <x/>
    </i>
    <i>
      <x v="40"/>
      <x/>
    </i>
    <i>
      <x v="50"/>
      <x/>
    </i>
    <i>
      <x v="52"/>
      <x/>
    </i>
    <i>
      <x v="54"/>
      <x/>
    </i>
    <i>
      <x v="55"/>
      <x/>
    </i>
    <i>
      <x v="56"/>
      <x/>
    </i>
    <i>
      <x v="59"/>
      <x/>
    </i>
    <i>
      <x v="61"/>
      <x/>
    </i>
    <i>
      <x v="62"/>
      <x/>
    </i>
    <i>
      <x v="66"/>
      <x/>
    </i>
    <i>
      <x v="68"/>
      <x/>
    </i>
    <i>
      <x v="72"/>
      <x/>
    </i>
    <i>
      <x v="77"/>
      <x/>
    </i>
    <i>
      <x v="78"/>
      <x/>
    </i>
    <i>
      <x v="79"/>
      <x/>
    </i>
    <i>
      <x v="80"/>
      <x/>
    </i>
    <i>
      <x v="82"/>
      <x/>
    </i>
    <i>
      <x v="99"/>
      <x/>
    </i>
    <i>
      <x v="100"/>
      <x/>
    </i>
    <i>
      <x v="101"/>
      <x/>
    </i>
    <i>
      <x v="105"/>
      <x/>
    </i>
    <i>
      <x v="116"/>
      <x/>
    </i>
    <i>
      <x v="118"/>
      <x/>
    </i>
    <i>
      <x v="119"/>
      <x/>
    </i>
    <i>
      <x v="122"/>
      <x/>
    </i>
    <i>
      <x v="123"/>
      <x/>
    </i>
    <i>
      <x v="132"/>
      <x/>
    </i>
    <i>
      <x v="133"/>
      <x/>
    </i>
    <i>
      <x v="134"/>
      <x/>
    </i>
    <i>
      <x v="135"/>
      <x/>
    </i>
    <i>
      <x v="136"/>
      <x/>
    </i>
    <i>
      <x v="139"/>
      <x/>
    </i>
    <i>
      <x v="141"/>
      <x/>
    </i>
    <i>
      <x v="144"/>
      <x/>
    </i>
    <i>
      <x v="147"/>
      <x/>
    </i>
    <i>
      <x v="148"/>
      <x/>
    </i>
    <i>
      <x v="149"/>
      <x/>
    </i>
    <i>
      <x v="150"/>
      <x/>
    </i>
    <i>
      <x v="151"/>
      <x/>
    </i>
    <i>
      <x v="152"/>
      <x/>
    </i>
    <i>
      <x v="153"/>
      <x/>
    </i>
    <i>
      <x v="154"/>
      <x/>
    </i>
    <i>
      <x v="155"/>
      <x/>
    </i>
    <i>
      <x v="156"/>
      <x/>
    </i>
    <i>
      <x v="157"/>
      <x/>
    </i>
    <i>
      <x v="158"/>
      <x/>
    </i>
    <i>
      <x v="163"/>
      <x/>
    </i>
    <i>
      <x v="164"/>
      <x/>
    </i>
    <i>
      <x v="165"/>
      <x/>
    </i>
    <i>
      <x v="166"/>
      <x/>
    </i>
    <i>
      <x v="167"/>
      <x/>
    </i>
    <i>
      <x v="168"/>
      <x/>
    </i>
    <i>
      <x v="169"/>
      <x/>
    </i>
    <i>
      <x v="170"/>
      <x/>
    </i>
    <i>
      <x v="177"/>
      <x/>
    </i>
    <i>
      <x v="179"/>
      <x/>
    </i>
    <i>
      <x v="180"/>
      <x/>
    </i>
    <i>
      <x v="187"/>
      <x/>
    </i>
    <i>
      <x v="189"/>
      <x/>
    </i>
    <i>
      <x v="190"/>
      <x/>
    </i>
    <i>
      <x v="197"/>
      <x/>
    </i>
    <i>
      <x v="198"/>
      <x/>
    </i>
    <i>
      <x v="206"/>
      <x/>
    </i>
    <i>
      <x v="207"/>
      <x/>
    </i>
    <i>
      <x v="209"/>
      <x/>
    </i>
    <i>
      <x v="218"/>
      <x/>
    </i>
    <i>
      <x v="219"/>
      <x/>
    </i>
    <i>
      <x v="220"/>
      <x/>
    </i>
    <i>
      <x v="222"/>
      <x/>
    </i>
    <i>
      <x v="223"/>
      <x/>
    </i>
    <i>
      <x v="225"/>
      <x/>
    </i>
    <i>
      <x v="226"/>
      <x/>
    </i>
    <i>
      <x v="228"/>
      <x/>
    </i>
    <i>
      <x v="233"/>
      <x/>
    </i>
    <i>
      <x v="234"/>
      <x/>
    </i>
    <i>
      <x v="237"/>
      <x/>
    </i>
    <i>
      <x v="238"/>
      <x/>
    </i>
    <i>
      <x v="240"/>
      <x/>
    </i>
    <i>
      <x v="247"/>
      <x/>
    </i>
    <i>
      <x v="250"/>
      <x/>
    </i>
    <i>
      <x v="253"/>
      <x/>
    </i>
    <i>
      <x v="254"/>
      <x/>
    </i>
    <i>
      <x v="255"/>
      <x/>
    </i>
    <i>
      <x v="258"/>
      <x/>
    </i>
    <i>
      <x v="261"/>
      <x/>
    </i>
    <i>
      <x v="262"/>
      <x/>
    </i>
    <i>
      <x v="263"/>
      <x/>
    </i>
    <i>
      <x v="264"/>
      <x/>
    </i>
    <i>
      <x v="265"/>
      <x/>
    </i>
    <i>
      <x v="266"/>
      <x/>
    </i>
    <i>
      <x v="267"/>
      <x/>
    </i>
    <i>
      <x v="268"/>
      <x/>
    </i>
    <i>
      <x v="269"/>
      <x/>
    </i>
    <i>
      <x v="270"/>
      <x/>
    </i>
    <i>
      <x v="271"/>
      <x/>
    </i>
    <i>
      <x v="272"/>
      <x/>
    </i>
    <i>
      <x v="273"/>
      <x/>
    </i>
    <i>
      <x v="275"/>
      <x/>
    </i>
    <i>
      <x v="276"/>
      <x/>
    </i>
    <i>
      <x v="277"/>
      <x/>
    </i>
    <i>
      <x v="278"/>
      <x/>
    </i>
    <i>
      <x v="286"/>
      <x/>
    </i>
    <i>
      <x v="288"/>
      <x/>
    </i>
    <i>
      <x v="292"/>
      <x/>
    </i>
    <i>
      <x v="294"/>
      <x/>
    </i>
    <i>
      <x v="295"/>
      <x/>
    </i>
    <i>
      <x v="296"/>
      <x/>
    </i>
    <i>
      <x v="298"/>
      <x/>
    </i>
    <i>
      <x v="341"/>
      <x/>
    </i>
    <i>
      <x v="342"/>
      <x/>
    </i>
    <i>
      <x v="343"/>
      <x/>
    </i>
    <i>
      <x v="344"/>
      <x/>
    </i>
    <i>
      <x v="345"/>
      <x/>
    </i>
    <i>
      <x v="346"/>
      <x/>
    </i>
    <i>
      <x v="347"/>
      <x/>
    </i>
    <i>
      <x v="348"/>
      <x/>
    </i>
    <i>
      <x v="349"/>
      <x/>
    </i>
    <i>
      <x v="353"/>
      <x/>
    </i>
    <i>
      <x v="354"/>
      <x/>
    </i>
    <i>
      <x v="355"/>
      <x/>
    </i>
    <i>
      <x v="360"/>
      <x/>
    </i>
    <i>
      <x v="361"/>
      <x/>
    </i>
    <i>
      <x v="396"/>
      <x/>
    </i>
    <i>
      <x v="397"/>
      <x/>
    </i>
    <i>
      <x v="398"/>
      <x/>
    </i>
    <i>
      <x v="401"/>
      <x/>
    </i>
    <i>
      <x v="402"/>
      <x/>
    </i>
    <i>
      <x v="403"/>
      <x/>
    </i>
    <i>
      <x v="404"/>
      <x/>
    </i>
    <i>
      <x v="405"/>
      <x/>
    </i>
    <i>
      <x v="406"/>
      <x/>
    </i>
    <i>
      <x v="407"/>
      <x/>
    </i>
    <i>
      <x v="408"/>
      <x/>
    </i>
    <i>
      <x v="410"/>
      <x/>
    </i>
    <i>
      <x v="413"/>
      <x/>
    </i>
    <i>
      <x v="441"/>
      <x/>
    </i>
    <i>
      <x v="474"/>
      <x/>
    </i>
    <i>
      <x v="476"/>
      <x/>
    </i>
    <i>
      <x v="477"/>
      <x/>
    </i>
    <i>
      <x v="478"/>
      <x/>
    </i>
    <i>
      <x v="485"/>
      <x/>
    </i>
    <i>
      <x v="487"/>
      <x/>
    </i>
    <i>
      <x v="489"/>
      <x/>
    </i>
    <i>
      <x v="490"/>
      <x/>
    </i>
    <i>
      <x v="491"/>
      <x/>
    </i>
    <i>
      <x v="498"/>
      <x/>
    </i>
    <i>
      <x v="506"/>
      <x/>
    </i>
    <i>
      <x v="511"/>
      <x/>
    </i>
    <i>
      <x v="512"/>
      <x/>
    </i>
    <i>
      <x v="513"/>
      <x/>
    </i>
    <i>
      <x v="514"/>
      <x/>
    </i>
    <i>
      <x v="517"/>
      <x/>
    </i>
    <i>
      <x v="528"/>
      <x/>
    </i>
    <i>
      <x v="530"/>
      <x/>
    </i>
    <i>
      <x v="540"/>
      <x/>
    </i>
    <i>
      <x v="541"/>
      <x/>
    </i>
    <i>
      <x v="545"/>
      <x/>
    </i>
    <i>
      <x v="548"/>
      <x/>
    </i>
    <i>
      <x v="549"/>
      <x/>
    </i>
    <i>
      <x v="550"/>
      <x/>
    </i>
    <i>
      <x v="551"/>
      <x/>
    </i>
    <i>
      <x v="552"/>
      <x/>
    </i>
    <i>
      <x v="553"/>
      <x/>
    </i>
    <i>
      <x v="554"/>
      <x/>
    </i>
  </rowItems>
  <colItems count="1">
    <i/>
  </colItems>
  <pageFields count="1">
    <pageField fld="2" item="0" hier="-1"/>
  </pageFields>
  <formats count="444">
    <format dxfId="1644">
      <pivotArea type="all" dataOnly="0" outline="0" fieldPosition="0"/>
    </format>
    <format dxfId="1643">
      <pivotArea field="0" type="button" dataOnly="0" labelOnly="1" outline="0" axis="axisRow" fieldPosition="0"/>
    </format>
    <format dxfId="1642">
      <pivotArea field="9" type="button" dataOnly="0" labelOnly="1" outline="0" axis="axisRow" fieldPosition="1"/>
    </format>
    <format dxfId="1641">
      <pivotArea dataOnly="0" labelOnly="1" outline="0" fieldPosition="0">
        <references count="1">
          <reference field="0" count="50">
            <x v="0"/>
            <x v="1"/>
            <x v="2"/>
            <x v="3"/>
            <x v="5"/>
            <x v="6"/>
            <x v="7"/>
            <x v="8"/>
            <x v="9"/>
            <x v="11"/>
            <x v="12"/>
            <x v="13"/>
            <x v="15"/>
            <x v="16"/>
            <x v="17"/>
            <x v="18"/>
            <x v="20"/>
            <x v="21"/>
            <x v="22"/>
            <x v="23"/>
            <x v="24"/>
            <x v="25"/>
            <x v="27"/>
            <x v="28"/>
            <x v="29"/>
            <x v="31"/>
            <x v="32"/>
            <x v="33"/>
            <x v="34"/>
            <x v="35"/>
            <x v="36"/>
            <x v="37"/>
            <x v="38"/>
            <x v="39"/>
            <x v="40"/>
            <x v="41"/>
            <x v="42"/>
            <x v="43"/>
            <x v="44"/>
            <x v="45"/>
            <x v="46"/>
            <x v="47"/>
            <x v="48"/>
            <x v="49"/>
            <x v="50"/>
            <x v="51"/>
            <x v="52"/>
            <x v="53"/>
            <x v="54"/>
            <x v="55"/>
          </reference>
        </references>
      </pivotArea>
    </format>
    <format dxfId="1640">
      <pivotArea dataOnly="0" labelOnly="1" outline="0" fieldPosition="0">
        <references count="1">
          <reference field="0" count="50">
            <x v="56"/>
            <x v="58"/>
            <x v="59"/>
            <x v="60"/>
            <x v="61"/>
            <x v="62"/>
            <x v="63"/>
            <x v="65"/>
            <x v="66"/>
            <x v="67"/>
            <x v="68"/>
            <x v="69"/>
            <x v="70"/>
            <x v="71"/>
            <x v="72"/>
            <x v="73"/>
            <x v="74"/>
            <x v="75"/>
            <x v="76"/>
            <x v="77"/>
            <x v="78"/>
            <x v="79"/>
            <x v="80"/>
            <x v="81"/>
            <x v="82"/>
            <x v="90"/>
            <x v="91"/>
            <x v="92"/>
            <x v="93"/>
            <x v="94"/>
            <x v="95"/>
            <x v="96"/>
            <x v="97"/>
            <x v="98"/>
            <x v="99"/>
            <x v="100"/>
            <x v="101"/>
            <x v="105"/>
            <x v="106"/>
            <x v="110"/>
            <x v="116"/>
            <x v="117"/>
            <x v="118"/>
            <x v="119"/>
            <x v="122"/>
            <x v="123"/>
            <x v="125"/>
            <x v="126"/>
            <x v="127"/>
            <x v="128"/>
          </reference>
        </references>
      </pivotArea>
    </format>
    <format dxfId="1639">
      <pivotArea dataOnly="0" labelOnly="1" outline="0" fieldPosition="0">
        <references count="1">
          <reference field="0" count="50">
            <x v="129"/>
            <x v="130"/>
            <x v="131"/>
            <x v="132"/>
            <x v="133"/>
            <x v="134"/>
            <x v="135"/>
            <x v="136"/>
            <x v="137"/>
            <x v="139"/>
            <x v="141"/>
            <x v="142"/>
            <x v="144"/>
            <x v="147"/>
            <x v="148"/>
            <x v="149"/>
            <x v="150"/>
            <x v="151"/>
            <x v="152"/>
            <x v="153"/>
            <x v="154"/>
            <x v="155"/>
            <x v="156"/>
            <x v="157"/>
            <x v="158"/>
            <x v="159"/>
            <x v="160"/>
            <x v="162"/>
            <x v="163"/>
            <x v="164"/>
            <x v="165"/>
            <x v="166"/>
            <x v="167"/>
            <x v="168"/>
            <x v="169"/>
            <x v="170"/>
            <x v="172"/>
            <x v="173"/>
            <x v="174"/>
            <x v="175"/>
            <x v="177"/>
            <x v="178"/>
            <x v="179"/>
            <x v="180"/>
            <x v="183"/>
            <x v="184"/>
            <x v="185"/>
            <x v="186"/>
            <x v="187"/>
            <x v="189"/>
          </reference>
        </references>
      </pivotArea>
    </format>
    <format dxfId="1638">
      <pivotArea dataOnly="0" labelOnly="1" outline="0" fieldPosition="0">
        <references count="1">
          <reference field="0" count="50">
            <x v="190"/>
            <x v="197"/>
            <x v="198"/>
            <x v="200"/>
            <x v="202"/>
            <x v="203"/>
            <x v="206"/>
            <x v="207"/>
            <x v="209"/>
            <x v="211"/>
            <x v="216"/>
            <x v="217"/>
            <x v="218"/>
            <x v="219"/>
            <x v="220"/>
            <x v="222"/>
            <x v="223"/>
            <x v="224"/>
            <x v="225"/>
            <x v="226"/>
            <x v="228"/>
            <x v="229"/>
            <x v="233"/>
            <x v="234"/>
            <x v="237"/>
            <x v="238"/>
            <x v="240"/>
            <x v="241"/>
            <x v="244"/>
            <x v="245"/>
            <x v="247"/>
            <x v="250"/>
            <x v="253"/>
            <x v="254"/>
            <x v="255"/>
            <x v="258"/>
            <x v="259"/>
            <x v="261"/>
            <x v="262"/>
            <x v="263"/>
            <x v="264"/>
            <x v="265"/>
            <x v="266"/>
            <x v="267"/>
            <x v="268"/>
            <x v="269"/>
            <x v="270"/>
            <x v="271"/>
            <x v="272"/>
            <x v="273"/>
          </reference>
        </references>
      </pivotArea>
    </format>
    <format dxfId="1637">
      <pivotArea dataOnly="0" labelOnly="1" outline="0" fieldPosition="0">
        <references count="1">
          <reference field="0" count="50">
            <x v="275"/>
            <x v="276"/>
            <x v="277"/>
            <x v="278"/>
            <x v="282"/>
            <x v="283"/>
            <x v="284"/>
            <x v="285"/>
            <x v="286"/>
            <x v="288"/>
            <x v="289"/>
            <x v="290"/>
            <x v="292"/>
            <x v="293"/>
            <x v="294"/>
            <x v="295"/>
            <x v="296"/>
            <x v="298"/>
            <x v="299"/>
            <x v="302"/>
            <x v="303"/>
            <x v="304"/>
            <x v="305"/>
            <x v="306"/>
            <x v="307"/>
            <x v="308"/>
            <x v="309"/>
            <x v="310"/>
            <x v="311"/>
            <x v="312"/>
            <x v="313"/>
            <x v="314"/>
            <x v="315"/>
            <x v="316"/>
            <x v="317"/>
            <x v="318"/>
            <x v="319"/>
            <x v="320"/>
            <x v="321"/>
            <x v="322"/>
            <x v="323"/>
            <x v="324"/>
            <x v="325"/>
            <x v="326"/>
            <x v="327"/>
            <x v="328"/>
            <x v="329"/>
            <x v="330"/>
            <x v="331"/>
            <x v="332"/>
          </reference>
        </references>
      </pivotArea>
    </format>
    <format dxfId="1636">
      <pivotArea dataOnly="0" labelOnly="1" outline="0" fieldPosition="0">
        <references count="1">
          <reference field="0" count="50">
            <x v="333"/>
            <x v="334"/>
            <x v="335"/>
            <x v="336"/>
            <x v="337"/>
            <x v="338"/>
            <x v="339"/>
            <x v="341"/>
            <x v="342"/>
            <x v="343"/>
            <x v="344"/>
            <x v="345"/>
            <x v="346"/>
            <x v="347"/>
            <x v="348"/>
            <x v="349"/>
            <x v="350"/>
            <x v="351"/>
            <x v="353"/>
            <x v="354"/>
            <x v="355"/>
            <x v="357"/>
            <x v="358"/>
            <x v="359"/>
            <x v="360"/>
            <x v="361"/>
            <x v="362"/>
            <x v="363"/>
            <x v="364"/>
            <x v="365"/>
            <x v="366"/>
            <x v="367"/>
            <x v="368"/>
            <x v="369"/>
            <x v="370"/>
            <x v="371"/>
            <x v="372"/>
            <x v="373"/>
            <x v="374"/>
            <x v="375"/>
            <x v="376"/>
            <x v="377"/>
            <x v="378"/>
            <x v="379"/>
            <x v="380"/>
            <x v="381"/>
            <x v="382"/>
            <x v="383"/>
            <x v="384"/>
            <x v="385"/>
          </reference>
        </references>
      </pivotArea>
    </format>
    <format dxfId="1635">
      <pivotArea dataOnly="0" labelOnly="1" outline="0" fieldPosition="0">
        <references count="1">
          <reference field="0" count="50">
            <x v="386"/>
            <x v="387"/>
            <x v="388"/>
            <x v="389"/>
            <x v="390"/>
            <x v="391"/>
            <x v="392"/>
            <x v="393"/>
            <x v="394"/>
            <x v="395"/>
            <x v="396"/>
            <x v="397"/>
            <x v="398"/>
            <x v="399"/>
            <x v="400"/>
            <x v="401"/>
            <x v="402"/>
            <x v="403"/>
            <x v="404"/>
            <x v="405"/>
            <x v="406"/>
            <x v="407"/>
            <x v="408"/>
            <x v="409"/>
            <x v="410"/>
            <x v="411"/>
            <x v="412"/>
            <x v="413"/>
            <x v="414"/>
            <x v="416"/>
            <x v="417"/>
            <x v="418"/>
            <x v="419"/>
            <x v="420"/>
            <x v="421"/>
            <x v="422"/>
            <x v="423"/>
            <x v="424"/>
            <x v="425"/>
            <x v="426"/>
            <x v="427"/>
            <x v="428"/>
            <x v="429"/>
            <x v="430"/>
            <x v="431"/>
            <x v="432"/>
            <x v="433"/>
            <x v="434"/>
            <x v="435"/>
            <x v="436"/>
          </reference>
        </references>
      </pivotArea>
    </format>
    <format dxfId="1634">
      <pivotArea dataOnly="0" labelOnly="1" outline="0" fieldPosition="0">
        <references count="1">
          <reference field="0" count="50">
            <x v="437"/>
            <x v="438"/>
            <x v="439"/>
            <x v="440"/>
            <x v="441"/>
            <x v="442"/>
            <x v="443"/>
            <x v="444"/>
            <x v="445"/>
            <x v="446"/>
            <x v="447"/>
            <x v="448"/>
            <x v="449"/>
            <x v="450"/>
            <x v="451"/>
            <x v="452"/>
            <x v="453"/>
            <x v="454"/>
            <x v="455"/>
            <x v="456"/>
            <x v="457"/>
            <x v="458"/>
            <x v="459"/>
            <x v="460"/>
            <x v="461"/>
            <x v="462"/>
            <x v="463"/>
            <x v="464"/>
            <x v="465"/>
            <x v="466"/>
            <x v="467"/>
            <x v="468"/>
            <x v="469"/>
            <x v="470"/>
            <x v="471"/>
            <x v="472"/>
            <x v="473"/>
            <x v="474"/>
            <x v="476"/>
            <x v="477"/>
            <x v="478"/>
            <x v="479"/>
            <x v="480"/>
            <x v="484"/>
            <x v="485"/>
            <x v="487"/>
            <x v="489"/>
            <x v="490"/>
            <x v="491"/>
            <x v="498"/>
          </reference>
        </references>
      </pivotArea>
    </format>
    <format dxfId="1633">
      <pivotArea dataOnly="0" labelOnly="1" outline="0" fieldPosition="0">
        <references count="1">
          <reference field="0" count="32">
            <x v="500"/>
            <x v="506"/>
            <x v="510"/>
            <x v="511"/>
            <x v="512"/>
            <x v="513"/>
            <x v="514"/>
            <x v="517"/>
            <x v="520"/>
            <x v="521"/>
            <x v="522"/>
            <x v="523"/>
            <x v="524"/>
            <x v="525"/>
            <x v="526"/>
            <x v="527"/>
            <x v="528"/>
            <x v="529"/>
            <x v="530"/>
            <x v="532"/>
            <x v="534"/>
            <x v="535"/>
            <x v="536"/>
            <x v="537"/>
            <x v="538"/>
            <x v="539"/>
            <x v="540"/>
            <x v="541"/>
            <x v="545"/>
            <x v="547"/>
            <x v="548"/>
            <x v="549"/>
          </reference>
        </references>
      </pivotArea>
    </format>
    <format dxfId="1632">
      <pivotArea dataOnly="0" labelOnly="1" outline="0" fieldPosition="0">
        <references count="2">
          <reference field="0" count="1" selected="0">
            <x v="0"/>
          </reference>
          <reference field="9" count="1">
            <x v="0"/>
          </reference>
        </references>
      </pivotArea>
    </format>
    <format dxfId="1631">
      <pivotArea dataOnly="0" labelOnly="1" outline="0" fieldPosition="0">
        <references count="2">
          <reference field="0" count="1" selected="0">
            <x v="1"/>
          </reference>
          <reference field="9" count="1">
            <x v="0"/>
          </reference>
        </references>
      </pivotArea>
    </format>
    <format dxfId="1630">
      <pivotArea dataOnly="0" labelOnly="1" outline="0" fieldPosition="0">
        <references count="2">
          <reference field="0" count="1" selected="0">
            <x v="2"/>
          </reference>
          <reference field="9" count="1">
            <x v="0"/>
          </reference>
        </references>
      </pivotArea>
    </format>
    <format dxfId="1629">
      <pivotArea dataOnly="0" labelOnly="1" outline="0" fieldPosition="0">
        <references count="2">
          <reference field="0" count="1" selected="0">
            <x v="3"/>
          </reference>
          <reference field="9" count="1">
            <x v="1"/>
          </reference>
        </references>
      </pivotArea>
    </format>
    <format dxfId="1628">
      <pivotArea dataOnly="0" labelOnly="1" outline="0" fieldPosition="0">
        <references count="2">
          <reference field="0" count="1" selected="0">
            <x v="5"/>
          </reference>
          <reference field="9" count="1">
            <x v="0"/>
          </reference>
        </references>
      </pivotArea>
    </format>
    <format dxfId="1627">
      <pivotArea dataOnly="0" labelOnly="1" outline="0" fieldPosition="0">
        <references count="2">
          <reference field="0" count="1" selected="0">
            <x v="6"/>
          </reference>
          <reference field="9" count="1">
            <x v="0"/>
          </reference>
        </references>
      </pivotArea>
    </format>
    <format dxfId="1626">
      <pivotArea dataOnly="0" labelOnly="1" outline="0" fieldPosition="0">
        <references count="2">
          <reference field="0" count="1" selected="0">
            <x v="7"/>
          </reference>
          <reference field="9" count="1">
            <x v="0"/>
          </reference>
        </references>
      </pivotArea>
    </format>
    <format dxfId="1625">
      <pivotArea dataOnly="0" labelOnly="1" outline="0" fieldPosition="0">
        <references count="2">
          <reference field="0" count="1" selected="0">
            <x v="8"/>
          </reference>
          <reference field="9" count="1">
            <x v="0"/>
          </reference>
        </references>
      </pivotArea>
    </format>
    <format dxfId="1624">
      <pivotArea dataOnly="0" labelOnly="1" outline="0" fieldPosition="0">
        <references count="2">
          <reference field="0" count="1" selected="0">
            <x v="9"/>
          </reference>
          <reference field="9" count="1">
            <x v="0"/>
          </reference>
        </references>
      </pivotArea>
    </format>
    <format dxfId="1623">
      <pivotArea dataOnly="0" labelOnly="1" outline="0" fieldPosition="0">
        <references count="2">
          <reference field="0" count="1" selected="0">
            <x v="11"/>
          </reference>
          <reference field="9" count="1">
            <x v="1"/>
          </reference>
        </references>
      </pivotArea>
    </format>
    <format dxfId="1622">
      <pivotArea dataOnly="0" labelOnly="1" outline="0" fieldPosition="0">
        <references count="2">
          <reference field="0" count="1" selected="0">
            <x v="12"/>
          </reference>
          <reference field="9" count="1">
            <x v="0"/>
          </reference>
        </references>
      </pivotArea>
    </format>
    <format dxfId="1621">
      <pivotArea dataOnly="0" labelOnly="1" outline="0" fieldPosition="0">
        <references count="2">
          <reference field="0" count="1" selected="0">
            <x v="13"/>
          </reference>
          <reference field="9" count="1">
            <x v="0"/>
          </reference>
        </references>
      </pivotArea>
    </format>
    <format dxfId="1620">
      <pivotArea dataOnly="0" labelOnly="1" outline="0" fieldPosition="0">
        <references count="2">
          <reference field="0" count="1" selected="0">
            <x v="15"/>
          </reference>
          <reference field="9" count="1">
            <x v="0"/>
          </reference>
        </references>
      </pivotArea>
    </format>
    <format dxfId="1619">
      <pivotArea dataOnly="0" labelOnly="1" outline="0" fieldPosition="0">
        <references count="2">
          <reference field="0" count="1" selected="0">
            <x v="16"/>
          </reference>
          <reference field="9" count="1">
            <x v="1"/>
          </reference>
        </references>
      </pivotArea>
    </format>
    <format dxfId="1618">
      <pivotArea dataOnly="0" labelOnly="1" outline="0" fieldPosition="0">
        <references count="2">
          <reference field="0" count="1" selected="0">
            <x v="17"/>
          </reference>
          <reference field="9" count="1">
            <x v="1"/>
          </reference>
        </references>
      </pivotArea>
    </format>
    <format dxfId="1617">
      <pivotArea dataOnly="0" labelOnly="1" outline="0" fieldPosition="0">
        <references count="2">
          <reference field="0" count="1" selected="0">
            <x v="18"/>
          </reference>
          <reference field="9" count="1">
            <x v="0"/>
          </reference>
        </references>
      </pivotArea>
    </format>
    <format dxfId="1616">
      <pivotArea dataOnly="0" labelOnly="1" outline="0" fieldPosition="0">
        <references count="2">
          <reference field="0" count="1" selected="0">
            <x v="20"/>
          </reference>
          <reference field="9" count="1">
            <x v="0"/>
          </reference>
        </references>
      </pivotArea>
    </format>
    <format dxfId="1615">
      <pivotArea dataOnly="0" labelOnly="1" outline="0" fieldPosition="0">
        <references count="2">
          <reference field="0" count="1" selected="0">
            <x v="21"/>
          </reference>
          <reference field="9" count="1">
            <x v="1"/>
          </reference>
        </references>
      </pivotArea>
    </format>
    <format dxfId="1614">
      <pivotArea dataOnly="0" labelOnly="1" outline="0" fieldPosition="0">
        <references count="2">
          <reference field="0" count="1" selected="0">
            <x v="22"/>
          </reference>
          <reference field="9" count="1">
            <x v="0"/>
          </reference>
        </references>
      </pivotArea>
    </format>
    <format dxfId="1613">
      <pivotArea dataOnly="0" labelOnly="1" outline="0" fieldPosition="0">
        <references count="2">
          <reference field="0" count="1" selected="0">
            <x v="23"/>
          </reference>
          <reference field="9" count="1">
            <x v="1"/>
          </reference>
        </references>
      </pivotArea>
    </format>
    <format dxfId="1612">
      <pivotArea dataOnly="0" labelOnly="1" outline="0" fieldPosition="0">
        <references count="2">
          <reference field="0" count="1" selected="0">
            <x v="24"/>
          </reference>
          <reference field="9" count="1">
            <x v="1"/>
          </reference>
        </references>
      </pivotArea>
    </format>
    <format dxfId="1611">
      <pivotArea dataOnly="0" labelOnly="1" outline="0" fieldPosition="0">
        <references count="2">
          <reference field="0" count="1" selected="0">
            <x v="25"/>
          </reference>
          <reference field="9" count="1">
            <x v="0"/>
          </reference>
        </references>
      </pivotArea>
    </format>
    <format dxfId="1610">
      <pivotArea dataOnly="0" labelOnly="1" outline="0" fieldPosition="0">
        <references count="2">
          <reference field="0" count="1" selected="0">
            <x v="27"/>
          </reference>
          <reference field="9" count="1">
            <x v="0"/>
          </reference>
        </references>
      </pivotArea>
    </format>
    <format dxfId="1609">
      <pivotArea dataOnly="0" labelOnly="1" outline="0" fieldPosition="0">
        <references count="2">
          <reference field="0" count="1" selected="0">
            <x v="28"/>
          </reference>
          <reference field="9" count="1">
            <x v="0"/>
          </reference>
        </references>
      </pivotArea>
    </format>
    <format dxfId="1608">
      <pivotArea dataOnly="0" labelOnly="1" outline="0" fieldPosition="0">
        <references count="2">
          <reference field="0" count="1" selected="0">
            <x v="29"/>
          </reference>
          <reference field="9" count="1">
            <x v="0"/>
          </reference>
        </references>
      </pivotArea>
    </format>
    <format dxfId="1607">
      <pivotArea dataOnly="0" labelOnly="1" outline="0" fieldPosition="0">
        <references count="2">
          <reference field="0" count="1" selected="0">
            <x v="31"/>
          </reference>
          <reference field="9" count="1">
            <x v="0"/>
          </reference>
        </references>
      </pivotArea>
    </format>
    <format dxfId="1606">
      <pivotArea dataOnly="0" labelOnly="1" outline="0" fieldPosition="0">
        <references count="2">
          <reference field="0" count="1" selected="0">
            <x v="32"/>
          </reference>
          <reference field="9" count="1">
            <x v="0"/>
          </reference>
        </references>
      </pivotArea>
    </format>
    <format dxfId="1605">
      <pivotArea dataOnly="0" labelOnly="1" outline="0" fieldPosition="0">
        <references count="2">
          <reference field="0" count="1" selected="0">
            <x v="33"/>
          </reference>
          <reference field="9" count="1">
            <x v="0"/>
          </reference>
        </references>
      </pivotArea>
    </format>
    <format dxfId="1604">
      <pivotArea dataOnly="0" labelOnly="1" outline="0" fieldPosition="0">
        <references count="2">
          <reference field="0" count="1" selected="0">
            <x v="34"/>
          </reference>
          <reference field="9" count="1">
            <x v="0"/>
          </reference>
        </references>
      </pivotArea>
    </format>
    <format dxfId="1603">
      <pivotArea dataOnly="0" labelOnly="1" outline="0" fieldPosition="0">
        <references count="2">
          <reference field="0" count="1" selected="0">
            <x v="35"/>
          </reference>
          <reference field="9" count="1">
            <x v="1"/>
          </reference>
        </references>
      </pivotArea>
    </format>
    <format dxfId="1602">
      <pivotArea dataOnly="0" labelOnly="1" outline="0" fieldPosition="0">
        <references count="2">
          <reference field="0" count="1" selected="0">
            <x v="36"/>
          </reference>
          <reference field="9" count="1">
            <x v="0"/>
          </reference>
        </references>
      </pivotArea>
    </format>
    <format dxfId="1601">
      <pivotArea dataOnly="0" labelOnly="1" outline="0" fieldPosition="0">
        <references count="2">
          <reference field="0" count="1" selected="0">
            <x v="37"/>
          </reference>
          <reference field="9" count="1">
            <x v="1"/>
          </reference>
        </references>
      </pivotArea>
    </format>
    <format dxfId="1600">
      <pivotArea dataOnly="0" labelOnly="1" outline="0" fieldPosition="0">
        <references count="2">
          <reference field="0" count="1" selected="0">
            <x v="38"/>
          </reference>
          <reference field="9" count="1">
            <x v="0"/>
          </reference>
        </references>
      </pivotArea>
    </format>
    <format dxfId="1599">
      <pivotArea dataOnly="0" labelOnly="1" outline="0" fieldPosition="0">
        <references count="2">
          <reference field="0" count="1" selected="0">
            <x v="39"/>
          </reference>
          <reference field="9" count="1">
            <x v="1"/>
          </reference>
        </references>
      </pivotArea>
    </format>
    <format dxfId="1598">
      <pivotArea dataOnly="0" labelOnly="1" outline="0" fieldPosition="0">
        <references count="2">
          <reference field="0" count="1" selected="0">
            <x v="40"/>
          </reference>
          <reference field="9" count="1">
            <x v="0"/>
          </reference>
        </references>
      </pivotArea>
    </format>
    <format dxfId="1597">
      <pivotArea dataOnly="0" labelOnly="1" outline="0" fieldPosition="0">
        <references count="2">
          <reference field="0" count="1" selected="0">
            <x v="41"/>
          </reference>
          <reference field="9" count="1">
            <x v="1"/>
          </reference>
        </references>
      </pivotArea>
    </format>
    <format dxfId="1596">
      <pivotArea dataOnly="0" labelOnly="1" outline="0" fieldPosition="0">
        <references count="2">
          <reference field="0" count="1" selected="0">
            <x v="42"/>
          </reference>
          <reference field="9" count="1">
            <x v="1"/>
          </reference>
        </references>
      </pivotArea>
    </format>
    <format dxfId="1595">
      <pivotArea dataOnly="0" labelOnly="1" outline="0" fieldPosition="0">
        <references count="2">
          <reference field="0" count="1" selected="0">
            <x v="43"/>
          </reference>
          <reference field="9" count="1">
            <x v="1"/>
          </reference>
        </references>
      </pivotArea>
    </format>
    <format dxfId="1594">
      <pivotArea dataOnly="0" labelOnly="1" outline="0" fieldPosition="0">
        <references count="2">
          <reference field="0" count="1" selected="0">
            <x v="44"/>
          </reference>
          <reference field="9" count="1">
            <x v="1"/>
          </reference>
        </references>
      </pivotArea>
    </format>
    <format dxfId="1593">
      <pivotArea dataOnly="0" labelOnly="1" outline="0" fieldPosition="0">
        <references count="2">
          <reference field="0" count="1" selected="0">
            <x v="45"/>
          </reference>
          <reference field="9" count="1">
            <x v="1"/>
          </reference>
        </references>
      </pivotArea>
    </format>
    <format dxfId="1592">
      <pivotArea dataOnly="0" labelOnly="1" outline="0" fieldPosition="0">
        <references count="2">
          <reference field="0" count="1" selected="0">
            <x v="46"/>
          </reference>
          <reference field="9" count="1">
            <x v="1"/>
          </reference>
        </references>
      </pivotArea>
    </format>
    <format dxfId="1591">
      <pivotArea dataOnly="0" labelOnly="1" outline="0" fieldPosition="0">
        <references count="2">
          <reference field="0" count="1" selected="0">
            <x v="47"/>
          </reference>
          <reference field="9" count="1">
            <x v="1"/>
          </reference>
        </references>
      </pivotArea>
    </format>
    <format dxfId="1590">
      <pivotArea dataOnly="0" labelOnly="1" outline="0" fieldPosition="0">
        <references count="2">
          <reference field="0" count="1" selected="0">
            <x v="48"/>
          </reference>
          <reference field="9" count="1">
            <x v="1"/>
          </reference>
        </references>
      </pivotArea>
    </format>
    <format dxfId="1589">
      <pivotArea dataOnly="0" labelOnly="1" outline="0" fieldPosition="0">
        <references count="2">
          <reference field="0" count="1" selected="0">
            <x v="49"/>
          </reference>
          <reference field="9" count="1">
            <x v="1"/>
          </reference>
        </references>
      </pivotArea>
    </format>
    <format dxfId="1588">
      <pivotArea dataOnly="0" labelOnly="1" outline="0" fieldPosition="0">
        <references count="2">
          <reference field="0" count="1" selected="0">
            <x v="50"/>
          </reference>
          <reference field="9" count="1">
            <x v="0"/>
          </reference>
        </references>
      </pivotArea>
    </format>
    <format dxfId="1587">
      <pivotArea dataOnly="0" labelOnly="1" outline="0" fieldPosition="0">
        <references count="2">
          <reference field="0" count="1" selected="0">
            <x v="51"/>
          </reference>
          <reference field="9" count="1">
            <x v="1"/>
          </reference>
        </references>
      </pivotArea>
    </format>
    <format dxfId="1586">
      <pivotArea dataOnly="0" labelOnly="1" outline="0" fieldPosition="0">
        <references count="2">
          <reference field="0" count="1" selected="0">
            <x v="52"/>
          </reference>
          <reference field="9" count="1">
            <x v="0"/>
          </reference>
        </references>
      </pivotArea>
    </format>
    <format dxfId="1585">
      <pivotArea dataOnly="0" labelOnly="1" outline="0" fieldPosition="0">
        <references count="2">
          <reference field="0" count="1" selected="0">
            <x v="53"/>
          </reference>
          <reference field="9" count="1">
            <x v="1"/>
          </reference>
        </references>
      </pivotArea>
    </format>
    <format dxfId="1584">
      <pivotArea dataOnly="0" labelOnly="1" outline="0" fieldPosition="0">
        <references count="2">
          <reference field="0" count="1" selected="0">
            <x v="54"/>
          </reference>
          <reference field="9" count="1">
            <x v="0"/>
          </reference>
        </references>
      </pivotArea>
    </format>
    <format dxfId="1583">
      <pivotArea dataOnly="0" labelOnly="1" outline="0" fieldPosition="0">
        <references count="2">
          <reference field="0" count="1" selected="0">
            <x v="55"/>
          </reference>
          <reference field="9" count="1">
            <x v="0"/>
          </reference>
        </references>
      </pivotArea>
    </format>
    <format dxfId="1582">
      <pivotArea dataOnly="0" labelOnly="1" outline="0" fieldPosition="0">
        <references count="2">
          <reference field="0" count="1" selected="0">
            <x v="56"/>
          </reference>
          <reference field="9" count="1">
            <x v="0"/>
          </reference>
        </references>
      </pivotArea>
    </format>
    <format dxfId="1581">
      <pivotArea dataOnly="0" labelOnly="1" outline="0" fieldPosition="0">
        <references count="2">
          <reference field="0" count="1" selected="0">
            <x v="58"/>
          </reference>
          <reference field="9" count="1">
            <x v="1"/>
          </reference>
        </references>
      </pivotArea>
    </format>
    <format dxfId="1580">
      <pivotArea dataOnly="0" labelOnly="1" outline="0" fieldPosition="0">
        <references count="2">
          <reference field="0" count="1" selected="0">
            <x v="59"/>
          </reference>
          <reference field="9" count="1">
            <x v="0"/>
          </reference>
        </references>
      </pivotArea>
    </format>
    <format dxfId="1579">
      <pivotArea dataOnly="0" labelOnly="1" outline="0" fieldPosition="0">
        <references count="2">
          <reference field="0" count="1" selected="0">
            <x v="60"/>
          </reference>
          <reference field="9" count="1">
            <x v="1"/>
          </reference>
        </references>
      </pivotArea>
    </format>
    <format dxfId="1578">
      <pivotArea dataOnly="0" labelOnly="1" outline="0" fieldPosition="0">
        <references count="2">
          <reference field="0" count="1" selected="0">
            <x v="61"/>
          </reference>
          <reference field="9" count="1">
            <x v="0"/>
          </reference>
        </references>
      </pivotArea>
    </format>
    <format dxfId="1577">
      <pivotArea dataOnly="0" labelOnly="1" outline="0" fieldPosition="0">
        <references count="2">
          <reference field="0" count="1" selected="0">
            <x v="62"/>
          </reference>
          <reference field="9" count="1">
            <x v="0"/>
          </reference>
        </references>
      </pivotArea>
    </format>
    <format dxfId="1576">
      <pivotArea dataOnly="0" labelOnly="1" outline="0" fieldPosition="0">
        <references count="2">
          <reference field="0" count="1" selected="0">
            <x v="63"/>
          </reference>
          <reference field="9" count="1">
            <x v="0"/>
          </reference>
        </references>
      </pivotArea>
    </format>
    <format dxfId="1575">
      <pivotArea dataOnly="0" labelOnly="1" outline="0" fieldPosition="0">
        <references count="2">
          <reference field="0" count="1" selected="0">
            <x v="65"/>
          </reference>
          <reference field="9" count="1">
            <x v="1"/>
          </reference>
        </references>
      </pivotArea>
    </format>
    <format dxfId="1574">
      <pivotArea dataOnly="0" labelOnly="1" outline="0" fieldPosition="0">
        <references count="2">
          <reference field="0" count="1" selected="0">
            <x v="66"/>
          </reference>
          <reference field="9" count="1">
            <x v="0"/>
          </reference>
        </references>
      </pivotArea>
    </format>
    <format dxfId="1573">
      <pivotArea dataOnly="0" labelOnly="1" outline="0" fieldPosition="0">
        <references count="2">
          <reference field="0" count="1" selected="0">
            <x v="67"/>
          </reference>
          <reference field="9" count="1">
            <x v="1"/>
          </reference>
        </references>
      </pivotArea>
    </format>
    <format dxfId="1572">
      <pivotArea dataOnly="0" labelOnly="1" outline="0" fieldPosition="0">
        <references count="2">
          <reference field="0" count="1" selected="0">
            <x v="68"/>
          </reference>
          <reference field="9" count="1">
            <x v="0"/>
          </reference>
        </references>
      </pivotArea>
    </format>
    <format dxfId="1571">
      <pivotArea dataOnly="0" labelOnly="1" outline="0" fieldPosition="0">
        <references count="2">
          <reference field="0" count="1" selected="0">
            <x v="69"/>
          </reference>
          <reference field="9" count="1">
            <x v="1"/>
          </reference>
        </references>
      </pivotArea>
    </format>
    <format dxfId="1570">
      <pivotArea dataOnly="0" labelOnly="1" outline="0" fieldPosition="0">
        <references count="2">
          <reference field="0" count="1" selected="0">
            <x v="70"/>
          </reference>
          <reference field="9" count="1">
            <x v="1"/>
          </reference>
        </references>
      </pivotArea>
    </format>
    <format dxfId="1569">
      <pivotArea dataOnly="0" labelOnly="1" outline="0" fieldPosition="0">
        <references count="2">
          <reference field="0" count="1" selected="0">
            <x v="71"/>
          </reference>
          <reference field="9" count="1">
            <x v="1"/>
          </reference>
        </references>
      </pivotArea>
    </format>
    <format dxfId="1568">
      <pivotArea dataOnly="0" labelOnly="1" outline="0" fieldPosition="0">
        <references count="2">
          <reference field="0" count="1" selected="0">
            <x v="72"/>
          </reference>
          <reference field="9" count="1">
            <x v="0"/>
          </reference>
        </references>
      </pivotArea>
    </format>
    <format dxfId="1567">
      <pivotArea dataOnly="0" labelOnly="1" outline="0" fieldPosition="0">
        <references count="2">
          <reference field="0" count="1" selected="0">
            <x v="73"/>
          </reference>
          <reference field="9" count="1">
            <x v="1"/>
          </reference>
        </references>
      </pivotArea>
    </format>
    <format dxfId="1566">
      <pivotArea dataOnly="0" labelOnly="1" outline="0" fieldPosition="0">
        <references count="2">
          <reference field="0" count="1" selected="0">
            <x v="74"/>
          </reference>
          <reference field="9" count="1">
            <x v="1"/>
          </reference>
        </references>
      </pivotArea>
    </format>
    <format dxfId="1565">
      <pivotArea dataOnly="0" labelOnly="1" outline="0" fieldPosition="0">
        <references count="2">
          <reference field="0" count="1" selected="0">
            <x v="75"/>
          </reference>
          <reference field="9" count="1">
            <x v="1"/>
          </reference>
        </references>
      </pivotArea>
    </format>
    <format dxfId="1564">
      <pivotArea dataOnly="0" labelOnly="1" outline="0" fieldPosition="0">
        <references count="2">
          <reference field="0" count="1" selected="0">
            <x v="76"/>
          </reference>
          <reference field="9" count="1">
            <x v="1"/>
          </reference>
        </references>
      </pivotArea>
    </format>
    <format dxfId="1563">
      <pivotArea dataOnly="0" labelOnly="1" outline="0" fieldPosition="0">
        <references count="2">
          <reference field="0" count="1" selected="0">
            <x v="77"/>
          </reference>
          <reference field="9" count="1">
            <x v="0"/>
          </reference>
        </references>
      </pivotArea>
    </format>
    <format dxfId="1562">
      <pivotArea dataOnly="0" labelOnly="1" outline="0" fieldPosition="0">
        <references count="2">
          <reference field="0" count="1" selected="0">
            <x v="78"/>
          </reference>
          <reference field="9" count="1">
            <x v="0"/>
          </reference>
        </references>
      </pivotArea>
    </format>
    <format dxfId="1561">
      <pivotArea dataOnly="0" labelOnly="1" outline="0" fieldPosition="0">
        <references count="2">
          <reference field="0" count="1" selected="0">
            <x v="79"/>
          </reference>
          <reference field="9" count="1">
            <x v="0"/>
          </reference>
        </references>
      </pivotArea>
    </format>
    <format dxfId="1560">
      <pivotArea dataOnly="0" labelOnly="1" outline="0" fieldPosition="0">
        <references count="2">
          <reference field="0" count="1" selected="0">
            <x v="80"/>
          </reference>
          <reference field="9" count="1">
            <x v="0"/>
          </reference>
        </references>
      </pivotArea>
    </format>
    <format dxfId="1559">
      <pivotArea dataOnly="0" labelOnly="1" outline="0" fieldPosition="0">
        <references count="2">
          <reference field="0" count="1" selected="0">
            <x v="81"/>
          </reference>
          <reference field="9" count="1">
            <x v="1"/>
          </reference>
        </references>
      </pivotArea>
    </format>
    <format dxfId="1558">
      <pivotArea dataOnly="0" labelOnly="1" outline="0" fieldPosition="0">
        <references count="2">
          <reference field="0" count="1" selected="0">
            <x v="82"/>
          </reference>
          <reference field="9" count="1">
            <x v="0"/>
          </reference>
        </references>
      </pivotArea>
    </format>
    <format dxfId="1557">
      <pivotArea dataOnly="0" labelOnly="1" outline="0" fieldPosition="0">
        <references count="2">
          <reference field="0" count="1" selected="0">
            <x v="90"/>
          </reference>
          <reference field="9" count="1">
            <x v="1"/>
          </reference>
        </references>
      </pivotArea>
    </format>
    <format dxfId="1556">
      <pivotArea dataOnly="0" labelOnly="1" outline="0" fieldPosition="0">
        <references count="2">
          <reference field="0" count="1" selected="0">
            <x v="91"/>
          </reference>
          <reference field="9" count="1">
            <x v="1"/>
          </reference>
        </references>
      </pivotArea>
    </format>
    <format dxfId="1555">
      <pivotArea dataOnly="0" labelOnly="1" outline="0" fieldPosition="0">
        <references count="2">
          <reference field="0" count="1" selected="0">
            <x v="92"/>
          </reference>
          <reference field="9" count="1">
            <x v="1"/>
          </reference>
        </references>
      </pivotArea>
    </format>
    <format dxfId="1554">
      <pivotArea dataOnly="0" labelOnly="1" outline="0" fieldPosition="0">
        <references count="2">
          <reference field="0" count="1" selected="0">
            <x v="93"/>
          </reference>
          <reference field="9" count="1">
            <x v="1"/>
          </reference>
        </references>
      </pivotArea>
    </format>
    <format dxfId="1553">
      <pivotArea dataOnly="0" labelOnly="1" outline="0" fieldPosition="0">
        <references count="2">
          <reference field="0" count="1" selected="0">
            <x v="94"/>
          </reference>
          <reference field="9" count="1">
            <x v="1"/>
          </reference>
        </references>
      </pivotArea>
    </format>
    <format dxfId="1552">
      <pivotArea dataOnly="0" labelOnly="1" outline="0" fieldPosition="0">
        <references count="2">
          <reference field="0" count="1" selected="0">
            <x v="95"/>
          </reference>
          <reference field="9" count="1">
            <x v="1"/>
          </reference>
        </references>
      </pivotArea>
    </format>
    <format dxfId="1551">
      <pivotArea dataOnly="0" labelOnly="1" outline="0" fieldPosition="0">
        <references count="2">
          <reference field="0" count="1" selected="0">
            <x v="96"/>
          </reference>
          <reference field="9" count="1">
            <x v="1"/>
          </reference>
        </references>
      </pivotArea>
    </format>
    <format dxfId="1550">
      <pivotArea dataOnly="0" labelOnly="1" outline="0" fieldPosition="0">
        <references count="2">
          <reference field="0" count="1" selected="0">
            <x v="97"/>
          </reference>
          <reference field="9" count="1">
            <x v="1"/>
          </reference>
        </references>
      </pivotArea>
    </format>
    <format dxfId="1549">
      <pivotArea dataOnly="0" labelOnly="1" outline="0" fieldPosition="0">
        <references count="2">
          <reference field="0" count="1" selected="0">
            <x v="98"/>
          </reference>
          <reference field="9" count="1">
            <x v="1"/>
          </reference>
        </references>
      </pivotArea>
    </format>
    <format dxfId="1548">
      <pivotArea dataOnly="0" labelOnly="1" outline="0" fieldPosition="0">
        <references count="2">
          <reference field="0" count="1" selected="0">
            <x v="99"/>
          </reference>
          <reference field="9" count="1">
            <x v="0"/>
          </reference>
        </references>
      </pivotArea>
    </format>
    <format dxfId="1547">
      <pivotArea dataOnly="0" labelOnly="1" outline="0" fieldPosition="0">
        <references count="2">
          <reference field="0" count="1" selected="0">
            <x v="100"/>
          </reference>
          <reference field="9" count="1">
            <x v="0"/>
          </reference>
        </references>
      </pivotArea>
    </format>
    <format dxfId="1546">
      <pivotArea dataOnly="0" labelOnly="1" outline="0" fieldPosition="0">
        <references count="2">
          <reference field="0" count="1" selected="0">
            <x v="101"/>
          </reference>
          <reference field="9" count="1">
            <x v="0"/>
          </reference>
        </references>
      </pivotArea>
    </format>
    <format dxfId="1545">
      <pivotArea dataOnly="0" labelOnly="1" outline="0" fieldPosition="0">
        <references count="2">
          <reference field="0" count="1" selected="0">
            <x v="105"/>
          </reference>
          <reference field="9" count="1">
            <x v="0"/>
          </reference>
        </references>
      </pivotArea>
    </format>
    <format dxfId="1544">
      <pivotArea dataOnly="0" labelOnly="1" outline="0" fieldPosition="0">
        <references count="2">
          <reference field="0" count="1" selected="0">
            <x v="106"/>
          </reference>
          <reference field="9" count="1">
            <x v="1"/>
          </reference>
        </references>
      </pivotArea>
    </format>
    <format dxfId="1543">
      <pivotArea dataOnly="0" labelOnly="1" outline="0" fieldPosition="0">
        <references count="2">
          <reference field="0" count="1" selected="0">
            <x v="110"/>
          </reference>
          <reference field="9" count="1">
            <x v="1"/>
          </reference>
        </references>
      </pivotArea>
    </format>
    <format dxfId="1542">
      <pivotArea dataOnly="0" labelOnly="1" outline="0" fieldPosition="0">
        <references count="2">
          <reference field="0" count="1" selected="0">
            <x v="116"/>
          </reference>
          <reference field="9" count="1">
            <x v="0"/>
          </reference>
        </references>
      </pivotArea>
    </format>
    <format dxfId="1541">
      <pivotArea dataOnly="0" labelOnly="1" outline="0" fieldPosition="0">
        <references count="2">
          <reference field="0" count="1" selected="0">
            <x v="117"/>
          </reference>
          <reference field="9" count="1">
            <x v="1"/>
          </reference>
        </references>
      </pivotArea>
    </format>
    <format dxfId="1540">
      <pivotArea dataOnly="0" labelOnly="1" outline="0" fieldPosition="0">
        <references count="2">
          <reference field="0" count="1" selected="0">
            <x v="118"/>
          </reference>
          <reference field="9" count="1">
            <x v="0"/>
          </reference>
        </references>
      </pivotArea>
    </format>
    <format dxfId="1539">
      <pivotArea dataOnly="0" labelOnly="1" outline="0" fieldPosition="0">
        <references count="2">
          <reference field="0" count="1" selected="0">
            <x v="119"/>
          </reference>
          <reference field="9" count="1">
            <x v="0"/>
          </reference>
        </references>
      </pivotArea>
    </format>
    <format dxfId="1538">
      <pivotArea dataOnly="0" labelOnly="1" outline="0" fieldPosition="0">
        <references count="2">
          <reference field="0" count="1" selected="0">
            <x v="122"/>
          </reference>
          <reference field="9" count="1">
            <x v="0"/>
          </reference>
        </references>
      </pivotArea>
    </format>
    <format dxfId="1537">
      <pivotArea dataOnly="0" labelOnly="1" outline="0" fieldPosition="0">
        <references count="2">
          <reference field="0" count="1" selected="0">
            <x v="123"/>
          </reference>
          <reference field="9" count="1">
            <x v="0"/>
          </reference>
        </references>
      </pivotArea>
    </format>
    <format dxfId="1536">
      <pivotArea dataOnly="0" labelOnly="1" outline="0" fieldPosition="0">
        <references count="2">
          <reference field="0" count="1" selected="0">
            <x v="125"/>
          </reference>
          <reference field="9" count="1">
            <x v="1"/>
          </reference>
        </references>
      </pivotArea>
    </format>
    <format dxfId="1535">
      <pivotArea dataOnly="0" labelOnly="1" outline="0" fieldPosition="0">
        <references count="2">
          <reference field="0" count="1" selected="0">
            <x v="126"/>
          </reference>
          <reference field="9" count="1">
            <x v="1"/>
          </reference>
        </references>
      </pivotArea>
    </format>
    <format dxfId="1534">
      <pivotArea dataOnly="0" labelOnly="1" outline="0" fieldPosition="0">
        <references count="2">
          <reference field="0" count="1" selected="0">
            <x v="127"/>
          </reference>
          <reference field="9" count="1">
            <x v="1"/>
          </reference>
        </references>
      </pivotArea>
    </format>
    <format dxfId="1533">
      <pivotArea dataOnly="0" labelOnly="1" outline="0" fieldPosition="0">
        <references count="2">
          <reference field="0" count="1" selected="0">
            <x v="128"/>
          </reference>
          <reference field="9" count="1">
            <x v="1"/>
          </reference>
        </references>
      </pivotArea>
    </format>
    <format dxfId="1532">
      <pivotArea dataOnly="0" labelOnly="1" outline="0" fieldPosition="0">
        <references count="2">
          <reference field="0" count="1" selected="0">
            <x v="129"/>
          </reference>
          <reference field="9" count="1">
            <x v="1"/>
          </reference>
        </references>
      </pivotArea>
    </format>
    <format dxfId="1531">
      <pivotArea dataOnly="0" labelOnly="1" outline="0" fieldPosition="0">
        <references count="2">
          <reference field="0" count="1" selected="0">
            <x v="130"/>
          </reference>
          <reference field="9" count="1">
            <x v="1"/>
          </reference>
        </references>
      </pivotArea>
    </format>
    <format dxfId="1530">
      <pivotArea dataOnly="0" labelOnly="1" outline="0" fieldPosition="0">
        <references count="2">
          <reference field="0" count="1" selected="0">
            <x v="131"/>
          </reference>
          <reference field="9" count="1">
            <x v="1"/>
          </reference>
        </references>
      </pivotArea>
    </format>
    <format dxfId="1529">
      <pivotArea dataOnly="0" labelOnly="1" outline="0" fieldPosition="0">
        <references count="2">
          <reference field="0" count="1" selected="0">
            <x v="132"/>
          </reference>
          <reference field="9" count="1">
            <x v="0"/>
          </reference>
        </references>
      </pivotArea>
    </format>
    <format dxfId="1528">
      <pivotArea dataOnly="0" labelOnly="1" outline="0" fieldPosition="0">
        <references count="2">
          <reference field="0" count="1" selected="0">
            <x v="133"/>
          </reference>
          <reference field="9" count="1">
            <x v="0"/>
          </reference>
        </references>
      </pivotArea>
    </format>
    <format dxfId="1527">
      <pivotArea dataOnly="0" labelOnly="1" outline="0" fieldPosition="0">
        <references count="2">
          <reference field="0" count="1" selected="0">
            <x v="134"/>
          </reference>
          <reference field="9" count="1">
            <x v="0"/>
          </reference>
        </references>
      </pivotArea>
    </format>
    <format dxfId="1526">
      <pivotArea dataOnly="0" labelOnly="1" outline="0" fieldPosition="0">
        <references count="2">
          <reference field="0" count="1" selected="0">
            <x v="135"/>
          </reference>
          <reference field="9" count="1">
            <x v="0"/>
          </reference>
        </references>
      </pivotArea>
    </format>
    <format dxfId="1525">
      <pivotArea dataOnly="0" labelOnly="1" outline="0" fieldPosition="0">
        <references count="2">
          <reference field="0" count="1" selected="0">
            <x v="136"/>
          </reference>
          <reference field="9" count="1">
            <x v="0"/>
          </reference>
        </references>
      </pivotArea>
    </format>
    <format dxfId="1524">
      <pivotArea dataOnly="0" labelOnly="1" outline="0" fieldPosition="0">
        <references count="2">
          <reference field="0" count="1" selected="0">
            <x v="137"/>
          </reference>
          <reference field="9" count="1">
            <x v="1"/>
          </reference>
        </references>
      </pivotArea>
    </format>
    <format dxfId="1523">
      <pivotArea dataOnly="0" labelOnly="1" outline="0" fieldPosition="0">
        <references count="2">
          <reference field="0" count="1" selected="0">
            <x v="139"/>
          </reference>
          <reference field="9" count="1">
            <x v="0"/>
          </reference>
        </references>
      </pivotArea>
    </format>
    <format dxfId="1522">
      <pivotArea dataOnly="0" labelOnly="1" outline="0" fieldPosition="0">
        <references count="2">
          <reference field="0" count="1" selected="0">
            <x v="141"/>
          </reference>
          <reference field="9" count="1">
            <x v="0"/>
          </reference>
        </references>
      </pivotArea>
    </format>
    <format dxfId="1521">
      <pivotArea dataOnly="0" labelOnly="1" outline="0" fieldPosition="0">
        <references count="2">
          <reference field="0" count="1" selected="0">
            <x v="142"/>
          </reference>
          <reference field="9" count="1">
            <x v="1"/>
          </reference>
        </references>
      </pivotArea>
    </format>
    <format dxfId="1520">
      <pivotArea dataOnly="0" labelOnly="1" outline="0" fieldPosition="0">
        <references count="2">
          <reference field="0" count="1" selected="0">
            <x v="144"/>
          </reference>
          <reference field="9" count="1">
            <x v="0"/>
          </reference>
        </references>
      </pivotArea>
    </format>
    <format dxfId="1519">
      <pivotArea dataOnly="0" labelOnly="1" outline="0" fieldPosition="0">
        <references count="2">
          <reference field="0" count="1" selected="0">
            <x v="147"/>
          </reference>
          <reference field="9" count="1">
            <x v="0"/>
          </reference>
        </references>
      </pivotArea>
    </format>
    <format dxfId="1518">
      <pivotArea dataOnly="0" labelOnly="1" outline="0" fieldPosition="0">
        <references count="2">
          <reference field="0" count="1" selected="0">
            <x v="148"/>
          </reference>
          <reference field="9" count="1">
            <x v="0"/>
          </reference>
        </references>
      </pivotArea>
    </format>
    <format dxfId="1517">
      <pivotArea dataOnly="0" labelOnly="1" outline="0" fieldPosition="0">
        <references count="2">
          <reference field="0" count="1" selected="0">
            <x v="149"/>
          </reference>
          <reference field="9" count="1">
            <x v="0"/>
          </reference>
        </references>
      </pivotArea>
    </format>
    <format dxfId="1516">
      <pivotArea dataOnly="0" labelOnly="1" outline="0" fieldPosition="0">
        <references count="2">
          <reference field="0" count="1" selected="0">
            <x v="150"/>
          </reference>
          <reference field="9" count="1">
            <x v="0"/>
          </reference>
        </references>
      </pivotArea>
    </format>
    <format dxfId="1515">
      <pivotArea dataOnly="0" labelOnly="1" outline="0" fieldPosition="0">
        <references count="2">
          <reference field="0" count="1" selected="0">
            <x v="151"/>
          </reference>
          <reference field="9" count="1">
            <x v="0"/>
          </reference>
        </references>
      </pivotArea>
    </format>
    <format dxfId="1514">
      <pivotArea dataOnly="0" labelOnly="1" outline="0" fieldPosition="0">
        <references count="2">
          <reference field="0" count="1" selected="0">
            <x v="152"/>
          </reference>
          <reference field="9" count="1">
            <x v="0"/>
          </reference>
        </references>
      </pivotArea>
    </format>
    <format dxfId="1513">
      <pivotArea dataOnly="0" labelOnly="1" outline="0" fieldPosition="0">
        <references count="2">
          <reference field="0" count="1" selected="0">
            <x v="153"/>
          </reference>
          <reference field="9" count="1">
            <x v="0"/>
          </reference>
        </references>
      </pivotArea>
    </format>
    <format dxfId="1512">
      <pivotArea dataOnly="0" labelOnly="1" outline="0" fieldPosition="0">
        <references count="2">
          <reference field="0" count="1" selected="0">
            <x v="154"/>
          </reference>
          <reference field="9" count="1">
            <x v="0"/>
          </reference>
        </references>
      </pivotArea>
    </format>
    <format dxfId="1511">
      <pivotArea dataOnly="0" labelOnly="1" outline="0" fieldPosition="0">
        <references count="2">
          <reference field="0" count="1" selected="0">
            <x v="155"/>
          </reference>
          <reference field="9" count="1">
            <x v="0"/>
          </reference>
        </references>
      </pivotArea>
    </format>
    <format dxfId="1510">
      <pivotArea dataOnly="0" labelOnly="1" outline="0" fieldPosition="0">
        <references count="2">
          <reference field="0" count="1" selected="0">
            <x v="156"/>
          </reference>
          <reference field="9" count="1">
            <x v="0"/>
          </reference>
        </references>
      </pivotArea>
    </format>
    <format dxfId="1509">
      <pivotArea dataOnly="0" labelOnly="1" outline="0" fieldPosition="0">
        <references count="2">
          <reference field="0" count="1" selected="0">
            <x v="157"/>
          </reference>
          <reference field="9" count="1">
            <x v="0"/>
          </reference>
        </references>
      </pivotArea>
    </format>
    <format dxfId="1508">
      <pivotArea dataOnly="0" labelOnly="1" outline="0" fieldPosition="0">
        <references count="2">
          <reference field="0" count="1" selected="0">
            <x v="158"/>
          </reference>
          <reference field="9" count="1">
            <x v="0"/>
          </reference>
        </references>
      </pivotArea>
    </format>
    <format dxfId="1507">
      <pivotArea dataOnly="0" labelOnly="1" outline="0" fieldPosition="0">
        <references count="2">
          <reference field="0" count="1" selected="0">
            <x v="159"/>
          </reference>
          <reference field="9" count="1">
            <x v="1"/>
          </reference>
        </references>
      </pivotArea>
    </format>
    <format dxfId="1506">
      <pivotArea dataOnly="0" labelOnly="1" outline="0" fieldPosition="0">
        <references count="2">
          <reference field="0" count="1" selected="0">
            <x v="160"/>
          </reference>
          <reference field="9" count="1">
            <x v="1"/>
          </reference>
        </references>
      </pivotArea>
    </format>
    <format dxfId="1505">
      <pivotArea dataOnly="0" labelOnly="1" outline="0" fieldPosition="0">
        <references count="2">
          <reference field="0" count="1" selected="0">
            <x v="162"/>
          </reference>
          <reference field="9" count="1">
            <x v="1"/>
          </reference>
        </references>
      </pivotArea>
    </format>
    <format dxfId="1504">
      <pivotArea dataOnly="0" labelOnly="1" outline="0" fieldPosition="0">
        <references count="2">
          <reference field="0" count="1" selected="0">
            <x v="163"/>
          </reference>
          <reference field="9" count="1">
            <x v="0"/>
          </reference>
        </references>
      </pivotArea>
    </format>
    <format dxfId="1503">
      <pivotArea dataOnly="0" labelOnly="1" outline="0" fieldPosition="0">
        <references count="2">
          <reference field="0" count="1" selected="0">
            <x v="164"/>
          </reference>
          <reference field="9" count="1">
            <x v="0"/>
          </reference>
        </references>
      </pivotArea>
    </format>
    <format dxfId="1502">
      <pivotArea dataOnly="0" labelOnly="1" outline="0" fieldPosition="0">
        <references count="2">
          <reference field="0" count="1" selected="0">
            <x v="165"/>
          </reference>
          <reference field="9" count="1">
            <x v="0"/>
          </reference>
        </references>
      </pivotArea>
    </format>
    <format dxfId="1501">
      <pivotArea dataOnly="0" labelOnly="1" outline="0" fieldPosition="0">
        <references count="2">
          <reference field="0" count="1" selected="0">
            <x v="166"/>
          </reference>
          <reference field="9" count="1">
            <x v="0"/>
          </reference>
        </references>
      </pivotArea>
    </format>
    <format dxfId="1500">
      <pivotArea dataOnly="0" labelOnly="1" outline="0" fieldPosition="0">
        <references count="2">
          <reference field="0" count="1" selected="0">
            <x v="167"/>
          </reference>
          <reference field="9" count="1">
            <x v="0"/>
          </reference>
        </references>
      </pivotArea>
    </format>
    <format dxfId="1499">
      <pivotArea dataOnly="0" labelOnly="1" outline="0" fieldPosition="0">
        <references count="2">
          <reference field="0" count="1" selected="0">
            <x v="168"/>
          </reference>
          <reference field="9" count="1">
            <x v="0"/>
          </reference>
        </references>
      </pivotArea>
    </format>
    <format dxfId="1498">
      <pivotArea dataOnly="0" labelOnly="1" outline="0" fieldPosition="0">
        <references count="2">
          <reference field="0" count="1" selected="0">
            <x v="169"/>
          </reference>
          <reference field="9" count="1">
            <x v="0"/>
          </reference>
        </references>
      </pivotArea>
    </format>
    <format dxfId="1497">
      <pivotArea dataOnly="0" labelOnly="1" outline="0" fieldPosition="0">
        <references count="2">
          <reference field="0" count="1" selected="0">
            <x v="170"/>
          </reference>
          <reference field="9" count="1">
            <x v="0"/>
          </reference>
        </references>
      </pivotArea>
    </format>
    <format dxfId="1496">
      <pivotArea dataOnly="0" labelOnly="1" outline="0" fieldPosition="0">
        <references count="2">
          <reference field="0" count="1" selected="0">
            <x v="172"/>
          </reference>
          <reference field="9" count="1">
            <x v="1"/>
          </reference>
        </references>
      </pivotArea>
    </format>
    <format dxfId="1495">
      <pivotArea dataOnly="0" labelOnly="1" outline="0" fieldPosition="0">
        <references count="2">
          <reference field="0" count="1" selected="0">
            <x v="173"/>
          </reference>
          <reference field="9" count="1">
            <x v="1"/>
          </reference>
        </references>
      </pivotArea>
    </format>
    <format dxfId="1494">
      <pivotArea dataOnly="0" labelOnly="1" outline="0" fieldPosition="0">
        <references count="2">
          <reference field="0" count="1" selected="0">
            <x v="174"/>
          </reference>
          <reference field="9" count="1">
            <x v="1"/>
          </reference>
        </references>
      </pivotArea>
    </format>
    <format dxfId="1493">
      <pivotArea dataOnly="0" labelOnly="1" outline="0" fieldPosition="0">
        <references count="2">
          <reference field="0" count="1" selected="0">
            <x v="175"/>
          </reference>
          <reference field="9" count="1">
            <x v="1"/>
          </reference>
        </references>
      </pivotArea>
    </format>
    <format dxfId="1492">
      <pivotArea dataOnly="0" labelOnly="1" outline="0" fieldPosition="0">
        <references count="2">
          <reference field="0" count="1" selected="0">
            <x v="177"/>
          </reference>
          <reference field="9" count="1">
            <x v="0"/>
          </reference>
        </references>
      </pivotArea>
    </format>
    <format dxfId="1491">
      <pivotArea dataOnly="0" labelOnly="1" outline="0" fieldPosition="0">
        <references count="2">
          <reference field="0" count="1" selected="0">
            <x v="178"/>
          </reference>
          <reference field="9" count="1">
            <x v="1"/>
          </reference>
        </references>
      </pivotArea>
    </format>
    <format dxfId="1490">
      <pivotArea dataOnly="0" labelOnly="1" outline="0" fieldPosition="0">
        <references count="2">
          <reference field="0" count="1" selected="0">
            <x v="179"/>
          </reference>
          <reference field="9" count="1">
            <x v="0"/>
          </reference>
        </references>
      </pivotArea>
    </format>
    <format dxfId="1489">
      <pivotArea dataOnly="0" labelOnly="1" outline="0" fieldPosition="0">
        <references count="2">
          <reference field="0" count="1" selected="0">
            <x v="180"/>
          </reference>
          <reference field="9" count="1">
            <x v="0"/>
          </reference>
        </references>
      </pivotArea>
    </format>
    <format dxfId="1488">
      <pivotArea dataOnly="0" labelOnly="1" outline="0" fieldPosition="0">
        <references count="2">
          <reference field="0" count="1" selected="0">
            <x v="183"/>
          </reference>
          <reference field="9" count="1">
            <x v="1"/>
          </reference>
        </references>
      </pivotArea>
    </format>
    <format dxfId="1487">
      <pivotArea dataOnly="0" labelOnly="1" outline="0" fieldPosition="0">
        <references count="2">
          <reference field="0" count="1" selected="0">
            <x v="184"/>
          </reference>
          <reference field="9" count="1">
            <x v="1"/>
          </reference>
        </references>
      </pivotArea>
    </format>
    <format dxfId="1486">
      <pivotArea dataOnly="0" labelOnly="1" outline="0" fieldPosition="0">
        <references count="2">
          <reference field="0" count="1" selected="0">
            <x v="185"/>
          </reference>
          <reference field="9" count="1">
            <x v="1"/>
          </reference>
        </references>
      </pivotArea>
    </format>
    <format dxfId="1485">
      <pivotArea dataOnly="0" labelOnly="1" outline="0" fieldPosition="0">
        <references count="2">
          <reference field="0" count="1" selected="0">
            <x v="186"/>
          </reference>
          <reference field="9" count="1">
            <x v="1"/>
          </reference>
        </references>
      </pivotArea>
    </format>
    <format dxfId="1484">
      <pivotArea dataOnly="0" labelOnly="1" outline="0" fieldPosition="0">
        <references count="2">
          <reference field="0" count="1" selected="0">
            <x v="187"/>
          </reference>
          <reference field="9" count="1">
            <x v="0"/>
          </reference>
        </references>
      </pivotArea>
    </format>
    <format dxfId="1483">
      <pivotArea dataOnly="0" labelOnly="1" outline="0" fieldPosition="0">
        <references count="2">
          <reference field="0" count="1" selected="0">
            <x v="189"/>
          </reference>
          <reference field="9" count="1">
            <x v="0"/>
          </reference>
        </references>
      </pivotArea>
    </format>
    <format dxfId="1482">
      <pivotArea dataOnly="0" labelOnly="1" outline="0" fieldPosition="0">
        <references count="2">
          <reference field="0" count="1" selected="0">
            <x v="190"/>
          </reference>
          <reference field="9" count="1">
            <x v="0"/>
          </reference>
        </references>
      </pivotArea>
    </format>
    <format dxfId="1481">
      <pivotArea dataOnly="0" labelOnly="1" outline="0" fieldPosition="0">
        <references count="2">
          <reference field="0" count="1" selected="0">
            <x v="197"/>
          </reference>
          <reference field="9" count="1">
            <x v="0"/>
          </reference>
        </references>
      </pivotArea>
    </format>
    <format dxfId="1480">
      <pivotArea dataOnly="0" labelOnly="1" outline="0" fieldPosition="0">
        <references count="2">
          <reference field="0" count="1" selected="0">
            <x v="198"/>
          </reference>
          <reference field="9" count="1">
            <x v="0"/>
          </reference>
        </references>
      </pivotArea>
    </format>
    <format dxfId="1479">
      <pivotArea dataOnly="0" labelOnly="1" outline="0" fieldPosition="0">
        <references count="2">
          <reference field="0" count="1" selected="0">
            <x v="200"/>
          </reference>
          <reference field="9" count="1">
            <x v="1"/>
          </reference>
        </references>
      </pivotArea>
    </format>
    <format dxfId="1478">
      <pivotArea dataOnly="0" labelOnly="1" outline="0" fieldPosition="0">
        <references count="2">
          <reference field="0" count="1" selected="0">
            <x v="202"/>
          </reference>
          <reference field="9" count="1">
            <x v="1"/>
          </reference>
        </references>
      </pivotArea>
    </format>
    <format dxfId="1477">
      <pivotArea dataOnly="0" labelOnly="1" outline="0" fieldPosition="0">
        <references count="2">
          <reference field="0" count="1" selected="0">
            <x v="203"/>
          </reference>
          <reference field="9" count="1">
            <x v="1"/>
          </reference>
        </references>
      </pivotArea>
    </format>
    <format dxfId="1476">
      <pivotArea dataOnly="0" labelOnly="1" outline="0" fieldPosition="0">
        <references count="2">
          <reference field="0" count="1" selected="0">
            <x v="206"/>
          </reference>
          <reference field="9" count="1">
            <x v="0"/>
          </reference>
        </references>
      </pivotArea>
    </format>
    <format dxfId="1475">
      <pivotArea dataOnly="0" labelOnly="1" outline="0" fieldPosition="0">
        <references count="2">
          <reference field="0" count="1" selected="0">
            <x v="207"/>
          </reference>
          <reference field="9" count="1">
            <x v="0"/>
          </reference>
        </references>
      </pivotArea>
    </format>
    <format dxfId="1474">
      <pivotArea dataOnly="0" labelOnly="1" outline="0" fieldPosition="0">
        <references count="2">
          <reference field="0" count="1" selected="0">
            <x v="209"/>
          </reference>
          <reference field="9" count="1">
            <x v="0"/>
          </reference>
        </references>
      </pivotArea>
    </format>
    <format dxfId="1473">
      <pivotArea dataOnly="0" labelOnly="1" outline="0" fieldPosition="0">
        <references count="2">
          <reference field="0" count="1" selected="0">
            <x v="211"/>
          </reference>
          <reference field="9" count="1">
            <x v="1"/>
          </reference>
        </references>
      </pivotArea>
    </format>
    <format dxfId="1472">
      <pivotArea dataOnly="0" labelOnly="1" outline="0" fieldPosition="0">
        <references count="2">
          <reference field="0" count="1" selected="0">
            <x v="216"/>
          </reference>
          <reference field="9" count="1">
            <x v="1"/>
          </reference>
        </references>
      </pivotArea>
    </format>
    <format dxfId="1471">
      <pivotArea dataOnly="0" labelOnly="1" outline="0" fieldPosition="0">
        <references count="2">
          <reference field="0" count="1" selected="0">
            <x v="217"/>
          </reference>
          <reference field="9" count="1">
            <x v="1"/>
          </reference>
        </references>
      </pivotArea>
    </format>
    <format dxfId="1470">
      <pivotArea dataOnly="0" labelOnly="1" outline="0" fieldPosition="0">
        <references count="2">
          <reference field="0" count="1" selected="0">
            <x v="218"/>
          </reference>
          <reference field="9" count="1">
            <x v="0"/>
          </reference>
        </references>
      </pivotArea>
    </format>
    <format dxfId="1469">
      <pivotArea dataOnly="0" labelOnly="1" outline="0" fieldPosition="0">
        <references count="2">
          <reference field="0" count="1" selected="0">
            <x v="219"/>
          </reference>
          <reference field="9" count="1">
            <x v="0"/>
          </reference>
        </references>
      </pivotArea>
    </format>
    <format dxfId="1468">
      <pivotArea dataOnly="0" labelOnly="1" outline="0" fieldPosition="0">
        <references count="2">
          <reference field="0" count="1" selected="0">
            <x v="220"/>
          </reference>
          <reference field="9" count="1">
            <x v="0"/>
          </reference>
        </references>
      </pivotArea>
    </format>
    <format dxfId="1467">
      <pivotArea dataOnly="0" labelOnly="1" outline="0" fieldPosition="0">
        <references count="2">
          <reference field="0" count="1" selected="0">
            <x v="222"/>
          </reference>
          <reference field="9" count="1">
            <x v="0"/>
          </reference>
        </references>
      </pivotArea>
    </format>
    <format dxfId="1466">
      <pivotArea dataOnly="0" labelOnly="1" outline="0" fieldPosition="0">
        <references count="2">
          <reference field="0" count="1" selected="0">
            <x v="223"/>
          </reference>
          <reference field="9" count="1">
            <x v="0"/>
          </reference>
        </references>
      </pivotArea>
    </format>
    <format dxfId="1465">
      <pivotArea dataOnly="0" labelOnly="1" outline="0" fieldPosition="0">
        <references count="2">
          <reference field="0" count="1" selected="0">
            <x v="224"/>
          </reference>
          <reference field="9" count="1">
            <x v="1"/>
          </reference>
        </references>
      </pivotArea>
    </format>
    <format dxfId="1464">
      <pivotArea dataOnly="0" labelOnly="1" outline="0" fieldPosition="0">
        <references count="2">
          <reference field="0" count="1" selected="0">
            <x v="225"/>
          </reference>
          <reference field="9" count="1">
            <x v="0"/>
          </reference>
        </references>
      </pivotArea>
    </format>
    <format dxfId="1463">
      <pivotArea dataOnly="0" labelOnly="1" outline="0" fieldPosition="0">
        <references count="2">
          <reference field="0" count="1" selected="0">
            <x v="226"/>
          </reference>
          <reference field="9" count="1">
            <x v="0"/>
          </reference>
        </references>
      </pivotArea>
    </format>
    <format dxfId="1462">
      <pivotArea dataOnly="0" labelOnly="1" outline="0" fieldPosition="0">
        <references count="2">
          <reference field="0" count="1" selected="0">
            <x v="228"/>
          </reference>
          <reference field="9" count="1">
            <x v="0"/>
          </reference>
        </references>
      </pivotArea>
    </format>
    <format dxfId="1461">
      <pivotArea dataOnly="0" labelOnly="1" outline="0" fieldPosition="0">
        <references count="2">
          <reference field="0" count="1" selected="0">
            <x v="229"/>
          </reference>
          <reference field="9" count="1">
            <x v="1"/>
          </reference>
        </references>
      </pivotArea>
    </format>
    <format dxfId="1460">
      <pivotArea dataOnly="0" labelOnly="1" outline="0" fieldPosition="0">
        <references count="2">
          <reference field="0" count="1" selected="0">
            <x v="233"/>
          </reference>
          <reference field="9" count="1">
            <x v="0"/>
          </reference>
        </references>
      </pivotArea>
    </format>
    <format dxfId="1459">
      <pivotArea dataOnly="0" labelOnly="1" outline="0" fieldPosition="0">
        <references count="2">
          <reference field="0" count="1" selected="0">
            <x v="234"/>
          </reference>
          <reference field="9" count="1">
            <x v="0"/>
          </reference>
        </references>
      </pivotArea>
    </format>
    <format dxfId="1458">
      <pivotArea dataOnly="0" labelOnly="1" outline="0" fieldPosition="0">
        <references count="2">
          <reference field="0" count="1" selected="0">
            <x v="237"/>
          </reference>
          <reference field="9" count="1">
            <x v="0"/>
          </reference>
        </references>
      </pivotArea>
    </format>
    <format dxfId="1457">
      <pivotArea dataOnly="0" labelOnly="1" outline="0" fieldPosition="0">
        <references count="2">
          <reference field="0" count="1" selected="0">
            <x v="238"/>
          </reference>
          <reference field="9" count="1">
            <x v="0"/>
          </reference>
        </references>
      </pivotArea>
    </format>
    <format dxfId="1456">
      <pivotArea dataOnly="0" labelOnly="1" outline="0" fieldPosition="0">
        <references count="2">
          <reference field="0" count="1" selected="0">
            <x v="240"/>
          </reference>
          <reference field="9" count="1">
            <x v="0"/>
          </reference>
        </references>
      </pivotArea>
    </format>
    <format dxfId="1455">
      <pivotArea dataOnly="0" labelOnly="1" outline="0" fieldPosition="0">
        <references count="2">
          <reference field="0" count="1" selected="0">
            <x v="241"/>
          </reference>
          <reference field="9" count="1">
            <x v="0"/>
          </reference>
        </references>
      </pivotArea>
    </format>
    <format dxfId="1454">
      <pivotArea dataOnly="0" labelOnly="1" outline="0" fieldPosition="0">
        <references count="2">
          <reference field="0" count="1" selected="0">
            <x v="244"/>
          </reference>
          <reference field="9" count="1">
            <x v="1"/>
          </reference>
        </references>
      </pivotArea>
    </format>
    <format dxfId="1453">
      <pivotArea dataOnly="0" labelOnly="1" outline="0" fieldPosition="0">
        <references count="2">
          <reference field="0" count="1" selected="0">
            <x v="245"/>
          </reference>
          <reference field="9" count="1">
            <x v="1"/>
          </reference>
        </references>
      </pivotArea>
    </format>
    <format dxfId="1452">
      <pivotArea dataOnly="0" labelOnly="1" outline="0" fieldPosition="0">
        <references count="2">
          <reference field="0" count="1" selected="0">
            <x v="247"/>
          </reference>
          <reference field="9" count="1">
            <x v="0"/>
          </reference>
        </references>
      </pivotArea>
    </format>
    <format dxfId="1451">
      <pivotArea dataOnly="0" labelOnly="1" outline="0" fieldPosition="0">
        <references count="2">
          <reference field="0" count="1" selected="0">
            <x v="250"/>
          </reference>
          <reference field="9" count="1">
            <x v="0"/>
          </reference>
        </references>
      </pivotArea>
    </format>
    <format dxfId="1450">
      <pivotArea dataOnly="0" labelOnly="1" outline="0" fieldPosition="0">
        <references count="2">
          <reference field="0" count="1" selected="0">
            <x v="253"/>
          </reference>
          <reference field="9" count="1">
            <x v="0"/>
          </reference>
        </references>
      </pivotArea>
    </format>
    <format dxfId="1449">
      <pivotArea dataOnly="0" labelOnly="1" outline="0" fieldPosition="0">
        <references count="2">
          <reference field="0" count="1" selected="0">
            <x v="254"/>
          </reference>
          <reference field="9" count="1">
            <x v="0"/>
          </reference>
        </references>
      </pivotArea>
    </format>
    <format dxfId="1448">
      <pivotArea dataOnly="0" labelOnly="1" outline="0" fieldPosition="0">
        <references count="2">
          <reference field="0" count="1" selected="0">
            <x v="255"/>
          </reference>
          <reference field="9" count="1">
            <x v="0"/>
          </reference>
        </references>
      </pivotArea>
    </format>
    <format dxfId="1447">
      <pivotArea dataOnly="0" labelOnly="1" outline="0" fieldPosition="0">
        <references count="2">
          <reference field="0" count="1" selected="0">
            <x v="258"/>
          </reference>
          <reference field="9" count="1">
            <x v="0"/>
          </reference>
        </references>
      </pivotArea>
    </format>
    <format dxfId="1446">
      <pivotArea dataOnly="0" labelOnly="1" outline="0" fieldPosition="0">
        <references count="2">
          <reference field="0" count="1" selected="0">
            <x v="259"/>
          </reference>
          <reference field="9" count="1">
            <x v="1"/>
          </reference>
        </references>
      </pivotArea>
    </format>
    <format dxfId="1445">
      <pivotArea dataOnly="0" labelOnly="1" outline="0" fieldPosition="0">
        <references count="2">
          <reference field="0" count="1" selected="0">
            <x v="261"/>
          </reference>
          <reference field="9" count="1">
            <x v="0"/>
          </reference>
        </references>
      </pivotArea>
    </format>
    <format dxfId="1444">
      <pivotArea dataOnly="0" labelOnly="1" outline="0" fieldPosition="0">
        <references count="2">
          <reference field="0" count="1" selected="0">
            <x v="262"/>
          </reference>
          <reference field="9" count="1">
            <x v="0"/>
          </reference>
        </references>
      </pivotArea>
    </format>
    <format dxfId="1443">
      <pivotArea dataOnly="0" labelOnly="1" outline="0" fieldPosition="0">
        <references count="2">
          <reference field="0" count="1" selected="0">
            <x v="263"/>
          </reference>
          <reference field="9" count="1">
            <x v="0"/>
          </reference>
        </references>
      </pivotArea>
    </format>
    <format dxfId="1442">
      <pivotArea dataOnly="0" labelOnly="1" outline="0" fieldPosition="0">
        <references count="2">
          <reference field="0" count="1" selected="0">
            <x v="264"/>
          </reference>
          <reference field="9" count="1">
            <x v="0"/>
          </reference>
        </references>
      </pivotArea>
    </format>
    <format dxfId="1441">
      <pivotArea dataOnly="0" labelOnly="1" outline="0" fieldPosition="0">
        <references count="2">
          <reference field="0" count="1" selected="0">
            <x v="265"/>
          </reference>
          <reference field="9" count="1">
            <x v="0"/>
          </reference>
        </references>
      </pivotArea>
    </format>
    <format dxfId="1440">
      <pivotArea dataOnly="0" labelOnly="1" outline="0" fieldPosition="0">
        <references count="2">
          <reference field="0" count="1" selected="0">
            <x v="266"/>
          </reference>
          <reference field="9" count="1">
            <x v="0"/>
          </reference>
        </references>
      </pivotArea>
    </format>
    <format dxfId="1439">
      <pivotArea dataOnly="0" labelOnly="1" outline="0" fieldPosition="0">
        <references count="2">
          <reference field="0" count="1" selected="0">
            <x v="267"/>
          </reference>
          <reference field="9" count="1">
            <x v="0"/>
          </reference>
        </references>
      </pivotArea>
    </format>
    <format dxfId="1438">
      <pivotArea dataOnly="0" labelOnly="1" outline="0" fieldPosition="0">
        <references count="2">
          <reference field="0" count="1" selected="0">
            <x v="268"/>
          </reference>
          <reference field="9" count="1">
            <x v="0"/>
          </reference>
        </references>
      </pivotArea>
    </format>
    <format dxfId="1437">
      <pivotArea dataOnly="0" labelOnly="1" outline="0" fieldPosition="0">
        <references count="2">
          <reference field="0" count="1" selected="0">
            <x v="269"/>
          </reference>
          <reference field="9" count="1">
            <x v="0"/>
          </reference>
        </references>
      </pivotArea>
    </format>
    <format dxfId="1436">
      <pivotArea dataOnly="0" labelOnly="1" outline="0" fieldPosition="0">
        <references count="2">
          <reference field="0" count="1" selected="0">
            <x v="270"/>
          </reference>
          <reference field="9" count="1">
            <x v="0"/>
          </reference>
        </references>
      </pivotArea>
    </format>
    <format dxfId="1435">
      <pivotArea dataOnly="0" labelOnly="1" outline="0" fieldPosition="0">
        <references count="2">
          <reference field="0" count="1" selected="0">
            <x v="271"/>
          </reference>
          <reference field="9" count="1">
            <x v="0"/>
          </reference>
        </references>
      </pivotArea>
    </format>
    <format dxfId="1434">
      <pivotArea dataOnly="0" labelOnly="1" outline="0" fieldPosition="0">
        <references count="2">
          <reference field="0" count="1" selected="0">
            <x v="272"/>
          </reference>
          <reference field="9" count="1">
            <x v="0"/>
          </reference>
        </references>
      </pivotArea>
    </format>
    <format dxfId="1433">
      <pivotArea dataOnly="0" labelOnly="1" outline="0" fieldPosition="0">
        <references count="2">
          <reference field="0" count="1" selected="0">
            <x v="273"/>
          </reference>
          <reference field="9" count="1">
            <x v="0"/>
          </reference>
        </references>
      </pivotArea>
    </format>
    <format dxfId="1432">
      <pivotArea dataOnly="0" labelOnly="1" outline="0" fieldPosition="0">
        <references count="2">
          <reference field="0" count="1" selected="0">
            <x v="275"/>
          </reference>
          <reference field="9" count="1">
            <x v="0"/>
          </reference>
        </references>
      </pivotArea>
    </format>
    <format dxfId="1431">
      <pivotArea dataOnly="0" labelOnly="1" outline="0" fieldPosition="0">
        <references count="2">
          <reference field="0" count="1" selected="0">
            <x v="276"/>
          </reference>
          <reference field="9" count="1">
            <x v="0"/>
          </reference>
        </references>
      </pivotArea>
    </format>
    <format dxfId="1430">
      <pivotArea dataOnly="0" labelOnly="1" outline="0" fieldPosition="0">
        <references count="2">
          <reference field="0" count="1" selected="0">
            <x v="277"/>
          </reference>
          <reference field="9" count="1">
            <x v="0"/>
          </reference>
        </references>
      </pivotArea>
    </format>
    <format dxfId="1429">
      <pivotArea dataOnly="0" labelOnly="1" outline="0" fieldPosition="0">
        <references count="2">
          <reference field="0" count="1" selected="0">
            <x v="278"/>
          </reference>
          <reference field="9" count="1">
            <x v="0"/>
          </reference>
        </references>
      </pivotArea>
    </format>
    <format dxfId="1428">
      <pivotArea dataOnly="0" labelOnly="1" outline="0" fieldPosition="0">
        <references count="2">
          <reference field="0" count="1" selected="0">
            <x v="282"/>
          </reference>
          <reference field="9" count="1">
            <x v="1"/>
          </reference>
        </references>
      </pivotArea>
    </format>
    <format dxfId="1427">
      <pivotArea dataOnly="0" labelOnly="1" outline="0" fieldPosition="0">
        <references count="2">
          <reference field="0" count="1" selected="0">
            <x v="283"/>
          </reference>
          <reference field="9" count="1">
            <x v="1"/>
          </reference>
        </references>
      </pivotArea>
    </format>
    <format dxfId="1426">
      <pivotArea dataOnly="0" labelOnly="1" outline="0" fieldPosition="0">
        <references count="2">
          <reference field="0" count="1" selected="0">
            <x v="284"/>
          </reference>
          <reference field="9" count="1">
            <x v="1"/>
          </reference>
        </references>
      </pivotArea>
    </format>
    <format dxfId="1425">
      <pivotArea dataOnly="0" labelOnly="1" outline="0" fieldPosition="0">
        <references count="2">
          <reference field="0" count="1" selected="0">
            <x v="285"/>
          </reference>
          <reference field="9" count="1">
            <x v="1"/>
          </reference>
        </references>
      </pivotArea>
    </format>
    <format dxfId="1424">
      <pivotArea dataOnly="0" labelOnly="1" outline="0" fieldPosition="0">
        <references count="2">
          <reference field="0" count="1" selected="0">
            <x v="286"/>
          </reference>
          <reference field="9" count="1">
            <x v="0"/>
          </reference>
        </references>
      </pivotArea>
    </format>
    <format dxfId="1423">
      <pivotArea dataOnly="0" labelOnly="1" outline="0" fieldPosition="0">
        <references count="2">
          <reference field="0" count="1" selected="0">
            <x v="288"/>
          </reference>
          <reference field="9" count="1">
            <x v="0"/>
          </reference>
        </references>
      </pivotArea>
    </format>
    <format dxfId="1422">
      <pivotArea dataOnly="0" labelOnly="1" outline="0" fieldPosition="0">
        <references count="2">
          <reference field="0" count="1" selected="0">
            <x v="289"/>
          </reference>
          <reference field="9" count="1">
            <x v="1"/>
          </reference>
        </references>
      </pivotArea>
    </format>
    <format dxfId="1421">
      <pivotArea dataOnly="0" labelOnly="1" outline="0" fieldPosition="0">
        <references count="2">
          <reference field="0" count="1" selected="0">
            <x v="290"/>
          </reference>
          <reference field="9" count="1">
            <x v="1"/>
          </reference>
        </references>
      </pivotArea>
    </format>
    <format dxfId="1420">
      <pivotArea dataOnly="0" labelOnly="1" outline="0" fieldPosition="0">
        <references count="2">
          <reference field="0" count="1" selected="0">
            <x v="292"/>
          </reference>
          <reference field="9" count="1">
            <x v="0"/>
          </reference>
        </references>
      </pivotArea>
    </format>
    <format dxfId="1419">
      <pivotArea dataOnly="0" labelOnly="1" outline="0" fieldPosition="0">
        <references count="2">
          <reference field="0" count="1" selected="0">
            <x v="293"/>
          </reference>
          <reference field="9" count="1">
            <x v="1"/>
          </reference>
        </references>
      </pivotArea>
    </format>
    <format dxfId="1418">
      <pivotArea dataOnly="0" labelOnly="1" outline="0" fieldPosition="0">
        <references count="2">
          <reference field="0" count="1" selected="0">
            <x v="294"/>
          </reference>
          <reference field="9" count="1">
            <x v="0"/>
          </reference>
        </references>
      </pivotArea>
    </format>
    <format dxfId="1417">
      <pivotArea dataOnly="0" labelOnly="1" outline="0" fieldPosition="0">
        <references count="2">
          <reference field="0" count="1" selected="0">
            <x v="295"/>
          </reference>
          <reference field="9" count="1">
            <x v="0"/>
          </reference>
        </references>
      </pivotArea>
    </format>
    <format dxfId="1416">
      <pivotArea dataOnly="0" labelOnly="1" outline="0" fieldPosition="0">
        <references count="2">
          <reference field="0" count="1" selected="0">
            <x v="296"/>
          </reference>
          <reference field="9" count="1">
            <x v="0"/>
          </reference>
        </references>
      </pivotArea>
    </format>
    <format dxfId="1415">
      <pivotArea dataOnly="0" labelOnly="1" outline="0" fieldPosition="0">
        <references count="2">
          <reference field="0" count="1" selected="0">
            <x v="298"/>
          </reference>
          <reference field="9" count="1">
            <x v="0"/>
          </reference>
        </references>
      </pivotArea>
    </format>
    <format dxfId="1414">
      <pivotArea dataOnly="0" labelOnly="1" outline="0" fieldPosition="0">
        <references count="2">
          <reference field="0" count="1" selected="0">
            <x v="299"/>
          </reference>
          <reference field="9" count="1">
            <x v="1"/>
          </reference>
        </references>
      </pivotArea>
    </format>
    <format dxfId="1413">
      <pivotArea dataOnly="0" labelOnly="1" outline="0" fieldPosition="0">
        <references count="2">
          <reference field="0" count="1" selected="0">
            <x v="302"/>
          </reference>
          <reference field="9" count="1">
            <x v="1"/>
          </reference>
        </references>
      </pivotArea>
    </format>
    <format dxfId="1412">
      <pivotArea dataOnly="0" labelOnly="1" outline="0" fieldPosition="0">
        <references count="2">
          <reference field="0" count="1" selected="0">
            <x v="303"/>
          </reference>
          <reference field="9" count="1">
            <x v="1"/>
          </reference>
        </references>
      </pivotArea>
    </format>
    <format dxfId="1411">
      <pivotArea dataOnly="0" labelOnly="1" outline="0" fieldPosition="0">
        <references count="2">
          <reference field="0" count="1" selected="0">
            <x v="304"/>
          </reference>
          <reference field="9" count="1">
            <x v="1"/>
          </reference>
        </references>
      </pivotArea>
    </format>
    <format dxfId="1410">
      <pivotArea dataOnly="0" labelOnly="1" outline="0" fieldPosition="0">
        <references count="2">
          <reference field="0" count="1" selected="0">
            <x v="305"/>
          </reference>
          <reference field="9" count="1">
            <x v="1"/>
          </reference>
        </references>
      </pivotArea>
    </format>
    <format dxfId="1409">
      <pivotArea dataOnly="0" labelOnly="1" outline="0" fieldPosition="0">
        <references count="2">
          <reference field="0" count="1" selected="0">
            <x v="306"/>
          </reference>
          <reference field="9" count="1">
            <x v="1"/>
          </reference>
        </references>
      </pivotArea>
    </format>
    <format dxfId="1408">
      <pivotArea dataOnly="0" labelOnly="1" outline="0" fieldPosition="0">
        <references count="2">
          <reference field="0" count="1" selected="0">
            <x v="307"/>
          </reference>
          <reference field="9" count="1">
            <x v="1"/>
          </reference>
        </references>
      </pivotArea>
    </format>
    <format dxfId="1407">
      <pivotArea dataOnly="0" labelOnly="1" outline="0" fieldPosition="0">
        <references count="2">
          <reference field="0" count="1" selected="0">
            <x v="308"/>
          </reference>
          <reference field="9" count="1">
            <x v="1"/>
          </reference>
        </references>
      </pivotArea>
    </format>
    <format dxfId="1406">
      <pivotArea dataOnly="0" labelOnly="1" outline="0" fieldPosition="0">
        <references count="2">
          <reference field="0" count="1" selected="0">
            <x v="309"/>
          </reference>
          <reference field="9" count="1">
            <x v="1"/>
          </reference>
        </references>
      </pivotArea>
    </format>
    <format dxfId="1405">
      <pivotArea dataOnly="0" labelOnly="1" outline="0" fieldPosition="0">
        <references count="2">
          <reference field="0" count="1" selected="0">
            <x v="310"/>
          </reference>
          <reference field="9" count="1">
            <x v="1"/>
          </reference>
        </references>
      </pivotArea>
    </format>
    <format dxfId="1404">
      <pivotArea dataOnly="0" labelOnly="1" outline="0" fieldPosition="0">
        <references count="2">
          <reference field="0" count="1" selected="0">
            <x v="311"/>
          </reference>
          <reference field="9" count="1">
            <x v="1"/>
          </reference>
        </references>
      </pivotArea>
    </format>
    <format dxfId="1403">
      <pivotArea dataOnly="0" labelOnly="1" outline="0" fieldPosition="0">
        <references count="2">
          <reference field="0" count="1" selected="0">
            <x v="312"/>
          </reference>
          <reference field="9" count="1">
            <x v="1"/>
          </reference>
        </references>
      </pivotArea>
    </format>
    <format dxfId="1402">
      <pivotArea dataOnly="0" labelOnly="1" outline="0" fieldPosition="0">
        <references count="2">
          <reference field="0" count="1" selected="0">
            <x v="313"/>
          </reference>
          <reference field="9" count="1">
            <x v="1"/>
          </reference>
        </references>
      </pivotArea>
    </format>
    <format dxfId="1401">
      <pivotArea dataOnly="0" labelOnly="1" outline="0" fieldPosition="0">
        <references count="2">
          <reference field="0" count="1" selected="0">
            <x v="314"/>
          </reference>
          <reference field="9" count="1">
            <x v="1"/>
          </reference>
        </references>
      </pivotArea>
    </format>
    <format dxfId="1400">
      <pivotArea dataOnly="0" labelOnly="1" outline="0" fieldPosition="0">
        <references count="2">
          <reference field="0" count="1" selected="0">
            <x v="315"/>
          </reference>
          <reference field="9" count="1">
            <x v="1"/>
          </reference>
        </references>
      </pivotArea>
    </format>
    <format dxfId="1399">
      <pivotArea dataOnly="0" labelOnly="1" outline="0" fieldPosition="0">
        <references count="2">
          <reference field="0" count="1" selected="0">
            <x v="316"/>
          </reference>
          <reference field="9" count="1">
            <x v="1"/>
          </reference>
        </references>
      </pivotArea>
    </format>
    <format dxfId="1398">
      <pivotArea dataOnly="0" labelOnly="1" outline="0" fieldPosition="0">
        <references count="2">
          <reference field="0" count="1" selected="0">
            <x v="317"/>
          </reference>
          <reference field="9" count="1">
            <x v="1"/>
          </reference>
        </references>
      </pivotArea>
    </format>
    <format dxfId="1397">
      <pivotArea dataOnly="0" labelOnly="1" outline="0" fieldPosition="0">
        <references count="2">
          <reference field="0" count="1" selected="0">
            <x v="318"/>
          </reference>
          <reference field="9" count="1">
            <x v="1"/>
          </reference>
        </references>
      </pivotArea>
    </format>
    <format dxfId="1396">
      <pivotArea dataOnly="0" labelOnly="1" outline="0" fieldPosition="0">
        <references count="2">
          <reference field="0" count="1" selected="0">
            <x v="319"/>
          </reference>
          <reference field="9" count="1">
            <x v="1"/>
          </reference>
        </references>
      </pivotArea>
    </format>
    <format dxfId="1395">
      <pivotArea dataOnly="0" labelOnly="1" outline="0" fieldPosition="0">
        <references count="2">
          <reference field="0" count="1" selected="0">
            <x v="320"/>
          </reference>
          <reference field="9" count="1">
            <x v="1"/>
          </reference>
        </references>
      </pivotArea>
    </format>
    <format dxfId="1394">
      <pivotArea dataOnly="0" labelOnly="1" outline="0" fieldPosition="0">
        <references count="2">
          <reference field="0" count="1" selected="0">
            <x v="321"/>
          </reference>
          <reference field="9" count="1">
            <x v="1"/>
          </reference>
        </references>
      </pivotArea>
    </format>
    <format dxfId="1393">
      <pivotArea dataOnly="0" labelOnly="1" outline="0" fieldPosition="0">
        <references count="2">
          <reference field="0" count="1" selected="0">
            <x v="322"/>
          </reference>
          <reference field="9" count="1">
            <x v="1"/>
          </reference>
        </references>
      </pivotArea>
    </format>
    <format dxfId="1392">
      <pivotArea dataOnly="0" labelOnly="1" outline="0" fieldPosition="0">
        <references count="2">
          <reference field="0" count="1" selected="0">
            <x v="323"/>
          </reference>
          <reference field="9" count="1">
            <x v="1"/>
          </reference>
        </references>
      </pivotArea>
    </format>
    <format dxfId="1391">
      <pivotArea dataOnly="0" labelOnly="1" outline="0" fieldPosition="0">
        <references count="2">
          <reference field="0" count="1" selected="0">
            <x v="324"/>
          </reference>
          <reference field="9" count="1">
            <x v="1"/>
          </reference>
        </references>
      </pivotArea>
    </format>
    <format dxfId="1390">
      <pivotArea dataOnly="0" labelOnly="1" outline="0" fieldPosition="0">
        <references count="2">
          <reference field="0" count="1" selected="0">
            <x v="325"/>
          </reference>
          <reference field="9" count="1">
            <x v="1"/>
          </reference>
        </references>
      </pivotArea>
    </format>
    <format dxfId="1389">
      <pivotArea dataOnly="0" labelOnly="1" outline="0" fieldPosition="0">
        <references count="2">
          <reference field="0" count="1" selected="0">
            <x v="326"/>
          </reference>
          <reference field="9" count="1">
            <x v="1"/>
          </reference>
        </references>
      </pivotArea>
    </format>
    <format dxfId="1388">
      <pivotArea dataOnly="0" labelOnly="1" outline="0" fieldPosition="0">
        <references count="2">
          <reference field="0" count="1" selected="0">
            <x v="327"/>
          </reference>
          <reference field="9" count="1">
            <x v="1"/>
          </reference>
        </references>
      </pivotArea>
    </format>
    <format dxfId="1387">
      <pivotArea dataOnly="0" labelOnly="1" outline="0" fieldPosition="0">
        <references count="2">
          <reference field="0" count="1" selected="0">
            <x v="328"/>
          </reference>
          <reference field="9" count="1">
            <x v="1"/>
          </reference>
        </references>
      </pivotArea>
    </format>
    <format dxfId="1386">
      <pivotArea dataOnly="0" labelOnly="1" outline="0" fieldPosition="0">
        <references count="2">
          <reference field="0" count="1" selected="0">
            <x v="329"/>
          </reference>
          <reference field="9" count="1">
            <x v="1"/>
          </reference>
        </references>
      </pivotArea>
    </format>
    <format dxfId="1385">
      <pivotArea dataOnly="0" labelOnly="1" outline="0" fieldPosition="0">
        <references count="2">
          <reference field="0" count="1" selected="0">
            <x v="330"/>
          </reference>
          <reference field="9" count="1">
            <x v="1"/>
          </reference>
        </references>
      </pivotArea>
    </format>
    <format dxfId="1384">
      <pivotArea dataOnly="0" labelOnly="1" outline="0" fieldPosition="0">
        <references count="2">
          <reference field="0" count="1" selected="0">
            <x v="331"/>
          </reference>
          <reference field="9" count="1">
            <x v="1"/>
          </reference>
        </references>
      </pivotArea>
    </format>
    <format dxfId="1383">
      <pivotArea dataOnly="0" labelOnly="1" outline="0" fieldPosition="0">
        <references count="2">
          <reference field="0" count="1" selected="0">
            <x v="332"/>
          </reference>
          <reference field="9" count="1">
            <x v="1"/>
          </reference>
        </references>
      </pivotArea>
    </format>
    <format dxfId="1382">
      <pivotArea dataOnly="0" labelOnly="1" outline="0" fieldPosition="0">
        <references count="2">
          <reference field="0" count="1" selected="0">
            <x v="333"/>
          </reference>
          <reference field="9" count="1">
            <x v="1"/>
          </reference>
        </references>
      </pivotArea>
    </format>
    <format dxfId="1381">
      <pivotArea dataOnly="0" labelOnly="1" outline="0" fieldPosition="0">
        <references count="2">
          <reference field="0" count="1" selected="0">
            <x v="334"/>
          </reference>
          <reference field="9" count="1">
            <x v="1"/>
          </reference>
        </references>
      </pivotArea>
    </format>
    <format dxfId="1380">
      <pivotArea dataOnly="0" labelOnly="1" outline="0" fieldPosition="0">
        <references count="2">
          <reference field="0" count="1" selected="0">
            <x v="335"/>
          </reference>
          <reference field="9" count="1">
            <x v="1"/>
          </reference>
        </references>
      </pivotArea>
    </format>
    <format dxfId="1379">
      <pivotArea dataOnly="0" labelOnly="1" outline="0" fieldPosition="0">
        <references count="2">
          <reference field="0" count="1" selected="0">
            <x v="336"/>
          </reference>
          <reference field="9" count="1">
            <x v="1"/>
          </reference>
        </references>
      </pivotArea>
    </format>
    <format dxfId="1378">
      <pivotArea dataOnly="0" labelOnly="1" outline="0" fieldPosition="0">
        <references count="2">
          <reference field="0" count="1" selected="0">
            <x v="337"/>
          </reference>
          <reference field="9" count="1">
            <x v="1"/>
          </reference>
        </references>
      </pivotArea>
    </format>
    <format dxfId="1377">
      <pivotArea dataOnly="0" labelOnly="1" outline="0" fieldPosition="0">
        <references count="2">
          <reference field="0" count="1" selected="0">
            <x v="338"/>
          </reference>
          <reference field="9" count="1">
            <x v="1"/>
          </reference>
        </references>
      </pivotArea>
    </format>
    <format dxfId="1376">
      <pivotArea dataOnly="0" labelOnly="1" outline="0" fieldPosition="0">
        <references count="2">
          <reference field="0" count="1" selected="0">
            <x v="339"/>
          </reference>
          <reference field="9" count="1">
            <x v="1"/>
          </reference>
        </references>
      </pivotArea>
    </format>
    <format dxfId="1375">
      <pivotArea dataOnly="0" labelOnly="1" outline="0" fieldPosition="0">
        <references count="2">
          <reference field="0" count="1" selected="0">
            <x v="341"/>
          </reference>
          <reference field="9" count="1">
            <x v="0"/>
          </reference>
        </references>
      </pivotArea>
    </format>
    <format dxfId="1374">
      <pivotArea dataOnly="0" labelOnly="1" outline="0" fieldPosition="0">
        <references count="2">
          <reference field="0" count="1" selected="0">
            <x v="342"/>
          </reference>
          <reference field="9" count="1">
            <x v="0"/>
          </reference>
        </references>
      </pivotArea>
    </format>
    <format dxfId="1373">
      <pivotArea dataOnly="0" labelOnly="1" outline="0" fieldPosition="0">
        <references count="2">
          <reference field="0" count="1" selected="0">
            <x v="343"/>
          </reference>
          <reference field="9" count="1">
            <x v="0"/>
          </reference>
        </references>
      </pivotArea>
    </format>
    <format dxfId="1372">
      <pivotArea dataOnly="0" labelOnly="1" outline="0" fieldPosition="0">
        <references count="2">
          <reference field="0" count="1" selected="0">
            <x v="344"/>
          </reference>
          <reference field="9" count="1">
            <x v="0"/>
          </reference>
        </references>
      </pivotArea>
    </format>
    <format dxfId="1371">
      <pivotArea dataOnly="0" labelOnly="1" outline="0" fieldPosition="0">
        <references count="2">
          <reference field="0" count="1" selected="0">
            <x v="345"/>
          </reference>
          <reference field="9" count="1">
            <x v="0"/>
          </reference>
        </references>
      </pivotArea>
    </format>
    <format dxfId="1370">
      <pivotArea dataOnly="0" labelOnly="1" outline="0" fieldPosition="0">
        <references count="2">
          <reference field="0" count="1" selected="0">
            <x v="346"/>
          </reference>
          <reference field="9" count="1">
            <x v="0"/>
          </reference>
        </references>
      </pivotArea>
    </format>
    <format dxfId="1369">
      <pivotArea dataOnly="0" labelOnly="1" outline="0" fieldPosition="0">
        <references count="2">
          <reference field="0" count="1" selected="0">
            <x v="347"/>
          </reference>
          <reference field="9" count="1">
            <x v="0"/>
          </reference>
        </references>
      </pivotArea>
    </format>
    <format dxfId="1368">
      <pivotArea dataOnly="0" labelOnly="1" outline="0" fieldPosition="0">
        <references count="2">
          <reference field="0" count="1" selected="0">
            <x v="348"/>
          </reference>
          <reference field="9" count="1">
            <x v="0"/>
          </reference>
        </references>
      </pivotArea>
    </format>
    <format dxfId="1367">
      <pivotArea dataOnly="0" labelOnly="1" outline="0" fieldPosition="0">
        <references count="2">
          <reference field="0" count="1" selected="0">
            <x v="349"/>
          </reference>
          <reference field="9" count="1">
            <x v="0"/>
          </reference>
        </references>
      </pivotArea>
    </format>
    <format dxfId="1366">
      <pivotArea dataOnly="0" labelOnly="1" outline="0" fieldPosition="0">
        <references count="2">
          <reference field="0" count="1" selected="0">
            <x v="350"/>
          </reference>
          <reference field="9" count="1">
            <x v="1"/>
          </reference>
        </references>
      </pivotArea>
    </format>
    <format dxfId="1365">
      <pivotArea dataOnly="0" labelOnly="1" outline="0" fieldPosition="0">
        <references count="2">
          <reference field="0" count="1" selected="0">
            <x v="351"/>
          </reference>
          <reference field="9" count="1">
            <x v="1"/>
          </reference>
        </references>
      </pivotArea>
    </format>
    <format dxfId="1364">
      <pivotArea dataOnly="0" labelOnly="1" outline="0" fieldPosition="0">
        <references count="2">
          <reference field="0" count="1" selected="0">
            <x v="353"/>
          </reference>
          <reference field="9" count="1">
            <x v="0"/>
          </reference>
        </references>
      </pivotArea>
    </format>
    <format dxfId="1363">
      <pivotArea dataOnly="0" labelOnly="1" outline="0" fieldPosition="0">
        <references count="2">
          <reference field="0" count="1" selected="0">
            <x v="354"/>
          </reference>
          <reference field="9" count="1">
            <x v="0"/>
          </reference>
        </references>
      </pivotArea>
    </format>
    <format dxfId="1362">
      <pivotArea dataOnly="0" labelOnly="1" outline="0" fieldPosition="0">
        <references count="2">
          <reference field="0" count="1" selected="0">
            <x v="355"/>
          </reference>
          <reference field="9" count="1">
            <x v="0"/>
          </reference>
        </references>
      </pivotArea>
    </format>
    <format dxfId="1361">
      <pivotArea dataOnly="0" labelOnly="1" outline="0" fieldPosition="0">
        <references count="2">
          <reference field="0" count="1" selected="0">
            <x v="357"/>
          </reference>
          <reference field="9" count="1">
            <x v="1"/>
          </reference>
        </references>
      </pivotArea>
    </format>
    <format dxfId="1360">
      <pivotArea dataOnly="0" labelOnly="1" outline="0" fieldPosition="0">
        <references count="2">
          <reference field="0" count="1" selected="0">
            <x v="358"/>
          </reference>
          <reference field="9" count="1">
            <x v="1"/>
          </reference>
        </references>
      </pivotArea>
    </format>
    <format dxfId="1359">
      <pivotArea dataOnly="0" labelOnly="1" outline="0" fieldPosition="0">
        <references count="2">
          <reference field="0" count="1" selected="0">
            <x v="359"/>
          </reference>
          <reference field="9" count="1">
            <x v="1"/>
          </reference>
        </references>
      </pivotArea>
    </format>
    <format dxfId="1358">
      <pivotArea dataOnly="0" labelOnly="1" outline="0" fieldPosition="0">
        <references count="2">
          <reference field="0" count="1" selected="0">
            <x v="360"/>
          </reference>
          <reference field="9" count="1">
            <x v="0"/>
          </reference>
        </references>
      </pivotArea>
    </format>
    <format dxfId="1357">
      <pivotArea dataOnly="0" labelOnly="1" outline="0" fieldPosition="0">
        <references count="2">
          <reference field="0" count="1" selected="0">
            <x v="361"/>
          </reference>
          <reference field="9" count="1">
            <x v="0"/>
          </reference>
        </references>
      </pivotArea>
    </format>
    <format dxfId="1356">
      <pivotArea dataOnly="0" labelOnly="1" outline="0" fieldPosition="0">
        <references count="2">
          <reference field="0" count="1" selected="0">
            <x v="362"/>
          </reference>
          <reference field="9" count="1">
            <x v="1"/>
          </reference>
        </references>
      </pivotArea>
    </format>
    <format dxfId="1355">
      <pivotArea dataOnly="0" labelOnly="1" outline="0" fieldPosition="0">
        <references count="2">
          <reference field="0" count="1" selected="0">
            <x v="363"/>
          </reference>
          <reference field="9" count="1">
            <x v="1"/>
          </reference>
        </references>
      </pivotArea>
    </format>
    <format dxfId="1354">
      <pivotArea dataOnly="0" labelOnly="1" outline="0" fieldPosition="0">
        <references count="2">
          <reference field="0" count="1" selected="0">
            <x v="364"/>
          </reference>
          <reference field="9" count="1">
            <x v="1"/>
          </reference>
        </references>
      </pivotArea>
    </format>
    <format dxfId="1353">
      <pivotArea dataOnly="0" labelOnly="1" outline="0" fieldPosition="0">
        <references count="2">
          <reference field="0" count="1" selected="0">
            <x v="365"/>
          </reference>
          <reference field="9" count="1">
            <x v="1"/>
          </reference>
        </references>
      </pivotArea>
    </format>
    <format dxfId="1352">
      <pivotArea dataOnly="0" labelOnly="1" outline="0" fieldPosition="0">
        <references count="2">
          <reference field="0" count="1" selected="0">
            <x v="366"/>
          </reference>
          <reference field="9" count="1">
            <x v="1"/>
          </reference>
        </references>
      </pivotArea>
    </format>
    <format dxfId="1351">
      <pivotArea dataOnly="0" labelOnly="1" outline="0" fieldPosition="0">
        <references count="2">
          <reference field="0" count="1" selected="0">
            <x v="367"/>
          </reference>
          <reference field="9" count="1">
            <x v="1"/>
          </reference>
        </references>
      </pivotArea>
    </format>
    <format dxfId="1350">
      <pivotArea dataOnly="0" labelOnly="1" outline="0" fieldPosition="0">
        <references count="2">
          <reference field="0" count="1" selected="0">
            <x v="368"/>
          </reference>
          <reference field="9" count="1">
            <x v="1"/>
          </reference>
        </references>
      </pivotArea>
    </format>
    <format dxfId="1349">
      <pivotArea dataOnly="0" labelOnly="1" outline="0" fieldPosition="0">
        <references count="2">
          <reference field="0" count="1" selected="0">
            <x v="369"/>
          </reference>
          <reference field="9" count="1">
            <x v="1"/>
          </reference>
        </references>
      </pivotArea>
    </format>
    <format dxfId="1348">
      <pivotArea dataOnly="0" labelOnly="1" outline="0" fieldPosition="0">
        <references count="2">
          <reference field="0" count="1" selected="0">
            <x v="370"/>
          </reference>
          <reference field="9" count="1">
            <x v="1"/>
          </reference>
        </references>
      </pivotArea>
    </format>
    <format dxfId="1347">
      <pivotArea dataOnly="0" labelOnly="1" outline="0" fieldPosition="0">
        <references count="2">
          <reference field="0" count="1" selected="0">
            <x v="371"/>
          </reference>
          <reference field="9" count="1">
            <x v="1"/>
          </reference>
        </references>
      </pivotArea>
    </format>
    <format dxfId="1346">
      <pivotArea dataOnly="0" labelOnly="1" outline="0" fieldPosition="0">
        <references count="2">
          <reference field="0" count="1" selected="0">
            <x v="372"/>
          </reference>
          <reference field="9" count="1">
            <x v="1"/>
          </reference>
        </references>
      </pivotArea>
    </format>
    <format dxfId="1345">
      <pivotArea dataOnly="0" labelOnly="1" outline="0" fieldPosition="0">
        <references count="2">
          <reference field="0" count="1" selected="0">
            <x v="373"/>
          </reference>
          <reference field="9" count="1">
            <x v="1"/>
          </reference>
        </references>
      </pivotArea>
    </format>
    <format dxfId="1344">
      <pivotArea dataOnly="0" labelOnly="1" outline="0" fieldPosition="0">
        <references count="2">
          <reference field="0" count="1" selected="0">
            <x v="374"/>
          </reference>
          <reference field="9" count="1">
            <x v="1"/>
          </reference>
        </references>
      </pivotArea>
    </format>
    <format dxfId="1343">
      <pivotArea dataOnly="0" labelOnly="1" outline="0" fieldPosition="0">
        <references count="2">
          <reference field="0" count="1" selected="0">
            <x v="375"/>
          </reference>
          <reference field="9" count="1">
            <x v="1"/>
          </reference>
        </references>
      </pivotArea>
    </format>
    <format dxfId="1342">
      <pivotArea dataOnly="0" labelOnly="1" outline="0" fieldPosition="0">
        <references count="2">
          <reference field="0" count="1" selected="0">
            <x v="376"/>
          </reference>
          <reference field="9" count="1">
            <x v="1"/>
          </reference>
        </references>
      </pivotArea>
    </format>
    <format dxfId="1341">
      <pivotArea dataOnly="0" labelOnly="1" outline="0" fieldPosition="0">
        <references count="2">
          <reference field="0" count="1" selected="0">
            <x v="377"/>
          </reference>
          <reference field="9" count="1">
            <x v="1"/>
          </reference>
        </references>
      </pivotArea>
    </format>
    <format dxfId="1340">
      <pivotArea dataOnly="0" labelOnly="1" outline="0" fieldPosition="0">
        <references count="2">
          <reference field="0" count="1" selected="0">
            <x v="378"/>
          </reference>
          <reference field="9" count="1">
            <x v="1"/>
          </reference>
        </references>
      </pivotArea>
    </format>
    <format dxfId="1339">
      <pivotArea dataOnly="0" labelOnly="1" outline="0" fieldPosition="0">
        <references count="2">
          <reference field="0" count="1" selected="0">
            <x v="379"/>
          </reference>
          <reference field="9" count="1">
            <x v="1"/>
          </reference>
        </references>
      </pivotArea>
    </format>
    <format dxfId="1338">
      <pivotArea dataOnly="0" labelOnly="1" outline="0" fieldPosition="0">
        <references count="2">
          <reference field="0" count="1" selected="0">
            <x v="380"/>
          </reference>
          <reference field="9" count="1">
            <x v="1"/>
          </reference>
        </references>
      </pivotArea>
    </format>
    <format dxfId="1337">
      <pivotArea dataOnly="0" labelOnly="1" outline="0" fieldPosition="0">
        <references count="2">
          <reference field="0" count="1" selected="0">
            <x v="381"/>
          </reference>
          <reference field="9" count="1">
            <x v="1"/>
          </reference>
        </references>
      </pivotArea>
    </format>
    <format dxfId="1336">
      <pivotArea dataOnly="0" labelOnly="1" outline="0" fieldPosition="0">
        <references count="2">
          <reference field="0" count="1" selected="0">
            <x v="382"/>
          </reference>
          <reference field="9" count="1">
            <x v="1"/>
          </reference>
        </references>
      </pivotArea>
    </format>
    <format dxfId="1335">
      <pivotArea dataOnly="0" labelOnly="1" outline="0" fieldPosition="0">
        <references count="2">
          <reference field="0" count="1" selected="0">
            <x v="383"/>
          </reference>
          <reference field="9" count="1">
            <x v="1"/>
          </reference>
        </references>
      </pivotArea>
    </format>
    <format dxfId="1334">
      <pivotArea dataOnly="0" labelOnly="1" outline="0" fieldPosition="0">
        <references count="2">
          <reference field="0" count="1" selected="0">
            <x v="384"/>
          </reference>
          <reference field="9" count="1">
            <x v="1"/>
          </reference>
        </references>
      </pivotArea>
    </format>
    <format dxfId="1333">
      <pivotArea dataOnly="0" labelOnly="1" outline="0" fieldPosition="0">
        <references count="2">
          <reference field="0" count="1" selected="0">
            <x v="385"/>
          </reference>
          <reference field="9" count="1">
            <x v="1"/>
          </reference>
        </references>
      </pivotArea>
    </format>
    <format dxfId="1332">
      <pivotArea dataOnly="0" labelOnly="1" outline="0" fieldPosition="0">
        <references count="2">
          <reference field="0" count="1" selected="0">
            <x v="386"/>
          </reference>
          <reference field="9" count="1">
            <x v="1"/>
          </reference>
        </references>
      </pivotArea>
    </format>
    <format dxfId="1331">
      <pivotArea dataOnly="0" labelOnly="1" outline="0" fieldPosition="0">
        <references count="2">
          <reference field="0" count="1" selected="0">
            <x v="387"/>
          </reference>
          <reference field="9" count="1">
            <x v="1"/>
          </reference>
        </references>
      </pivotArea>
    </format>
    <format dxfId="1330">
      <pivotArea dataOnly="0" labelOnly="1" outline="0" fieldPosition="0">
        <references count="2">
          <reference field="0" count="1" selected="0">
            <x v="388"/>
          </reference>
          <reference field="9" count="1">
            <x v="1"/>
          </reference>
        </references>
      </pivotArea>
    </format>
    <format dxfId="1329">
      <pivotArea dataOnly="0" labelOnly="1" outline="0" fieldPosition="0">
        <references count="2">
          <reference field="0" count="1" selected="0">
            <x v="389"/>
          </reference>
          <reference field="9" count="1">
            <x v="1"/>
          </reference>
        </references>
      </pivotArea>
    </format>
    <format dxfId="1328">
      <pivotArea dataOnly="0" labelOnly="1" outline="0" fieldPosition="0">
        <references count="2">
          <reference field="0" count="1" selected="0">
            <x v="390"/>
          </reference>
          <reference field="9" count="1">
            <x v="1"/>
          </reference>
        </references>
      </pivotArea>
    </format>
    <format dxfId="1327">
      <pivotArea dataOnly="0" labelOnly="1" outline="0" fieldPosition="0">
        <references count="2">
          <reference field="0" count="1" selected="0">
            <x v="391"/>
          </reference>
          <reference field="9" count="1">
            <x v="1"/>
          </reference>
        </references>
      </pivotArea>
    </format>
    <format dxfId="1326">
      <pivotArea dataOnly="0" labelOnly="1" outline="0" fieldPosition="0">
        <references count="2">
          <reference field="0" count="1" selected="0">
            <x v="392"/>
          </reference>
          <reference field="9" count="1">
            <x v="1"/>
          </reference>
        </references>
      </pivotArea>
    </format>
    <format dxfId="1325">
      <pivotArea dataOnly="0" labelOnly="1" outline="0" fieldPosition="0">
        <references count="2">
          <reference field="0" count="1" selected="0">
            <x v="393"/>
          </reference>
          <reference field="9" count="1">
            <x v="1"/>
          </reference>
        </references>
      </pivotArea>
    </format>
    <format dxfId="1324">
      <pivotArea dataOnly="0" labelOnly="1" outline="0" fieldPosition="0">
        <references count="2">
          <reference field="0" count="1" selected="0">
            <x v="394"/>
          </reference>
          <reference field="9" count="1">
            <x v="1"/>
          </reference>
        </references>
      </pivotArea>
    </format>
    <format dxfId="1323">
      <pivotArea dataOnly="0" labelOnly="1" outline="0" fieldPosition="0">
        <references count="2">
          <reference field="0" count="1" selected="0">
            <x v="395"/>
          </reference>
          <reference field="9" count="1">
            <x v="1"/>
          </reference>
        </references>
      </pivotArea>
    </format>
    <format dxfId="1322">
      <pivotArea dataOnly="0" labelOnly="1" outline="0" fieldPosition="0">
        <references count="2">
          <reference field="0" count="1" selected="0">
            <x v="396"/>
          </reference>
          <reference field="9" count="1">
            <x v="0"/>
          </reference>
        </references>
      </pivotArea>
    </format>
    <format dxfId="1321">
      <pivotArea dataOnly="0" labelOnly="1" outline="0" fieldPosition="0">
        <references count="2">
          <reference field="0" count="1" selected="0">
            <x v="397"/>
          </reference>
          <reference field="9" count="1">
            <x v="0"/>
          </reference>
        </references>
      </pivotArea>
    </format>
    <format dxfId="1320">
      <pivotArea dataOnly="0" labelOnly="1" outline="0" fieldPosition="0">
        <references count="2">
          <reference field="0" count="1" selected="0">
            <x v="398"/>
          </reference>
          <reference field="9" count="1">
            <x v="0"/>
          </reference>
        </references>
      </pivotArea>
    </format>
    <format dxfId="1319">
      <pivotArea dataOnly="0" labelOnly="1" outline="0" fieldPosition="0">
        <references count="2">
          <reference field="0" count="1" selected="0">
            <x v="399"/>
          </reference>
          <reference field="9" count="1">
            <x v="1"/>
          </reference>
        </references>
      </pivotArea>
    </format>
    <format dxfId="1318">
      <pivotArea dataOnly="0" labelOnly="1" outline="0" fieldPosition="0">
        <references count="2">
          <reference field="0" count="1" selected="0">
            <x v="400"/>
          </reference>
          <reference field="9" count="1">
            <x v="1"/>
          </reference>
        </references>
      </pivotArea>
    </format>
    <format dxfId="1317">
      <pivotArea dataOnly="0" labelOnly="1" outline="0" fieldPosition="0">
        <references count="2">
          <reference field="0" count="1" selected="0">
            <x v="401"/>
          </reference>
          <reference field="9" count="1">
            <x v="0"/>
          </reference>
        </references>
      </pivotArea>
    </format>
    <format dxfId="1316">
      <pivotArea dataOnly="0" labelOnly="1" outline="0" fieldPosition="0">
        <references count="2">
          <reference field="0" count="1" selected="0">
            <x v="402"/>
          </reference>
          <reference field="9" count="1">
            <x v="0"/>
          </reference>
        </references>
      </pivotArea>
    </format>
    <format dxfId="1315">
      <pivotArea dataOnly="0" labelOnly="1" outline="0" fieldPosition="0">
        <references count="2">
          <reference field="0" count="1" selected="0">
            <x v="403"/>
          </reference>
          <reference field="9" count="1">
            <x v="0"/>
          </reference>
        </references>
      </pivotArea>
    </format>
    <format dxfId="1314">
      <pivotArea dataOnly="0" labelOnly="1" outline="0" fieldPosition="0">
        <references count="2">
          <reference field="0" count="1" selected="0">
            <x v="404"/>
          </reference>
          <reference field="9" count="1">
            <x v="0"/>
          </reference>
        </references>
      </pivotArea>
    </format>
    <format dxfId="1313">
      <pivotArea dataOnly="0" labelOnly="1" outline="0" fieldPosition="0">
        <references count="2">
          <reference field="0" count="1" selected="0">
            <x v="405"/>
          </reference>
          <reference field="9" count="1">
            <x v="0"/>
          </reference>
        </references>
      </pivotArea>
    </format>
    <format dxfId="1312">
      <pivotArea dataOnly="0" labelOnly="1" outline="0" fieldPosition="0">
        <references count="2">
          <reference field="0" count="1" selected="0">
            <x v="406"/>
          </reference>
          <reference field="9" count="1">
            <x v="0"/>
          </reference>
        </references>
      </pivotArea>
    </format>
    <format dxfId="1311">
      <pivotArea dataOnly="0" labelOnly="1" outline="0" fieldPosition="0">
        <references count="2">
          <reference field="0" count="1" selected="0">
            <x v="407"/>
          </reference>
          <reference field="9" count="1">
            <x v="0"/>
          </reference>
        </references>
      </pivotArea>
    </format>
    <format dxfId="1310">
      <pivotArea dataOnly="0" labelOnly="1" outline="0" fieldPosition="0">
        <references count="2">
          <reference field="0" count="1" selected="0">
            <x v="408"/>
          </reference>
          <reference field="9" count="1">
            <x v="0"/>
          </reference>
        </references>
      </pivotArea>
    </format>
    <format dxfId="1309">
      <pivotArea dataOnly="0" labelOnly="1" outline="0" fieldPosition="0">
        <references count="2">
          <reference field="0" count="1" selected="0">
            <x v="409"/>
          </reference>
          <reference field="9" count="1">
            <x v="1"/>
          </reference>
        </references>
      </pivotArea>
    </format>
    <format dxfId="1308">
      <pivotArea dataOnly="0" labelOnly="1" outline="0" fieldPosition="0">
        <references count="2">
          <reference field="0" count="1" selected="0">
            <x v="410"/>
          </reference>
          <reference field="9" count="1">
            <x v="0"/>
          </reference>
        </references>
      </pivotArea>
    </format>
    <format dxfId="1307">
      <pivotArea dataOnly="0" labelOnly="1" outline="0" fieldPosition="0">
        <references count="2">
          <reference field="0" count="1" selected="0">
            <x v="411"/>
          </reference>
          <reference field="9" count="1">
            <x v="0"/>
          </reference>
        </references>
      </pivotArea>
    </format>
    <format dxfId="1306">
      <pivotArea dataOnly="0" labelOnly="1" outline="0" fieldPosition="0">
        <references count="2">
          <reference field="0" count="1" selected="0">
            <x v="412"/>
          </reference>
          <reference field="9" count="1">
            <x v="0"/>
          </reference>
        </references>
      </pivotArea>
    </format>
    <format dxfId="1305">
      <pivotArea dataOnly="0" labelOnly="1" outline="0" fieldPosition="0">
        <references count="2">
          <reference field="0" count="1" selected="0">
            <x v="413"/>
          </reference>
          <reference field="9" count="1">
            <x v="0"/>
          </reference>
        </references>
      </pivotArea>
    </format>
    <format dxfId="1304">
      <pivotArea dataOnly="0" labelOnly="1" outline="0" fieldPosition="0">
        <references count="2">
          <reference field="0" count="1" selected="0">
            <x v="414"/>
          </reference>
          <reference field="9" count="1">
            <x v="1"/>
          </reference>
        </references>
      </pivotArea>
    </format>
    <format dxfId="1303">
      <pivotArea dataOnly="0" labelOnly="1" outline="0" fieldPosition="0">
        <references count="2">
          <reference field="0" count="1" selected="0">
            <x v="416"/>
          </reference>
          <reference field="9" count="1">
            <x v="1"/>
          </reference>
        </references>
      </pivotArea>
    </format>
    <format dxfId="1302">
      <pivotArea dataOnly="0" labelOnly="1" outline="0" fieldPosition="0">
        <references count="2">
          <reference field="0" count="1" selected="0">
            <x v="417"/>
          </reference>
          <reference field="9" count="1">
            <x v="1"/>
          </reference>
        </references>
      </pivotArea>
    </format>
    <format dxfId="1301">
      <pivotArea dataOnly="0" labelOnly="1" outline="0" fieldPosition="0">
        <references count="2">
          <reference field="0" count="1" selected="0">
            <x v="418"/>
          </reference>
          <reference field="9" count="1">
            <x v="1"/>
          </reference>
        </references>
      </pivotArea>
    </format>
    <format dxfId="1300">
      <pivotArea dataOnly="0" labelOnly="1" outline="0" fieldPosition="0">
        <references count="2">
          <reference field="0" count="1" selected="0">
            <x v="419"/>
          </reference>
          <reference field="9" count="1">
            <x v="1"/>
          </reference>
        </references>
      </pivotArea>
    </format>
    <format dxfId="1299">
      <pivotArea dataOnly="0" labelOnly="1" outline="0" fieldPosition="0">
        <references count="2">
          <reference field="0" count="1" selected="0">
            <x v="420"/>
          </reference>
          <reference field="9" count="1">
            <x v="1"/>
          </reference>
        </references>
      </pivotArea>
    </format>
    <format dxfId="1298">
      <pivotArea dataOnly="0" labelOnly="1" outline="0" fieldPosition="0">
        <references count="2">
          <reference field="0" count="1" selected="0">
            <x v="421"/>
          </reference>
          <reference field="9" count="1">
            <x v="1"/>
          </reference>
        </references>
      </pivotArea>
    </format>
    <format dxfId="1297">
      <pivotArea dataOnly="0" labelOnly="1" outline="0" fieldPosition="0">
        <references count="2">
          <reference field="0" count="1" selected="0">
            <x v="422"/>
          </reference>
          <reference field="9" count="1">
            <x v="1"/>
          </reference>
        </references>
      </pivotArea>
    </format>
    <format dxfId="1296">
      <pivotArea dataOnly="0" labelOnly="1" outline="0" fieldPosition="0">
        <references count="2">
          <reference field="0" count="1" selected="0">
            <x v="423"/>
          </reference>
          <reference field="9" count="1">
            <x v="1"/>
          </reference>
        </references>
      </pivotArea>
    </format>
    <format dxfId="1295">
      <pivotArea dataOnly="0" labelOnly="1" outline="0" fieldPosition="0">
        <references count="2">
          <reference field="0" count="1" selected="0">
            <x v="424"/>
          </reference>
          <reference field="9" count="1">
            <x v="1"/>
          </reference>
        </references>
      </pivotArea>
    </format>
    <format dxfId="1294">
      <pivotArea dataOnly="0" labelOnly="1" outline="0" fieldPosition="0">
        <references count="2">
          <reference field="0" count="1" selected="0">
            <x v="425"/>
          </reference>
          <reference field="9" count="1">
            <x v="1"/>
          </reference>
        </references>
      </pivotArea>
    </format>
    <format dxfId="1293">
      <pivotArea dataOnly="0" labelOnly="1" outline="0" fieldPosition="0">
        <references count="2">
          <reference field="0" count="1" selected="0">
            <x v="426"/>
          </reference>
          <reference field="9" count="1">
            <x v="1"/>
          </reference>
        </references>
      </pivotArea>
    </format>
    <format dxfId="1292">
      <pivotArea dataOnly="0" labelOnly="1" outline="0" fieldPosition="0">
        <references count="2">
          <reference field="0" count="1" selected="0">
            <x v="427"/>
          </reference>
          <reference field="9" count="1">
            <x v="1"/>
          </reference>
        </references>
      </pivotArea>
    </format>
    <format dxfId="1291">
      <pivotArea dataOnly="0" labelOnly="1" outline="0" fieldPosition="0">
        <references count="2">
          <reference field="0" count="1" selected="0">
            <x v="428"/>
          </reference>
          <reference field="9" count="1">
            <x v="1"/>
          </reference>
        </references>
      </pivotArea>
    </format>
    <format dxfId="1290">
      <pivotArea dataOnly="0" labelOnly="1" outline="0" fieldPosition="0">
        <references count="2">
          <reference field="0" count="1" selected="0">
            <x v="429"/>
          </reference>
          <reference field="9" count="1">
            <x v="1"/>
          </reference>
        </references>
      </pivotArea>
    </format>
    <format dxfId="1289">
      <pivotArea dataOnly="0" labelOnly="1" outline="0" fieldPosition="0">
        <references count="2">
          <reference field="0" count="1" selected="0">
            <x v="430"/>
          </reference>
          <reference field="9" count="1">
            <x v="1"/>
          </reference>
        </references>
      </pivotArea>
    </format>
    <format dxfId="1288">
      <pivotArea dataOnly="0" labelOnly="1" outline="0" fieldPosition="0">
        <references count="2">
          <reference field="0" count="1" selected="0">
            <x v="431"/>
          </reference>
          <reference field="9" count="1">
            <x v="1"/>
          </reference>
        </references>
      </pivotArea>
    </format>
    <format dxfId="1287">
      <pivotArea dataOnly="0" labelOnly="1" outline="0" fieldPosition="0">
        <references count="2">
          <reference field="0" count="1" selected="0">
            <x v="432"/>
          </reference>
          <reference field="9" count="1">
            <x v="1"/>
          </reference>
        </references>
      </pivotArea>
    </format>
    <format dxfId="1286">
      <pivotArea dataOnly="0" labelOnly="1" outline="0" fieldPosition="0">
        <references count="2">
          <reference field="0" count="1" selected="0">
            <x v="433"/>
          </reference>
          <reference field="9" count="1">
            <x v="1"/>
          </reference>
        </references>
      </pivotArea>
    </format>
    <format dxfId="1285">
      <pivotArea dataOnly="0" labelOnly="1" outline="0" fieldPosition="0">
        <references count="2">
          <reference field="0" count="1" selected="0">
            <x v="434"/>
          </reference>
          <reference field="9" count="1">
            <x v="1"/>
          </reference>
        </references>
      </pivotArea>
    </format>
    <format dxfId="1284">
      <pivotArea dataOnly="0" labelOnly="1" outline="0" fieldPosition="0">
        <references count="2">
          <reference field="0" count="1" selected="0">
            <x v="435"/>
          </reference>
          <reference field="9" count="1">
            <x v="1"/>
          </reference>
        </references>
      </pivotArea>
    </format>
    <format dxfId="1283">
      <pivotArea dataOnly="0" labelOnly="1" outline="0" fieldPosition="0">
        <references count="2">
          <reference field="0" count="1" selected="0">
            <x v="436"/>
          </reference>
          <reference field="9" count="1">
            <x v="1"/>
          </reference>
        </references>
      </pivotArea>
    </format>
    <format dxfId="1282">
      <pivotArea dataOnly="0" labelOnly="1" outline="0" fieldPosition="0">
        <references count="2">
          <reference field="0" count="1" selected="0">
            <x v="437"/>
          </reference>
          <reference field="9" count="1">
            <x v="1"/>
          </reference>
        </references>
      </pivotArea>
    </format>
    <format dxfId="1281">
      <pivotArea dataOnly="0" labelOnly="1" outline="0" fieldPosition="0">
        <references count="2">
          <reference field="0" count="1" selected="0">
            <x v="438"/>
          </reference>
          <reference field="9" count="1">
            <x v="1"/>
          </reference>
        </references>
      </pivotArea>
    </format>
    <format dxfId="1280">
      <pivotArea dataOnly="0" labelOnly="1" outline="0" fieldPosition="0">
        <references count="2">
          <reference field="0" count="1" selected="0">
            <x v="439"/>
          </reference>
          <reference field="9" count="1">
            <x v="1"/>
          </reference>
        </references>
      </pivotArea>
    </format>
    <format dxfId="1279">
      <pivotArea dataOnly="0" labelOnly="1" outline="0" fieldPosition="0">
        <references count="2">
          <reference field="0" count="1" selected="0">
            <x v="440"/>
          </reference>
          <reference field="9" count="1">
            <x v="1"/>
          </reference>
        </references>
      </pivotArea>
    </format>
    <format dxfId="1278">
      <pivotArea dataOnly="0" labelOnly="1" outline="0" fieldPosition="0">
        <references count="2">
          <reference field="0" count="1" selected="0">
            <x v="441"/>
          </reference>
          <reference field="9" count="1">
            <x v="0"/>
          </reference>
        </references>
      </pivotArea>
    </format>
    <format dxfId="1277">
      <pivotArea dataOnly="0" labelOnly="1" outline="0" fieldPosition="0">
        <references count="2">
          <reference field="0" count="1" selected="0">
            <x v="442"/>
          </reference>
          <reference field="9" count="1">
            <x v="1"/>
          </reference>
        </references>
      </pivotArea>
    </format>
    <format dxfId="1276">
      <pivotArea dataOnly="0" labelOnly="1" outline="0" fieldPosition="0">
        <references count="2">
          <reference field="0" count="1" selected="0">
            <x v="443"/>
          </reference>
          <reference field="9" count="1">
            <x v="1"/>
          </reference>
        </references>
      </pivotArea>
    </format>
    <format dxfId="1275">
      <pivotArea dataOnly="0" labelOnly="1" outline="0" fieldPosition="0">
        <references count="2">
          <reference field="0" count="1" selected="0">
            <x v="444"/>
          </reference>
          <reference field="9" count="1">
            <x v="1"/>
          </reference>
        </references>
      </pivotArea>
    </format>
    <format dxfId="1274">
      <pivotArea dataOnly="0" labelOnly="1" outline="0" fieldPosition="0">
        <references count="2">
          <reference field="0" count="1" selected="0">
            <x v="445"/>
          </reference>
          <reference field="9" count="1">
            <x v="1"/>
          </reference>
        </references>
      </pivotArea>
    </format>
    <format dxfId="1273">
      <pivotArea dataOnly="0" labelOnly="1" outline="0" fieldPosition="0">
        <references count="2">
          <reference field="0" count="1" selected="0">
            <x v="446"/>
          </reference>
          <reference field="9" count="1">
            <x v="1"/>
          </reference>
        </references>
      </pivotArea>
    </format>
    <format dxfId="1272">
      <pivotArea dataOnly="0" labelOnly="1" outline="0" fieldPosition="0">
        <references count="2">
          <reference field="0" count="1" selected="0">
            <x v="447"/>
          </reference>
          <reference field="9" count="1">
            <x v="1"/>
          </reference>
        </references>
      </pivotArea>
    </format>
    <format dxfId="1271">
      <pivotArea dataOnly="0" labelOnly="1" outline="0" fieldPosition="0">
        <references count="2">
          <reference field="0" count="1" selected="0">
            <x v="448"/>
          </reference>
          <reference field="9" count="1">
            <x v="1"/>
          </reference>
        </references>
      </pivotArea>
    </format>
    <format dxfId="1270">
      <pivotArea dataOnly="0" labelOnly="1" outline="0" fieldPosition="0">
        <references count="2">
          <reference field="0" count="1" selected="0">
            <x v="449"/>
          </reference>
          <reference field="9" count="1">
            <x v="1"/>
          </reference>
        </references>
      </pivotArea>
    </format>
    <format dxfId="1269">
      <pivotArea dataOnly="0" labelOnly="1" outline="0" fieldPosition="0">
        <references count="2">
          <reference field="0" count="1" selected="0">
            <x v="450"/>
          </reference>
          <reference field="9" count="1">
            <x v="1"/>
          </reference>
        </references>
      </pivotArea>
    </format>
    <format dxfId="1268">
      <pivotArea dataOnly="0" labelOnly="1" outline="0" fieldPosition="0">
        <references count="2">
          <reference field="0" count="1" selected="0">
            <x v="451"/>
          </reference>
          <reference field="9" count="1">
            <x v="1"/>
          </reference>
        </references>
      </pivotArea>
    </format>
    <format dxfId="1267">
      <pivotArea dataOnly="0" labelOnly="1" outline="0" fieldPosition="0">
        <references count="2">
          <reference field="0" count="1" selected="0">
            <x v="452"/>
          </reference>
          <reference field="9" count="1">
            <x v="1"/>
          </reference>
        </references>
      </pivotArea>
    </format>
    <format dxfId="1266">
      <pivotArea dataOnly="0" labelOnly="1" outline="0" fieldPosition="0">
        <references count="2">
          <reference field="0" count="1" selected="0">
            <x v="453"/>
          </reference>
          <reference field="9" count="1">
            <x v="1"/>
          </reference>
        </references>
      </pivotArea>
    </format>
    <format dxfId="1265">
      <pivotArea dataOnly="0" labelOnly="1" outline="0" fieldPosition="0">
        <references count="2">
          <reference field="0" count="1" selected="0">
            <x v="454"/>
          </reference>
          <reference field="9" count="1">
            <x v="1"/>
          </reference>
        </references>
      </pivotArea>
    </format>
    <format dxfId="1264">
      <pivotArea dataOnly="0" labelOnly="1" outline="0" fieldPosition="0">
        <references count="2">
          <reference field="0" count="1" selected="0">
            <x v="455"/>
          </reference>
          <reference field="9" count="1">
            <x v="1"/>
          </reference>
        </references>
      </pivotArea>
    </format>
    <format dxfId="1263">
      <pivotArea dataOnly="0" labelOnly="1" outline="0" fieldPosition="0">
        <references count="2">
          <reference field="0" count="1" selected="0">
            <x v="456"/>
          </reference>
          <reference field="9" count="1">
            <x v="1"/>
          </reference>
        </references>
      </pivotArea>
    </format>
    <format dxfId="1262">
      <pivotArea dataOnly="0" labelOnly="1" outline="0" fieldPosition="0">
        <references count="2">
          <reference field="0" count="1" selected="0">
            <x v="457"/>
          </reference>
          <reference field="9" count="1">
            <x v="1"/>
          </reference>
        </references>
      </pivotArea>
    </format>
    <format dxfId="1261">
      <pivotArea dataOnly="0" labelOnly="1" outline="0" fieldPosition="0">
        <references count="2">
          <reference field="0" count="1" selected="0">
            <x v="458"/>
          </reference>
          <reference field="9" count="1">
            <x v="1"/>
          </reference>
        </references>
      </pivotArea>
    </format>
    <format dxfId="1260">
      <pivotArea dataOnly="0" labelOnly="1" outline="0" fieldPosition="0">
        <references count="2">
          <reference field="0" count="1" selected="0">
            <x v="459"/>
          </reference>
          <reference field="9" count="1">
            <x v="1"/>
          </reference>
        </references>
      </pivotArea>
    </format>
    <format dxfId="1259">
      <pivotArea dataOnly="0" labelOnly="1" outline="0" fieldPosition="0">
        <references count="2">
          <reference field="0" count="1" selected="0">
            <x v="460"/>
          </reference>
          <reference field="9" count="1">
            <x v="1"/>
          </reference>
        </references>
      </pivotArea>
    </format>
    <format dxfId="1258">
      <pivotArea dataOnly="0" labelOnly="1" outline="0" fieldPosition="0">
        <references count="2">
          <reference field="0" count="1" selected="0">
            <x v="461"/>
          </reference>
          <reference field="9" count="1">
            <x v="1"/>
          </reference>
        </references>
      </pivotArea>
    </format>
    <format dxfId="1257">
      <pivotArea dataOnly="0" labelOnly="1" outline="0" fieldPosition="0">
        <references count="2">
          <reference field="0" count="1" selected="0">
            <x v="462"/>
          </reference>
          <reference field="9" count="1">
            <x v="1"/>
          </reference>
        </references>
      </pivotArea>
    </format>
    <format dxfId="1256">
      <pivotArea dataOnly="0" labelOnly="1" outline="0" fieldPosition="0">
        <references count="2">
          <reference field="0" count="1" selected="0">
            <x v="463"/>
          </reference>
          <reference field="9" count="1">
            <x v="1"/>
          </reference>
        </references>
      </pivotArea>
    </format>
    <format dxfId="1255">
      <pivotArea dataOnly="0" labelOnly="1" outline="0" fieldPosition="0">
        <references count="2">
          <reference field="0" count="1" selected="0">
            <x v="464"/>
          </reference>
          <reference field="9" count="1">
            <x v="1"/>
          </reference>
        </references>
      </pivotArea>
    </format>
    <format dxfId="1254">
      <pivotArea dataOnly="0" labelOnly="1" outline="0" fieldPosition="0">
        <references count="2">
          <reference field="0" count="1" selected="0">
            <x v="465"/>
          </reference>
          <reference field="9" count="1">
            <x v="1"/>
          </reference>
        </references>
      </pivotArea>
    </format>
    <format dxfId="1253">
      <pivotArea dataOnly="0" labelOnly="1" outline="0" fieldPosition="0">
        <references count="2">
          <reference field="0" count="1" selected="0">
            <x v="466"/>
          </reference>
          <reference field="9" count="1">
            <x v="1"/>
          </reference>
        </references>
      </pivotArea>
    </format>
    <format dxfId="1252">
      <pivotArea dataOnly="0" labelOnly="1" outline="0" fieldPosition="0">
        <references count="2">
          <reference field="0" count="1" selected="0">
            <x v="467"/>
          </reference>
          <reference field="9" count="1">
            <x v="1"/>
          </reference>
        </references>
      </pivotArea>
    </format>
    <format dxfId="1251">
      <pivotArea dataOnly="0" labelOnly="1" outline="0" fieldPosition="0">
        <references count="2">
          <reference field="0" count="1" selected="0">
            <x v="468"/>
          </reference>
          <reference field="9" count="1">
            <x v="1"/>
          </reference>
        </references>
      </pivotArea>
    </format>
    <format dxfId="1250">
      <pivotArea dataOnly="0" labelOnly="1" outline="0" fieldPosition="0">
        <references count="2">
          <reference field="0" count="1" selected="0">
            <x v="469"/>
          </reference>
          <reference field="9" count="1">
            <x v="1"/>
          </reference>
        </references>
      </pivotArea>
    </format>
    <format dxfId="1249">
      <pivotArea dataOnly="0" labelOnly="1" outline="0" fieldPosition="0">
        <references count="2">
          <reference field="0" count="1" selected="0">
            <x v="470"/>
          </reference>
          <reference field="9" count="1">
            <x v="1"/>
          </reference>
        </references>
      </pivotArea>
    </format>
    <format dxfId="1248">
      <pivotArea dataOnly="0" labelOnly="1" outline="0" fieldPosition="0">
        <references count="2">
          <reference field="0" count="1" selected="0">
            <x v="471"/>
          </reference>
          <reference field="9" count="1">
            <x v="1"/>
          </reference>
        </references>
      </pivotArea>
    </format>
    <format dxfId="1247">
      <pivotArea dataOnly="0" labelOnly="1" outline="0" fieldPosition="0">
        <references count="2">
          <reference field="0" count="1" selected="0">
            <x v="472"/>
          </reference>
          <reference field="9" count="1">
            <x v="1"/>
          </reference>
        </references>
      </pivotArea>
    </format>
    <format dxfId="1246">
      <pivotArea dataOnly="0" labelOnly="1" outline="0" fieldPosition="0">
        <references count="2">
          <reference field="0" count="1" selected="0">
            <x v="473"/>
          </reference>
          <reference field="9" count="1">
            <x v="1"/>
          </reference>
        </references>
      </pivotArea>
    </format>
    <format dxfId="1245">
      <pivotArea dataOnly="0" labelOnly="1" outline="0" fieldPosition="0">
        <references count="2">
          <reference field="0" count="1" selected="0">
            <x v="474"/>
          </reference>
          <reference field="9" count="1">
            <x v="0"/>
          </reference>
        </references>
      </pivotArea>
    </format>
    <format dxfId="1244">
      <pivotArea dataOnly="0" labelOnly="1" outline="0" fieldPosition="0">
        <references count="2">
          <reference field="0" count="1" selected="0">
            <x v="476"/>
          </reference>
          <reference field="9" count="1">
            <x v="0"/>
          </reference>
        </references>
      </pivotArea>
    </format>
    <format dxfId="1243">
      <pivotArea dataOnly="0" labelOnly="1" outline="0" fieldPosition="0">
        <references count="2">
          <reference field="0" count="1" selected="0">
            <x v="477"/>
          </reference>
          <reference field="9" count="1">
            <x v="0"/>
          </reference>
        </references>
      </pivotArea>
    </format>
    <format dxfId="1242">
      <pivotArea dataOnly="0" labelOnly="1" outline="0" fieldPosition="0">
        <references count="2">
          <reference field="0" count="1" selected="0">
            <x v="478"/>
          </reference>
          <reference field="9" count="1">
            <x v="0"/>
          </reference>
        </references>
      </pivotArea>
    </format>
    <format dxfId="1241">
      <pivotArea dataOnly="0" labelOnly="1" outline="0" fieldPosition="0">
        <references count="2">
          <reference field="0" count="1" selected="0">
            <x v="479"/>
          </reference>
          <reference field="9" count="1">
            <x v="1"/>
          </reference>
        </references>
      </pivotArea>
    </format>
    <format dxfId="1240">
      <pivotArea dataOnly="0" labelOnly="1" outline="0" fieldPosition="0">
        <references count="2">
          <reference field="0" count="1" selected="0">
            <x v="480"/>
          </reference>
          <reference field="9" count="1">
            <x v="1"/>
          </reference>
        </references>
      </pivotArea>
    </format>
    <format dxfId="1239">
      <pivotArea dataOnly="0" labelOnly="1" outline="0" fieldPosition="0">
        <references count="2">
          <reference field="0" count="1" selected="0">
            <x v="484"/>
          </reference>
          <reference field="9" count="1">
            <x v="1"/>
          </reference>
        </references>
      </pivotArea>
    </format>
    <format dxfId="1238">
      <pivotArea dataOnly="0" labelOnly="1" outline="0" fieldPosition="0">
        <references count="2">
          <reference field="0" count="1" selected="0">
            <x v="485"/>
          </reference>
          <reference field="9" count="1">
            <x v="0"/>
          </reference>
        </references>
      </pivotArea>
    </format>
    <format dxfId="1237">
      <pivotArea dataOnly="0" labelOnly="1" outline="0" fieldPosition="0">
        <references count="2">
          <reference field="0" count="1" selected="0">
            <x v="487"/>
          </reference>
          <reference field="9" count="1">
            <x v="0"/>
          </reference>
        </references>
      </pivotArea>
    </format>
    <format dxfId="1236">
      <pivotArea dataOnly="0" labelOnly="1" outline="0" fieldPosition="0">
        <references count="2">
          <reference field="0" count="1" selected="0">
            <x v="489"/>
          </reference>
          <reference field="9" count="1">
            <x v="0"/>
          </reference>
        </references>
      </pivotArea>
    </format>
    <format dxfId="1235">
      <pivotArea dataOnly="0" labelOnly="1" outline="0" fieldPosition="0">
        <references count="2">
          <reference field="0" count="1" selected="0">
            <x v="490"/>
          </reference>
          <reference field="9" count="1">
            <x v="0"/>
          </reference>
        </references>
      </pivotArea>
    </format>
    <format dxfId="1234">
      <pivotArea dataOnly="0" labelOnly="1" outline="0" fieldPosition="0">
        <references count="2">
          <reference field="0" count="1" selected="0">
            <x v="491"/>
          </reference>
          <reference field="9" count="1">
            <x v="0"/>
          </reference>
        </references>
      </pivotArea>
    </format>
    <format dxfId="1233">
      <pivotArea dataOnly="0" labelOnly="1" outline="0" fieldPosition="0">
        <references count="2">
          <reference field="0" count="1" selected="0">
            <x v="498"/>
          </reference>
          <reference field="9" count="1">
            <x v="0"/>
          </reference>
        </references>
      </pivotArea>
    </format>
    <format dxfId="1232">
      <pivotArea dataOnly="0" labelOnly="1" outline="0" fieldPosition="0">
        <references count="2">
          <reference field="0" count="1" selected="0">
            <x v="500"/>
          </reference>
          <reference field="9" count="1">
            <x v="1"/>
          </reference>
        </references>
      </pivotArea>
    </format>
    <format dxfId="1231">
      <pivotArea dataOnly="0" labelOnly="1" outline="0" fieldPosition="0">
        <references count="2">
          <reference field="0" count="1" selected="0">
            <x v="506"/>
          </reference>
          <reference field="9" count="1">
            <x v="0"/>
          </reference>
        </references>
      </pivotArea>
    </format>
    <format dxfId="1230">
      <pivotArea dataOnly="0" labelOnly="1" outline="0" fieldPosition="0">
        <references count="2">
          <reference field="0" count="1" selected="0">
            <x v="510"/>
          </reference>
          <reference field="9" count="1">
            <x v="0"/>
          </reference>
        </references>
      </pivotArea>
    </format>
    <format dxfId="1229">
      <pivotArea dataOnly="0" labelOnly="1" outline="0" fieldPosition="0">
        <references count="2">
          <reference field="0" count="1" selected="0">
            <x v="511"/>
          </reference>
          <reference field="9" count="1">
            <x v="0"/>
          </reference>
        </references>
      </pivotArea>
    </format>
    <format dxfId="1228">
      <pivotArea dataOnly="0" labelOnly="1" outline="0" fieldPosition="0">
        <references count="2">
          <reference field="0" count="1" selected="0">
            <x v="512"/>
          </reference>
          <reference field="9" count="1">
            <x v="0"/>
          </reference>
        </references>
      </pivotArea>
    </format>
    <format dxfId="1227">
      <pivotArea dataOnly="0" labelOnly="1" outline="0" fieldPosition="0">
        <references count="2">
          <reference field="0" count="1" selected="0">
            <x v="513"/>
          </reference>
          <reference field="9" count="1">
            <x v="0"/>
          </reference>
        </references>
      </pivotArea>
    </format>
    <format dxfId="1226">
      <pivotArea dataOnly="0" labelOnly="1" outline="0" fieldPosition="0">
        <references count="2">
          <reference field="0" count="1" selected="0">
            <x v="514"/>
          </reference>
          <reference field="9" count="1">
            <x v="0"/>
          </reference>
        </references>
      </pivotArea>
    </format>
    <format dxfId="1225">
      <pivotArea dataOnly="0" labelOnly="1" outline="0" fieldPosition="0">
        <references count="2">
          <reference field="0" count="1" selected="0">
            <x v="517"/>
          </reference>
          <reference field="9" count="1">
            <x v="0"/>
          </reference>
        </references>
      </pivotArea>
    </format>
    <format dxfId="1224">
      <pivotArea dataOnly="0" labelOnly="1" outline="0" fieldPosition="0">
        <references count="2">
          <reference field="0" count="1" selected="0">
            <x v="520"/>
          </reference>
          <reference field="9" count="1">
            <x v="1"/>
          </reference>
        </references>
      </pivotArea>
    </format>
    <format dxfId="1223">
      <pivotArea dataOnly="0" labelOnly="1" outline="0" fieldPosition="0">
        <references count="2">
          <reference field="0" count="1" selected="0">
            <x v="521"/>
          </reference>
          <reference field="9" count="1">
            <x v="1"/>
          </reference>
        </references>
      </pivotArea>
    </format>
    <format dxfId="1222">
      <pivotArea dataOnly="0" labelOnly="1" outline="0" fieldPosition="0">
        <references count="2">
          <reference field="0" count="1" selected="0">
            <x v="522"/>
          </reference>
          <reference field="9" count="1">
            <x v="1"/>
          </reference>
        </references>
      </pivotArea>
    </format>
    <format dxfId="1221">
      <pivotArea dataOnly="0" labelOnly="1" outline="0" fieldPosition="0">
        <references count="2">
          <reference field="0" count="1" selected="0">
            <x v="523"/>
          </reference>
          <reference field="9" count="1">
            <x v="1"/>
          </reference>
        </references>
      </pivotArea>
    </format>
    <format dxfId="1220">
      <pivotArea dataOnly="0" labelOnly="1" outline="0" fieldPosition="0">
        <references count="2">
          <reference field="0" count="1" selected="0">
            <x v="524"/>
          </reference>
          <reference field="9" count="1">
            <x v="0"/>
          </reference>
        </references>
      </pivotArea>
    </format>
    <format dxfId="1219">
      <pivotArea dataOnly="0" labelOnly="1" outline="0" fieldPosition="0">
        <references count="2">
          <reference field="0" count="1" selected="0">
            <x v="525"/>
          </reference>
          <reference field="9" count="1">
            <x v="1"/>
          </reference>
        </references>
      </pivotArea>
    </format>
    <format dxfId="1218">
      <pivotArea dataOnly="0" labelOnly="1" outline="0" fieldPosition="0">
        <references count="2">
          <reference field="0" count="1" selected="0">
            <x v="526"/>
          </reference>
          <reference field="9" count="1">
            <x v="1"/>
          </reference>
        </references>
      </pivotArea>
    </format>
    <format dxfId="1217">
      <pivotArea dataOnly="0" labelOnly="1" outline="0" fieldPosition="0">
        <references count="2">
          <reference field="0" count="1" selected="0">
            <x v="527"/>
          </reference>
          <reference field="9" count="1">
            <x v="1"/>
          </reference>
        </references>
      </pivotArea>
    </format>
    <format dxfId="1216">
      <pivotArea dataOnly="0" labelOnly="1" outline="0" fieldPosition="0">
        <references count="2">
          <reference field="0" count="1" selected="0">
            <x v="528"/>
          </reference>
          <reference field="9" count="1">
            <x v="0"/>
          </reference>
        </references>
      </pivotArea>
    </format>
    <format dxfId="1215">
      <pivotArea dataOnly="0" labelOnly="1" outline="0" fieldPosition="0">
        <references count="2">
          <reference field="0" count="1" selected="0">
            <x v="529"/>
          </reference>
          <reference field="9" count="1">
            <x v="0"/>
          </reference>
        </references>
      </pivotArea>
    </format>
    <format dxfId="1214">
      <pivotArea dataOnly="0" labelOnly="1" outline="0" fieldPosition="0">
        <references count="2">
          <reference field="0" count="1" selected="0">
            <x v="530"/>
          </reference>
          <reference field="9" count="1">
            <x v="0"/>
          </reference>
        </references>
      </pivotArea>
    </format>
    <format dxfId="1213">
      <pivotArea dataOnly="0" labelOnly="1" outline="0" fieldPosition="0">
        <references count="2">
          <reference field="0" count="1" selected="0">
            <x v="532"/>
          </reference>
          <reference field="9" count="1">
            <x v="1"/>
          </reference>
        </references>
      </pivotArea>
    </format>
    <format dxfId="1212">
      <pivotArea dataOnly="0" labelOnly="1" outline="0" fieldPosition="0">
        <references count="2">
          <reference field="0" count="1" selected="0">
            <x v="534"/>
          </reference>
          <reference field="9" count="1">
            <x v="1"/>
          </reference>
        </references>
      </pivotArea>
    </format>
    <format dxfId="1211">
      <pivotArea dataOnly="0" labelOnly="1" outline="0" fieldPosition="0">
        <references count="2">
          <reference field="0" count="1" selected="0">
            <x v="535"/>
          </reference>
          <reference field="9" count="1">
            <x v="1"/>
          </reference>
        </references>
      </pivotArea>
    </format>
    <format dxfId="1210">
      <pivotArea dataOnly="0" labelOnly="1" outline="0" fieldPosition="0">
        <references count="2">
          <reference field="0" count="1" selected="0">
            <x v="536"/>
          </reference>
          <reference field="9" count="1">
            <x v="0"/>
          </reference>
        </references>
      </pivotArea>
    </format>
    <format dxfId="1209">
      <pivotArea dataOnly="0" labelOnly="1" outline="0" fieldPosition="0">
        <references count="2">
          <reference field="0" count="1" selected="0">
            <x v="537"/>
          </reference>
          <reference field="9" count="1">
            <x v="0"/>
          </reference>
        </references>
      </pivotArea>
    </format>
    <format dxfId="1208">
      <pivotArea dataOnly="0" labelOnly="1" outline="0" fieldPosition="0">
        <references count="2">
          <reference field="0" count="1" selected="0">
            <x v="538"/>
          </reference>
          <reference field="9" count="1">
            <x v="0"/>
          </reference>
        </references>
      </pivotArea>
    </format>
    <format dxfId="1207">
      <pivotArea dataOnly="0" labelOnly="1" outline="0" fieldPosition="0">
        <references count="2">
          <reference field="0" count="1" selected="0">
            <x v="539"/>
          </reference>
          <reference field="9" count="1">
            <x v="0"/>
          </reference>
        </references>
      </pivotArea>
    </format>
    <format dxfId="1206">
      <pivotArea dataOnly="0" labelOnly="1" outline="0" fieldPosition="0">
        <references count="2">
          <reference field="0" count="1" selected="0">
            <x v="540"/>
          </reference>
          <reference field="9" count="1">
            <x v="0"/>
          </reference>
        </references>
      </pivotArea>
    </format>
    <format dxfId="1205">
      <pivotArea dataOnly="0" labelOnly="1" outline="0" fieldPosition="0">
        <references count="2">
          <reference field="0" count="1" selected="0">
            <x v="541"/>
          </reference>
          <reference field="9" count="1">
            <x v="0"/>
          </reference>
        </references>
      </pivotArea>
    </format>
    <format dxfId="1204">
      <pivotArea dataOnly="0" labelOnly="1" outline="0" fieldPosition="0">
        <references count="2">
          <reference field="0" count="1" selected="0">
            <x v="545"/>
          </reference>
          <reference field="9" count="1">
            <x v="0"/>
          </reference>
        </references>
      </pivotArea>
    </format>
    <format dxfId="1203">
      <pivotArea dataOnly="0" labelOnly="1" outline="0" fieldPosition="0">
        <references count="2">
          <reference field="0" count="1" selected="0">
            <x v="547"/>
          </reference>
          <reference field="9" count="1">
            <x v="1"/>
          </reference>
        </references>
      </pivotArea>
    </format>
    <format dxfId="1202">
      <pivotArea dataOnly="0" labelOnly="1" outline="0" fieldPosition="0">
        <references count="2">
          <reference field="0" count="1" selected="0">
            <x v="548"/>
          </reference>
          <reference field="9" count="1">
            <x v="0"/>
          </reference>
        </references>
      </pivotArea>
    </format>
    <format dxfId="1201">
      <pivotArea dataOnly="0" labelOnly="1" outline="0" fieldPosition="0">
        <references count="2">
          <reference field="0" count="1" selected="0">
            <x v="549"/>
          </reference>
          <reference field="9"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4B8184-CF17-4C53-95A2-A4BA398621A5}" name="Tabela dinâmica3" cacheId="7" applyNumberFormats="0" applyBorderFormats="0" applyFontFormats="0" applyPatternFormats="0" applyAlignmentFormats="0" applyWidthHeightFormats="1" dataCaption="Valores" updatedVersion="6" minRefreshableVersion="3" useAutoFormatting="1" rowGrandTotals="0" colGrandTotals="0" itemPrintTitles="1" createdVersion="6" indent="0" compact="0" compactData="0" multipleFieldFilters="0">
  <location ref="A4:B255" firstHeaderRow="1" firstDataRow="1" firstDataCol="2" rowPageCount="1" colPageCount="1"/>
  <pivotFields count="20">
    <pivotField axis="axisRow" compact="0" outline="0" subtotalTop="0" showAll="0" defaultSubtotal="0">
      <items count="555">
        <item x="0"/>
        <item x="1"/>
        <item x="2"/>
        <item x="3"/>
        <item m="1" x="543"/>
        <item x="4"/>
        <item x="5"/>
        <item x="6"/>
        <item x="7"/>
        <item x="8"/>
        <item m="1" x="480"/>
        <item x="9"/>
        <item x="10"/>
        <item x="11"/>
        <item m="1" x="525"/>
        <item x="12"/>
        <item x="431"/>
        <item x="13"/>
        <item x="14"/>
        <item m="1" x="482"/>
        <item x="15"/>
        <item x="16"/>
        <item x="17"/>
        <item x="18"/>
        <item x="19"/>
        <item x="20"/>
        <item m="1" x="466"/>
        <item x="21"/>
        <item x="22"/>
        <item x="23"/>
        <item m="1" x="442"/>
        <item x="24"/>
        <item x="25"/>
        <item x="26"/>
        <item x="27"/>
        <item x="28"/>
        <item x="29"/>
        <item x="30"/>
        <item x="31"/>
        <item x="32"/>
        <item x="33"/>
        <item x="34"/>
        <item x="35"/>
        <item x="36"/>
        <item x="37"/>
        <item x="38"/>
        <item x="39"/>
        <item x="40"/>
        <item x="41"/>
        <item x="42"/>
        <item x="43"/>
        <item x="44"/>
        <item x="45"/>
        <item x="46"/>
        <item x="47"/>
        <item x="48"/>
        <item x="49"/>
        <item m="1" x="541"/>
        <item x="50"/>
        <item x="51"/>
        <item x="52"/>
        <item x="53"/>
        <item x="54"/>
        <item x="55"/>
        <item m="1" x="465"/>
        <item x="56"/>
        <item x="57"/>
        <item x="58"/>
        <item x="59"/>
        <item x="60"/>
        <item x="61"/>
        <item x="62"/>
        <item x="63"/>
        <item x="64"/>
        <item x="65"/>
        <item x="66"/>
        <item x="67"/>
        <item x="68"/>
        <item x="69"/>
        <item x="70"/>
        <item x="71"/>
        <item x="72"/>
        <item x="73"/>
        <item m="1" x="502"/>
        <item m="1" x="518"/>
        <item m="1" x="527"/>
        <item m="1" x="540"/>
        <item m="1" x="548"/>
        <item m="1" x="445"/>
        <item m="1" x="451"/>
        <item x="74"/>
        <item x="75"/>
        <item x="76"/>
        <item x="77"/>
        <item x="78"/>
        <item x="79"/>
        <item x="80"/>
        <item x="81"/>
        <item x="82"/>
        <item x="83"/>
        <item x="84"/>
        <item x="85"/>
        <item m="1" x="472"/>
        <item m="1" x="513"/>
        <item m="1" x="474"/>
        <item x="86"/>
        <item x="87"/>
        <item m="1" x="506"/>
        <item m="1" x="523"/>
        <item m="1" x="450"/>
        <item x="88"/>
        <item m="1" x="487"/>
        <item m="1" x="496"/>
        <item m="1" x="503"/>
        <item m="1" x="507"/>
        <item m="1" x="511"/>
        <item x="89"/>
        <item x="90"/>
        <item x="91"/>
        <item x="92"/>
        <item m="1" x="486"/>
        <item m="1" x="439"/>
        <item x="93"/>
        <item x="94"/>
        <item m="1" x="554"/>
        <item x="95"/>
        <item x="96"/>
        <item x="97"/>
        <item x="98"/>
        <item x="99"/>
        <item x="100"/>
        <item x="101"/>
        <item x="102"/>
        <item x="103"/>
        <item x="104"/>
        <item x="105"/>
        <item x="106"/>
        <item x="107"/>
        <item m="1" x="491"/>
        <item x="108"/>
        <item m="1" x="470"/>
        <item x="109"/>
        <item x="110"/>
        <item m="1" x="509"/>
        <item x="111"/>
        <item m="1" x="528"/>
        <item m="1" x="549"/>
        <item x="112"/>
        <item x="113"/>
        <item x="114"/>
        <item x="115"/>
        <item x="116"/>
        <item x="117"/>
        <item x="118"/>
        <item x="119"/>
        <item x="120"/>
        <item x="121"/>
        <item x="122"/>
        <item x="123"/>
        <item x="124"/>
        <item x="125"/>
        <item m="1" x="476"/>
        <item x="126"/>
        <item x="127"/>
        <item x="128"/>
        <item x="129"/>
        <item x="130"/>
        <item x="131"/>
        <item x="132"/>
        <item x="133"/>
        <item x="134"/>
        <item m="1" x="443"/>
        <item x="135"/>
        <item x="136"/>
        <item x="137"/>
        <item x="138"/>
        <item m="1" x="454"/>
        <item x="139"/>
        <item x="140"/>
        <item x="141"/>
        <item x="142"/>
        <item m="1" x="493"/>
        <item m="1" x="516"/>
        <item x="143"/>
        <item x="144"/>
        <item x="145"/>
        <item x="146"/>
        <item x="147"/>
        <item m="1" x="485"/>
        <item x="148"/>
        <item x="149"/>
        <item m="1" x="458"/>
        <item m="1" x="481"/>
        <item m="1" x="462"/>
        <item m="1" x="437"/>
        <item m="1" x="495"/>
        <item m="1" x="471"/>
        <item x="150"/>
        <item x="151"/>
        <item m="1" x="467"/>
        <item x="152"/>
        <item m="1" x="517"/>
        <item x="153"/>
        <item x="154"/>
        <item m="1" x="500"/>
        <item m="1" x="464"/>
        <item x="155"/>
        <item x="156"/>
        <item m="1" x="538"/>
        <item x="157"/>
        <item m="1" x="484"/>
        <item x="158"/>
        <item m="1" x="514"/>
        <item m="1" x="539"/>
        <item m="1" x="452"/>
        <item m="1" x="498"/>
        <item x="159"/>
        <item x="160"/>
        <item x="161"/>
        <item x="162"/>
        <item x="163"/>
        <item m="1" x="460"/>
        <item x="164"/>
        <item x="165"/>
        <item x="166"/>
        <item x="167"/>
        <item x="168"/>
        <item m="1" x="475"/>
        <item x="169"/>
        <item x="170"/>
        <item m="1" x="501"/>
        <item m="1" x="544"/>
        <item m="1" x="505"/>
        <item x="171"/>
        <item x="172"/>
        <item m="1" x="524"/>
        <item m="1" x="535"/>
        <item x="173"/>
        <item x="174"/>
        <item m="1" x="534"/>
        <item x="175"/>
        <item x="176"/>
        <item m="1" x="492"/>
        <item m="1" x="537"/>
        <item x="177"/>
        <item x="178"/>
        <item m="1" x="508"/>
        <item x="179"/>
        <item m="1" x="479"/>
        <item m="1" x="438"/>
        <item x="180"/>
        <item m="1" x="512"/>
        <item m="1" x="551"/>
        <item x="181"/>
        <item x="182"/>
        <item x="183"/>
        <item m="1" x="468"/>
        <item m="1" x="469"/>
        <item x="184"/>
        <item x="185"/>
        <item m="1" x="497"/>
        <item x="186"/>
        <item x="187"/>
        <item x="188"/>
        <item x="189"/>
        <item x="190"/>
        <item x="191"/>
        <item x="192"/>
        <item x="193"/>
        <item x="194"/>
        <item x="195"/>
        <item x="196"/>
        <item x="197"/>
        <item x="198"/>
        <item m="1" x="448"/>
        <item x="199"/>
        <item x="200"/>
        <item x="201"/>
        <item x="202"/>
        <item m="1" x="547"/>
        <item m="1" x="550"/>
        <item m="1" x="552"/>
        <item x="203"/>
        <item x="204"/>
        <item x="205"/>
        <item x="206"/>
        <item x="207"/>
        <item m="1" x="504"/>
        <item x="208"/>
        <item x="209"/>
        <item x="210"/>
        <item m="1" x="531"/>
        <item x="211"/>
        <item x="212"/>
        <item x="213"/>
        <item x="214"/>
        <item x="215"/>
        <item m="1" x="499"/>
        <item x="216"/>
        <item x="217"/>
        <item m="1" x="473"/>
        <item m="1" x="510"/>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m="1" x="477"/>
        <item x="256"/>
        <item x="257"/>
        <item x="258"/>
        <item x="259"/>
        <item x="260"/>
        <item x="261"/>
        <item x="262"/>
        <item x="263"/>
        <item x="264"/>
        <item x="265"/>
        <item x="266"/>
        <item m="1" x="490"/>
        <item x="267"/>
        <item x="268"/>
        <item x="269"/>
        <item m="1" x="446"/>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m="1" x="519"/>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m="1" x="444"/>
        <item x="387"/>
        <item x="388"/>
        <item x="389"/>
        <item x="390"/>
        <item x="391"/>
        <item m="1" x="553"/>
        <item m="1" x="441"/>
        <item m="1" x="447"/>
        <item x="392"/>
        <item x="393"/>
        <item m="1" x="440"/>
        <item x="394"/>
        <item m="1" x="478"/>
        <item x="395"/>
        <item x="396"/>
        <item x="397"/>
        <item m="1" x="483"/>
        <item m="1" x="456"/>
        <item m="1" x="459"/>
        <item m="1" x="463"/>
        <item m="1" x="489"/>
        <item m="1" x="494"/>
        <item x="398"/>
        <item m="1" x="515"/>
        <item x="399"/>
        <item m="1" x="449"/>
        <item m="1" x="461"/>
        <item m="1" x="530"/>
        <item m="1" x="532"/>
        <item m="1" x="533"/>
        <item x="400"/>
        <item m="1" x="526"/>
        <item m="1" x="529"/>
        <item m="1" x="522"/>
        <item x="401"/>
        <item x="402"/>
        <item x="403"/>
        <item x="404"/>
        <item x="405"/>
        <item m="1" x="546"/>
        <item m="1" x="457"/>
        <item x="406"/>
        <item m="1" x="542"/>
        <item m="1" x="545"/>
        <item x="407"/>
        <item x="408"/>
        <item x="409"/>
        <item x="410"/>
        <item x="411"/>
        <item x="412"/>
        <item x="413"/>
        <item x="414"/>
        <item x="415"/>
        <item x="416"/>
        <item x="417"/>
        <item m="1" x="455"/>
        <item x="418"/>
        <item m="1" x="453"/>
        <item x="419"/>
        <item x="420"/>
        <item x="421"/>
        <item x="422"/>
        <item x="423"/>
        <item x="424"/>
        <item x="425"/>
        <item x="426"/>
        <item m="1" x="520"/>
        <item m="1" x="521"/>
        <item m="1" x="488"/>
        <item x="427"/>
        <item m="1" x="536"/>
        <item x="428"/>
        <item x="429"/>
        <item x="430"/>
        <item x="432"/>
        <item x="433"/>
        <item x="434"/>
        <item x="435"/>
        <item x="436"/>
      </items>
    </pivotField>
    <pivotField compact="0" outline="0" subtotalTop="0" showAll="0" defaultSubtotal="0"/>
    <pivotField axis="axisPage" compact="0" outline="0" showAll="0" defaultSubtotal="0">
      <items count="2">
        <item x="0"/>
        <item m="1" x="1"/>
      </items>
    </pivotField>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h="1" x="1"/>
        <item x="2"/>
        <item h="1" m="1" x="3"/>
        <item h="1" x="0"/>
      </items>
    </pivotField>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9"/>
  </rowFields>
  <rowItems count="251">
    <i>
      <x v="3"/>
      <x v="1"/>
    </i>
    <i>
      <x v="11"/>
      <x v="1"/>
    </i>
    <i>
      <x v="13"/>
      <x v="1"/>
    </i>
    <i>
      <x v="16"/>
      <x v="1"/>
    </i>
    <i>
      <x v="17"/>
      <x v="1"/>
    </i>
    <i>
      <x v="20"/>
      <x v="1"/>
    </i>
    <i>
      <x v="21"/>
      <x v="1"/>
    </i>
    <i>
      <x v="23"/>
      <x v="1"/>
    </i>
    <i>
      <x v="24"/>
      <x v="1"/>
    </i>
    <i>
      <x v="35"/>
      <x v="1"/>
    </i>
    <i>
      <x v="37"/>
      <x v="1"/>
    </i>
    <i>
      <x v="39"/>
      <x v="1"/>
    </i>
    <i>
      <x v="41"/>
      <x v="1"/>
    </i>
    <i>
      <x v="42"/>
      <x v="1"/>
    </i>
    <i>
      <x v="43"/>
      <x v="1"/>
    </i>
    <i>
      <x v="44"/>
      <x v="1"/>
    </i>
    <i>
      <x v="45"/>
      <x v="1"/>
    </i>
    <i>
      <x v="46"/>
      <x v="1"/>
    </i>
    <i>
      <x v="47"/>
      <x v="1"/>
    </i>
    <i>
      <x v="48"/>
      <x v="1"/>
    </i>
    <i>
      <x v="49"/>
      <x v="1"/>
    </i>
    <i>
      <x v="51"/>
      <x v="1"/>
    </i>
    <i>
      <x v="53"/>
      <x v="1"/>
    </i>
    <i>
      <x v="58"/>
      <x v="1"/>
    </i>
    <i>
      <x v="60"/>
      <x v="1"/>
    </i>
    <i>
      <x v="63"/>
      <x v="1"/>
    </i>
    <i>
      <x v="65"/>
      <x v="1"/>
    </i>
    <i>
      <x v="67"/>
      <x v="1"/>
    </i>
    <i>
      <x v="69"/>
      <x v="1"/>
    </i>
    <i>
      <x v="70"/>
      <x v="1"/>
    </i>
    <i>
      <x v="71"/>
      <x v="1"/>
    </i>
    <i>
      <x v="73"/>
      <x v="1"/>
    </i>
    <i>
      <x v="74"/>
      <x v="1"/>
    </i>
    <i>
      <x v="75"/>
      <x v="1"/>
    </i>
    <i>
      <x v="76"/>
      <x v="1"/>
    </i>
    <i>
      <x v="81"/>
      <x v="1"/>
    </i>
    <i>
      <x v="90"/>
      <x v="1"/>
    </i>
    <i>
      <x v="91"/>
      <x v="1"/>
    </i>
    <i>
      <x v="92"/>
      <x v="1"/>
    </i>
    <i>
      <x v="93"/>
      <x v="1"/>
    </i>
    <i>
      <x v="94"/>
      <x v="1"/>
    </i>
    <i>
      <x v="95"/>
      <x v="1"/>
    </i>
    <i>
      <x v="96"/>
      <x v="1"/>
    </i>
    <i>
      <x v="97"/>
      <x v="1"/>
    </i>
    <i>
      <x v="98"/>
      <x v="1"/>
    </i>
    <i>
      <x v="106"/>
      <x v="1"/>
    </i>
    <i>
      <x v="110"/>
      <x v="1"/>
    </i>
    <i>
      <x v="117"/>
      <x v="1"/>
    </i>
    <i>
      <x v="125"/>
      <x v="1"/>
    </i>
    <i>
      <x v="126"/>
      <x v="1"/>
    </i>
    <i>
      <x v="127"/>
      <x v="1"/>
    </i>
    <i>
      <x v="128"/>
      <x v="1"/>
    </i>
    <i>
      <x v="129"/>
      <x v="1"/>
    </i>
    <i>
      <x v="130"/>
      <x v="1"/>
    </i>
    <i>
      <x v="131"/>
      <x v="1"/>
    </i>
    <i>
      <x v="137"/>
      <x v="1"/>
    </i>
    <i>
      <x v="142"/>
      <x v="1"/>
    </i>
    <i>
      <x v="159"/>
      <x v="1"/>
    </i>
    <i>
      <x v="160"/>
      <x v="1"/>
    </i>
    <i>
      <x v="162"/>
      <x v="1"/>
    </i>
    <i>
      <x v="172"/>
      <x v="1"/>
    </i>
    <i>
      <x v="173"/>
      <x v="1"/>
    </i>
    <i>
      <x v="174"/>
      <x v="1"/>
    </i>
    <i>
      <x v="175"/>
      <x v="1"/>
    </i>
    <i>
      <x v="178"/>
      <x v="1"/>
    </i>
    <i>
      <x v="183"/>
      <x v="1"/>
    </i>
    <i>
      <x v="184"/>
      <x v="1"/>
    </i>
    <i>
      <x v="185"/>
      <x v="1"/>
    </i>
    <i>
      <x v="186"/>
      <x v="1"/>
    </i>
    <i>
      <x v="200"/>
      <x v="1"/>
    </i>
    <i>
      <x v="202"/>
      <x v="1"/>
    </i>
    <i>
      <x v="203"/>
      <x v="1"/>
    </i>
    <i>
      <x v="211"/>
      <x v="1"/>
    </i>
    <i>
      <x v="216"/>
      <x v="1"/>
    </i>
    <i>
      <x v="217"/>
      <x v="1"/>
    </i>
    <i>
      <x v="224"/>
      <x v="1"/>
    </i>
    <i>
      <x v="229"/>
      <x v="1"/>
    </i>
    <i>
      <x v="241"/>
      <x v="1"/>
    </i>
    <i>
      <x v="244"/>
      <x v="1"/>
    </i>
    <i>
      <x v="245"/>
      <x v="1"/>
    </i>
    <i>
      <x v="259"/>
      <x v="1"/>
    </i>
    <i>
      <x v="282"/>
      <x v="1"/>
    </i>
    <i>
      <x v="283"/>
      <x v="1"/>
    </i>
    <i>
      <x v="284"/>
      <x v="1"/>
    </i>
    <i>
      <x v="285"/>
      <x v="1"/>
    </i>
    <i>
      <x v="289"/>
      <x v="1"/>
    </i>
    <i>
      <x v="290"/>
      <x v="1"/>
    </i>
    <i>
      <x v="293"/>
      <x v="1"/>
    </i>
    <i>
      <x v="299"/>
      <x v="1"/>
    </i>
    <i>
      <x v="302"/>
      <x v="1"/>
    </i>
    <i>
      <x v="303"/>
      <x v="1"/>
    </i>
    <i>
      <x v="304"/>
      <x v="1"/>
    </i>
    <i>
      <x v="305"/>
      <x v="1"/>
    </i>
    <i>
      <x v="306"/>
      <x v="1"/>
    </i>
    <i>
      <x v="307"/>
      <x v="1"/>
    </i>
    <i>
      <x v="308"/>
      <x v="1"/>
    </i>
    <i>
      <x v="309"/>
      <x v="1"/>
    </i>
    <i>
      <x v="310"/>
      <x v="1"/>
    </i>
    <i>
      <x v="311"/>
      <x v="1"/>
    </i>
    <i>
      <x v="312"/>
      <x v="1"/>
    </i>
    <i>
      <x v="313"/>
      <x v="1"/>
    </i>
    <i>
      <x v="314"/>
      <x v="1"/>
    </i>
    <i>
      <x v="315"/>
      <x v="1"/>
    </i>
    <i>
      <x v="316"/>
      <x v="1"/>
    </i>
    <i>
      <x v="317"/>
      <x v="1"/>
    </i>
    <i>
      <x v="318"/>
      <x v="1"/>
    </i>
    <i>
      <x v="319"/>
      <x v="1"/>
    </i>
    <i>
      <x v="320"/>
      <x v="1"/>
    </i>
    <i>
      <x v="321"/>
      <x v="1"/>
    </i>
    <i>
      <x v="322"/>
      <x v="1"/>
    </i>
    <i>
      <x v="323"/>
      <x v="1"/>
    </i>
    <i>
      <x v="324"/>
      <x v="1"/>
    </i>
    <i>
      <x v="325"/>
      <x v="1"/>
    </i>
    <i>
      <x v="326"/>
      <x v="1"/>
    </i>
    <i>
      <x v="327"/>
      <x v="1"/>
    </i>
    <i>
      <x v="328"/>
      <x v="1"/>
    </i>
    <i>
      <x v="329"/>
      <x v="1"/>
    </i>
    <i>
      <x v="330"/>
      <x v="1"/>
    </i>
    <i>
      <x v="331"/>
      <x v="1"/>
    </i>
    <i>
      <x v="332"/>
      <x v="1"/>
    </i>
    <i>
      <x v="333"/>
      <x v="1"/>
    </i>
    <i>
      <x v="334"/>
      <x v="1"/>
    </i>
    <i>
      <x v="335"/>
      <x v="1"/>
    </i>
    <i>
      <x v="336"/>
      <x v="1"/>
    </i>
    <i>
      <x v="337"/>
      <x v="1"/>
    </i>
    <i>
      <x v="338"/>
      <x v="1"/>
    </i>
    <i>
      <x v="339"/>
      <x v="1"/>
    </i>
    <i>
      <x v="350"/>
      <x v="1"/>
    </i>
    <i>
      <x v="351"/>
      <x v="1"/>
    </i>
    <i>
      <x v="357"/>
      <x v="1"/>
    </i>
    <i>
      <x v="358"/>
      <x v="1"/>
    </i>
    <i>
      <x v="359"/>
      <x v="1"/>
    </i>
    <i>
      <x v="362"/>
      <x v="1"/>
    </i>
    <i>
      <x v="363"/>
      <x v="1"/>
    </i>
    <i>
      <x v="364"/>
      <x v="1"/>
    </i>
    <i>
      <x v="365"/>
      <x v="1"/>
    </i>
    <i>
      <x v="366"/>
      <x v="1"/>
    </i>
    <i>
      <x v="367"/>
      <x v="1"/>
    </i>
    <i>
      <x v="368"/>
      <x v="1"/>
    </i>
    <i>
      <x v="369"/>
      <x v="1"/>
    </i>
    <i>
      <x v="370"/>
      <x v="1"/>
    </i>
    <i>
      <x v="371"/>
      <x v="1"/>
    </i>
    <i>
      <x v="372"/>
      <x v="1"/>
    </i>
    <i>
      <x v="373"/>
      <x v="1"/>
    </i>
    <i>
      <x v="374"/>
      <x v="1"/>
    </i>
    <i>
      <x v="375"/>
      <x v="1"/>
    </i>
    <i>
      <x v="376"/>
      <x v="1"/>
    </i>
    <i>
      <x v="377"/>
      <x v="1"/>
    </i>
    <i>
      <x v="378"/>
      <x v="1"/>
    </i>
    <i>
      <x v="379"/>
      <x v="1"/>
    </i>
    <i>
      <x v="380"/>
      <x v="1"/>
    </i>
    <i>
      <x v="381"/>
      <x v="1"/>
    </i>
    <i>
      <x v="382"/>
      <x v="1"/>
    </i>
    <i>
      <x v="383"/>
      <x v="1"/>
    </i>
    <i>
      <x v="384"/>
      <x v="1"/>
    </i>
    <i>
      <x v="385"/>
      <x v="1"/>
    </i>
    <i>
      <x v="386"/>
      <x v="1"/>
    </i>
    <i>
      <x v="387"/>
      <x v="1"/>
    </i>
    <i>
      <x v="388"/>
      <x v="1"/>
    </i>
    <i>
      <x v="389"/>
      <x v="1"/>
    </i>
    <i>
      <x v="390"/>
      <x v="1"/>
    </i>
    <i>
      <x v="391"/>
      <x v="1"/>
    </i>
    <i>
      <x v="392"/>
      <x v="1"/>
    </i>
    <i>
      <x v="393"/>
      <x v="1"/>
    </i>
    <i>
      <x v="394"/>
      <x v="1"/>
    </i>
    <i>
      <x v="395"/>
      <x v="1"/>
    </i>
    <i>
      <x v="399"/>
      <x v="1"/>
    </i>
    <i>
      <x v="400"/>
      <x v="1"/>
    </i>
    <i>
      <x v="409"/>
      <x v="1"/>
    </i>
    <i>
      <x v="411"/>
      <x v="1"/>
    </i>
    <i>
      <x v="412"/>
      <x v="1"/>
    </i>
    <i>
      <x v="414"/>
      <x v="1"/>
    </i>
    <i>
      <x v="416"/>
      <x v="1"/>
    </i>
    <i>
      <x v="417"/>
      <x v="1"/>
    </i>
    <i>
      <x v="418"/>
      <x v="1"/>
    </i>
    <i>
      <x v="419"/>
      <x v="1"/>
    </i>
    <i>
      <x v="420"/>
      <x v="1"/>
    </i>
    <i>
      <x v="421"/>
      <x v="1"/>
    </i>
    <i>
      <x v="422"/>
      <x v="1"/>
    </i>
    <i>
      <x v="423"/>
      <x v="1"/>
    </i>
    <i>
      <x v="424"/>
      <x v="1"/>
    </i>
    <i>
      <x v="425"/>
      <x v="1"/>
    </i>
    <i>
      <x v="426"/>
      <x v="1"/>
    </i>
    <i>
      <x v="427"/>
      <x v="1"/>
    </i>
    <i>
      <x v="428"/>
      <x v="1"/>
    </i>
    <i>
      <x v="429"/>
      <x v="1"/>
    </i>
    <i>
      <x v="430"/>
      <x v="1"/>
    </i>
    <i>
      <x v="431"/>
      <x v="1"/>
    </i>
    <i>
      <x v="432"/>
      <x v="1"/>
    </i>
    <i>
      <x v="433"/>
      <x v="1"/>
    </i>
    <i>
      <x v="434"/>
      <x v="1"/>
    </i>
    <i>
      <x v="435"/>
      <x v="1"/>
    </i>
    <i>
      <x v="436"/>
      <x v="1"/>
    </i>
    <i>
      <x v="437"/>
      <x v="1"/>
    </i>
    <i>
      <x v="438"/>
      <x v="1"/>
    </i>
    <i>
      <x v="439"/>
      <x v="1"/>
    </i>
    <i>
      <x v="440"/>
      <x v="1"/>
    </i>
    <i>
      <x v="442"/>
      <x v="1"/>
    </i>
    <i>
      <x v="443"/>
      <x v="1"/>
    </i>
    <i>
      <x v="444"/>
      <x v="1"/>
    </i>
    <i>
      <x v="445"/>
      <x v="1"/>
    </i>
    <i>
      <x v="446"/>
      <x v="1"/>
    </i>
    <i>
      <x v="447"/>
      <x v="1"/>
    </i>
    <i>
      <x v="448"/>
      <x v="1"/>
    </i>
    <i>
      <x v="449"/>
      <x v="1"/>
    </i>
    <i>
      <x v="450"/>
      <x v="1"/>
    </i>
    <i>
      <x v="451"/>
      <x v="1"/>
    </i>
    <i>
      <x v="452"/>
      <x v="1"/>
    </i>
    <i>
      <x v="453"/>
      <x v="1"/>
    </i>
    <i>
      <x v="454"/>
      <x v="1"/>
    </i>
    <i>
      <x v="455"/>
      <x v="1"/>
    </i>
    <i>
      <x v="456"/>
      <x v="1"/>
    </i>
    <i>
      <x v="457"/>
      <x v="1"/>
    </i>
    <i>
      <x v="458"/>
      <x v="1"/>
    </i>
    <i>
      <x v="459"/>
      <x v="1"/>
    </i>
    <i>
      <x v="460"/>
      <x v="1"/>
    </i>
    <i>
      <x v="461"/>
      <x v="1"/>
    </i>
    <i>
      <x v="462"/>
      <x v="1"/>
    </i>
    <i>
      <x v="463"/>
      <x v="1"/>
    </i>
    <i>
      <x v="464"/>
      <x v="1"/>
    </i>
    <i>
      <x v="465"/>
      <x v="1"/>
    </i>
    <i>
      <x v="466"/>
      <x v="1"/>
    </i>
    <i>
      <x v="467"/>
      <x v="1"/>
    </i>
    <i>
      <x v="468"/>
      <x v="1"/>
    </i>
    <i>
      <x v="469"/>
      <x v="1"/>
    </i>
    <i>
      <x v="470"/>
      <x v="1"/>
    </i>
    <i>
      <x v="471"/>
      <x v="1"/>
    </i>
    <i>
      <x v="472"/>
      <x v="1"/>
    </i>
    <i>
      <x v="473"/>
      <x v="1"/>
    </i>
    <i>
      <x v="479"/>
      <x v="1"/>
    </i>
    <i>
      <x v="480"/>
      <x v="1"/>
    </i>
    <i>
      <x v="484"/>
      <x v="1"/>
    </i>
    <i>
      <x v="500"/>
      <x v="1"/>
    </i>
    <i>
      <x v="510"/>
      <x v="1"/>
    </i>
    <i>
      <x v="520"/>
      <x v="1"/>
    </i>
    <i>
      <x v="521"/>
      <x v="1"/>
    </i>
    <i>
      <x v="522"/>
      <x v="1"/>
    </i>
    <i>
      <x v="523"/>
      <x v="1"/>
    </i>
    <i>
      <x v="524"/>
      <x v="1"/>
    </i>
    <i>
      <x v="525"/>
      <x v="1"/>
    </i>
    <i>
      <x v="526"/>
      <x v="1"/>
    </i>
    <i>
      <x v="527"/>
      <x v="1"/>
    </i>
    <i>
      <x v="529"/>
      <x v="1"/>
    </i>
    <i>
      <x v="532"/>
      <x v="1"/>
    </i>
    <i>
      <x v="534"/>
      <x v="1"/>
    </i>
    <i>
      <x v="535"/>
      <x v="1"/>
    </i>
    <i>
      <x v="536"/>
      <x v="1"/>
    </i>
    <i>
      <x v="537"/>
      <x v="1"/>
    </i>
    <i>
      <x v="538"/>
      <x v="1"/>
    </i>
    <i>
      <x v="539"/>
      <x v="1"/>
    </i>
    <i>
      <x v="547"/>
      <x v="1"/>
    </i>
  </rowItems>
  <colItems count="1">
    <i/>
  </colItems>
  <pageFields count="1">
    <pageField fld="2" item="0" hier="-1"/>
  </pageFields>
  <formats count="212">
    <format dxfId="1856">
      <pivotArea type="all" dataOnly="0" outline="0" fieldPosition="0"/>
    </format>
    <format dxfId="1855">
      <pivotArea field="0" type="button" dataOnly="0" labelOnly="1" outline="0" axis="axisRow" fieldPosition="0"/>
    </format>
    <format dxfId="1854">
      <pivotArea field="9" type="button" dataOnly="0" labelOnly="1" outline="0" axis="axisRow" fieldPosition="1"/>
    </format>
    <format dxfId="1853">
      <pivotArea dataOnly="0" labelOnly="1" outline="0" fieldPosition="0">
        <references count="1">
          <reference field="0" count="50">
            <x v="0"/>
            <x v="1"/>
            <x v="2"/>
            <x v="5"/>
            <x v="6"/>
            <x v="7"/>
            <x v="8"/>
            <x v="9"/>
            <x v="12"/>
            <x v="13"/>
            <x v="15"/>
            <x v="18"/>
            <x v="22"/>
            <x v="24"/>
            <x v="25"/>
            <x v="27"/>
            <x v="28"/>
            <x v="29"/>
            <x v="31"/>
            <x v="32"/>
            <x v="33"/>
            <x v="34"/>
            <x v="36"/>
            <x v="38"/>
            <x v="40"/>
            <x v="50"/>
            <x v="52"/>
            <x v="54"/>
            <x v="55"/>
            <x v="56"/>
            <x v="59"/>
            <x v="61"/>
            <x v="62"/>
            <x v="63"/>
            <x v="66"/>
            <x v="68"/>
            <x v="72"/>
            <x v="77"/>
            <x v="78"/>
            <x v="79"/>
            <x v="80"/>
            <x v="82"/>
            <x v="98"/>
            <x v="99"/>
            <x v="100"/>
            <x v="101"/>
            <x v="105"/>
            <x v="116"/>
            <x v="117"/>
            <x v="118"/>
          </reference>
        </references>
      </pivotArea>
    </format>
    <format dxfId="1852">
      <pivotArea dataOnly="0" labelOnly="1" outline="0" fieldPosition="0">
        <references count="1">
          <reference field="0" count="50">
            <x v="119"/>
            <x v="122"/>
            <x v="123"/>
            <x v="126"/>
            <x v="132"/>
            <x v="133"/>
            <x v="134"/>
            <x v="135"/>
            <x v="136"/>
            <x v="139"/>
            <x v="141"/>
            <x v="144"/>
            <x v="147"/>
            <x v="148"/>
            <x v="149"/>
            <x v="150"/>
            <x v="151"/>
            <x v="152"/>
            <x v="153"/>
            <x v="154"/>
            <x v="155"/>
            <x v="156"/>
            <x v="157"/>
            <x v="158"/>
            <x v="159"/>
            <x v="163"/>
            <x v="164"/>
            <x v="165"/>
            <x v="166"/>
            <x v="167"/>
            <x v="168"/>
            <x v="169"/>
            <x v="170"/>
            <x v="177"/>
            <x v="179"/>
            <x v="180"/>
            <x v="187"/>
            <x v="189"/>
            <x v="190"/>
            <x v="197"/>
            <x v="198"/>
            <x v="206"/>
            <x v="207"/>
            <x v="209"/>
            <x v="218"/>
            <x v="219"/>
            <x v="220"/>
            <x v="222"/>
            <x v="223"/>
            <x v="225"/>
          </reference>
        </references>
      </pivotArea>
    </format>
    <format dxfId="1851">
      <pivotArea dataOnly="0" labelOnly="1" outline="0" fieldPosition="0">
        <references count="1">
          <reference field="0" count="50">
            <x v="226"/>
            <x v="228"/>
            <x v="233"/>
            <x v="234"/>
            <x v="237"/>
            <x v="238"/>
            <x v="240"/>
            <x v="241"/>
            <x v="247"/>
            <x v="250"/>
            <x v="253"/>
            <x v="254"/>
            <x v="255"/>
            <x v="258"/>
            <x v="261"/>
            <x v="262"/>
            <x v="263"/>
            <x v="264"/>
            <x v="265"/>
            <x v="266"/>
            <x v="267"/>
            <x v="268"/>
            <x v="269"/>
            <x v="270"/>
            <x v="271"/>
            <x v="272"/>
            <x v="273"/>
            <x v="275"/>
            <x v="276"/>
            <x v="277"/>
            <x v="278"/>
            <x v="286"/>
            <x v="288"/>
            <x v="292"/>
            <x v="294"/>
            <x v="295"/>
            <x v="296"/>
            <x v="298"/>
            <x v="341"/>
            <x v="342"/>
            <x v="343"/>
            <x v="344"/>
            <x v="345"/>
            <x v="346"/>
            <x v="347"/>
            <x v="348"/>
            <x v="349"/>
            <x v="353"/>
            <x v="354"/>
            <x v="355"/>
          </reference>
        </references>
      </pivotArea>
    </format>
    <format dxfId="1850">
      <pivotArea dataOnly="0" labelOnly="1" outline="0" fieldPosition="0">
        <references count="1">
          <reference field="0" count="50">
            <x v="360"/>
            <x v="361"/>
            <x v="396"/>
            <x v="397"/>
            <x v="398"/>
            <x v="401"/>
            <x v="402"/>
            <x v="403"/>
            <x v="404"/>
            <x v="405"/>
            <x v="406"/>
            <x v="407"/>
            <x v="408"/>
            <x v="410"/>
            <x v="411"/>
            <x v="412"/>
            <x v="413"/>
            <x v="441"/>
            <x v="474"/>
            <x v="476"/>
            <x v="477"/>
            <x v="478"/>
            <x v="485"/>
            <x v="487"/>
            <x v="489"/>
            <x v="490"/>
            <x v="491"/>
            <x v="498"/>
            <x v="506"/>
            <x v="511"/>
            <x v="512"/>
            <x v="513"/>
            <x v="514"/>
            <x v="517"/>
            <x v="520"/>
            <x v="521"/>
            <x v="522"/>
            <x v="523"/>
            <x v="524"/>
            <x v="525"/>
            <x v="526"/>
            <x v="527"/>
            <x v="528"/>
            <x v="530"/>
            <x v="535"/>
            <x v="536"/>
            <x v="537"/>
            <x v="538"/>
            <x v="539"/>
            <x v="540"/>
          </reference>
        </references>
      </pivotArea>
    </format>
    <format dxfId="1849">
      <pivotArea dataOnly="0" labelOnly="1" outline="0" fieldPosition="0">
        <references count="1">
          <reference field="0" count="4">
            <x v="541"/>
            <x v="545"/>
            <x v="548"/>
            <x v="549"/>
          </reference>
        </references>
      </pivotArea>
    </format>
    <format dxfId="1848">
      <pivotArea dataOnly="0" labelOnly="1" outline="0" fieldPosition="0">
        <references count="2">
          <reference field="0" count="1" selected="0">
            <x v="0"/>
          </reference>
          <reference field="9" count="1">
            <x v="0"/>
          </reference>
        </references>
      </pivotArea>
    </format>
    <format dxfId="1847">
      <pivotArea dataOnly="0" labelOnly="1" outline="0" fieldPosition="0">
        <references count="2">
          <reference field="0" count="1" selected="0">
            <x v="1"/>
          </reference>
          <reference field="9" count="1">
            <x v="0"/>
          </reference>
        </references>
      </pivotArea>
    </format>
    <format dxfId="1846">
      <pivotArea dataOnly="0" labelOnly="1" outline="0" fieldPosition="0">
        <references count="2">
          <reference field="0" count="1" selected="0">
            <x v="2"/>
          </reference>
          <reference field="9" count="1">
            <x v="0"/>
          </reference>
        </references>
      </pivotArea>
    </format>
    <format dxfId="1845">
      <pivotArea dataOnly="0" labelOnly="1" outline="0" fieldPosition="0">
        <references count="2">
          <reference field="0" count="1" selected="0">
            <x v="5"/>
          </reference>
          <reference field="9" count="1">
            <x v="0"/>
          </reference>
        </references>
      </pivotArea>
    </format>
    <format dxfId="1844">
      <pivotArea dataOnly="0" labelOnly="1" outline="0" fieldPosition="0">
        <references count="2">
          <reference field="0" count="1" selected="0">
            <x v="6"/>
          </reference>
          <reference field="9" count="1">
            <x v="0"/>
          </reference>
        </references>
      </pivotArea>
    </format>
    <format dxfId="1843">
      <pivotArea dataOnly="0" labelOnly="1" outline="0" fieldPosition="0">
        <references count="2">
          <reference field="0" count="1" selected="0">
            <x v="7"/>
          </reference>
          <reference field="9" count="1">
            <x v="0"/>
          </reference>
        </references>
      </pivotArea>
    </format>
    <format dxfId="1842">
      <pivotArea dataOnly="0" labelOnly="1" outline="0" fieldPosition="0">
        <references count="2">
          <reference field="0" count="1" selected="0">
            <x v="8"/>
          </reference>
          <reference field="9" count="1">
            <x v="0"/>
          </reference>
        </references>
      </pivotArea>
    </format>
    <format dxfId="1841">
      <pivotArea dataOnly="0" labelOnly="1" outline="0" fieldPosition="0">
        <references count="2">
          <reference field="0" count="1" selected="0">
            <x v="9"/>
          </reference>
          <reference field="9" count="1">
            <x v="0"/>
          </reference>
        </references>
      </pivotArea>
    </format>
    <format dxfId="1840">
      <pivotArea dataOnly="0" labelOnly="1" outline="0" fieldPosition="0">
        <references count="2">
          <reference field="0" count="1" selected="0">
            <x v="12"/>
          </reference>
          <reference field="9" count="1">
            <x v="0"/>
          </reference>
        </references>
      </pivotArea>
    </format>
    <format dxfId="1839">
      <pivotArea dataOnly="0" labelOnly="1" outline="0" fieldPosition="0">
        <references count="2">
          <reference field="0" count="1" selected="0">
            <x v="13"/>
          </reference>
          <reference field="9" count="1">
            <x v="0"/>
          </reference>
        </references>
      </pivotArea>
    </format>
    <format dxfId="1838">
      <pivotArea dataOnly="0" labelOnly="1" outline="0" fieldPosition="0">
        <references count="2">
          <reference field="0" count="1" selected="0">
            <x v="15"/>
          </reference>
          <reference field="9" count="1">
            <x v="0"/>
          </reference>
        </references>
      </pivotArea>
    </format>
    <format dxfId="1837">
      <pivotArea dataOnly="0" labelOnly="1" outline="0" fieldPosition="0">
        <references count="2">
          <reference field="0" count="1" selected="0">
            <x v="18"/>
          </reference>
          <reference field="9" count="1">
            <x v="0"/>
          </reference>
        </references>
      </pivotArea>
    </format>
    <format dxfId="1836">
      <pivotArea dataOnly="0" labelOnly="1" outline="0" fieldPosition="0">
        <references count="2">
          <reference field="0" count="1" selected="0">
            <x v="22"/>
          </reference>
          <reference field="9" count="1">
            <x v="0"/>
          </reference>
        </references>
      </pivotArea>
    </format>
    <format dxfId="1835">
      <pivotArea dataOnly="0" labelOnly="1" outline="0" fieldPosition="0">
        <references count="2">
          <reference field="0" count="1" selected="0">
            <x v="24"/>
          </reference>
          <reference field="9" count="1">
            <x v="0"/>
          </reference>
        </references>
      </pivotArea>
    </format>
    <format dxfId="1834">
      <pivotArea dataOnly="0" labelOnly="1" outline="0" fieldPosition="0">
        <references count="2">
          <reference field="0" count="1" selected="0">
            <x v="25"/>
          </reference>
          <reference field="9" count="1">
            <x v="0"/>
          </reference>
        </references>
      </pivotArea>
    </format>
    <format dxfId="1833">
      <pivotArea dataOnly="0" labelOnly="1" outline="0" fieldPosition="0">
        <references count="2">
          <reference field="0" count="1" selected="0">
            <x v="27"/>
          </reference>
          <reference field="9" count="1">
            <x v="0"/>
          </reference>
        </references>
      </pivotArea>
    </format>
    <format dxfId="1832">
      <pivotArea dataOnly="0" labelOnly="1" outline="0" fieldPosition="0">
        <references count="2">
          <reference field="0" count="1" selected="0">
            <x v="28"/>
          </reference>
          <reference field="9" count="1">
            <x v="0"/>
          </reference>
        </references>
      </pivotArea>
    </format>
    <format dxfId="1831">
      <pivotArea dataOnly="0" labelOnly="1" outline="0" fieldPosition="0">
        <references count="2">
          <reference field="0" count="1" selected="0">
            <x v="29"/>
          </reference>
          <reference field="9" count="1">
            <x v="0"/>
          </reference>
        </references>
      </pivotArea>
    </format>
    <format dxfId="1830">
      <pivotArea dataOnly="0" labelOnly="1" outline="0" fieldPosition="0">
        <references count="2">
          <reference field="0" count="1" selected="0">
            <x v="31"/>
          </reference>
          <reference field="9" count="1">
            <x v="0"/>
          </reference>
        </references>
      </pivotArea>
    </format>
    <format dxfId="1829">
      <pivotArea dataOnly="0" labelOnly="1" outline="0" fieldPosition="0">
        <references count="2">
          <reference field="0" count="1" selected="0">
            <x v="32"/>
          </reference>
          <reference field="9" count="1">
            <x v="0"/>
          </reference>
        </references>
      </pivotArea>
    </format>
    <format dxfId="1828">
      <pivotArea dataOnly="0" labelOnly="1" outline="0" fieldPosition="0">
        <references count="2">
          <reference field="0" count="1" selected="0">
            <x v="33"/>
          </reference>
          <reference field="9" count="1">
            <x v="0"/>
          </reference>
        </references>
      </pivotArea>
    </format>
    <format dxfId="1827">
      <pivotArea dataOnly="0" labelOnly="1" outline="0" fieldPosition="0">
        <references count="2">
          <reference field="0" count="1" selected="0">
            <x v="34"/>
          </reference>
          <reference field="9" count="1">
            <x v="0"/>
          </reference>
        </references>
      </pivotArea>
    </format>
    <format dxfId="1826">
      <pivotArea dataOnly="0" labelOnly="1" outline="0" fieldPosition="0">
        <references count="2">
          <reference field="0" count="1" selected="0">
            <x v="36"/>
          </reference>
          <reference field="9" count="1">
            <x v="0"/>
          </reference>
        </references>
      </pivotArea>
    </format>
    <format dxfId="1825">
      <pivotArea dataOnly="0" labelOnly="1" outline="0" fieldPosition="0">
        <references count="2">
          <reference field="0" count="1" selected="0">
            <x v="38"/>
          </reference>
          <reference field="9" count="1">
            <x v="0"/>
          </reference>
        </references>
      </pivotArea>
    </format>
    <format dxfId="1824">
      <pivotArea dataOnly="0" labelOnly="1" outline="0" fieldPosition="0">
        <references count="2">
          <reference field="0" count="1" selected="0">
            <x v="40"/>
          </reference>
          <reference field="9" count="1">
            <x v="0"/>
          </reference>
        </references>
      </pivotArea>
    </format>
    <format dxfId="1823">
      <pivotArea dataOnly="0" labelOnly="1" outline="0" fieldPosition="0">
        <references count="2">
          <reference field="0" count="1" selected="0">
            <x v="50"/>
          </reference>
          <reference field="9" count="1">
            <x v="0"/>
          </reference>
        </references>
      </pivotArea>
    </format>
    <format dxfId="1822">
      <pivotArea dataOnly="0" labelOnly="1" outline="0" fieldPosition="0">
        <references count="2">
          <reference field="0" count="1" selected="0">
            <x v="52"/>
          </reference>
          <reference field="9" count="1">
            <x v="0"/>
          </reference>
        </references>
      </pivotArea>
    </format>
    <format dxfId="1821">
      <pivotArea dataOnly="0" labelOnly="1" outline="0" fieldPosition="0">
        <references count="2">
          <reference field="0" count="1" selected="0">
            <x v="54"/>
          </reference>
          <reference field="9" count="1">
            <x v="0"/>
          </reference>
        </references>
      </pivotArea>
    </format>
    <format dxfId="1820">
      <pivotArea dataOnly="0" labelOnly="1" outline="0" fieldPosition="0">
        <references count="2">
          <reference field="0" count="1" selected="0">
            <x v="55"/>
          </reference>
          <reference field="9" count="1">
            <x v="0"/>
          </reference>
        </references>
      </pivotArea>
    </format>
    <format dxfId="1819">
      <pivotArea dataOnly="0" labelOnly="1" outline="0" fieldPosition="0">
        <references count="2">
          <reference field="0" count="1" selected="0">
            <x v="56"/>
          </reference>
          <reference field="9" count="1">
            <x v="0"/>
          </reference>
        </references>
      </pivotArea>
    </format>
    <format dxfId="1818">
      <pivotArea dataOnly="0" labelOnly="1" outline="0" fieldPosition="0">
        <references count="2">
          <reference field="0" count="1" selected="0">
            <x v="59"/>
          </reference>
          <reference field="9" count="1">
            <x v="0"/>
          </reference>
        </references>
      </pivotArea>
    </format>
    <format dxfId="1817">
      <pivotArea dataOnly="0" labelOnly="1" outline="0" fieldPosition="0">
        <references count="2">
          <reference field="0" count="1" selected="0">
            <x v="61"/>
          </reference>
          <reference field="9" count="1">
            <x v="0"/>
          </reference>
        </references>
      </pivotArea>
    </format>
    <format dxfId="1816">
      <pivotArea dataOnly="0" labelOnly="1" outline="0" fieldPosition="0">
        <references count="2">
          <reference field="0" count="1" selected="0">
            <x v="62"/>
          </reference>
          <reference field="9" count="1">
            <x v="0"/>
          </reference>
        </references>
      </pivotArea>
    </format>
    <format dxfId="1815">
      <pivotArea dataOnly="0" labelOnly="1" outline="0" fieldPosition="0">
        <references count="2">
          <reference field="0" count="1" selected="0">
            <x v="63"/>
          </reference>
          <reference field="9" count="1">
            <x v="0"/>
          </reference>
        </references>
      </pivotArea>
    </format>
    <format dxfId="1814">
      <pivotArea dataOnly="0" labelOnly="1" outline="0" fieldPosition="0">
        <references count="2">
          <reference field="0" count="1" selected="0">
            <x v="66"/>
          </reference>
          <reference field="9" count="1">
            <x v="0"/>
          </reference>
        </references>
      </pivotArea>
    </format>
    <format dxfId="1813">
      <pivotArea dataOnly="0" labelOnly="1" outline="0" fieldPosition="0">
        <references count="2">
          <reference field="0" count="1" selected="0">
            <x v="68"/>
          </reference>
          <reference field="9" count="1">
            <x v="0"/>
          </reference>
        </references>
      </pivotArea>
    </format>
    <format dxfId="1812">
      <pivotArea dataOnly="0" labelOnly="1" outline="0" fieldPosition="0">
        <references count="2">
          <reference field="0" count="1" selected="0">
            <x v="72"/>
          </reference>
          <reference field="9" count="1">
            <x v="0"/>
          </reference>
        </references>
      </pivotArea>
    </format>
    <format dxfId="1811">
      <pivotArea dataOnly="0" labelOnly="1" outline="0" fieldPosition="0">
        <references count="2">
          <reference field="0" count="1" selected="0">
            <x v="77"/>
          </reference>
          <reference field="9" count="1">
            <x v="0"/>
          </reference>
        </references>
      </pivotArea>
    </format>
    <format dxfId="1810">
      <pivotArea dataOnly="0" labelOnly="1" outline="0" fieldPosition="0">
        <references count="2">
          <reference field="0" count="1" selected="0">
            <x v="78"/>
          </reference>
          <reference field="9" count="1">
            <x v="0"/>
          </reference>
        </references>
      </pivotArea>
    </format>
    <format dxfId="1809">
      <pivotArea dataOnly="0" labelOnly="1" outline="0" fieldPosition="0">
        <references count="2">
          <reference field="0" count="1" selected="0">
            <x v="79"/>
          </reference>
          <reference field="9" count="1">
            <x v="0"/>
          </reference>
        </references>
      </pivotArea>
    </format>
    <format dxfId="1808">
      <pivotArea dataOnly="0" labelOnly="1" outline="0" fieldPosition="0">
        <references count="2">
          <reference field="0" count="1" selected="0">
            <x v="80"/>
          </reference>
          <reference field="9" count="1">
            <x v="0"/>
          </reference>
        </references>
      </pivotArea>
    </format>
    <format dxfId="1807">
      <pivotArea dataOnly="0" labelOnly="1" outline="0" fieldPosition="0">
        <references count="2">
          <reference field="0" count="1" selected="0">
            <x v="82"/>
          </reference>
          <reference field="9" count="1">
            <x v="0"/>
          </reference>
        </references>
      </pivotArea>
    </format>
    <format dxfId="1806">
      <pivotArea dataOnly="0" labelOnly="1" outline="0" fieldPosition="0">
        <references count="2">
          <reference field="0" count="1" selected="0">
            <x v="98"/>
          </reference>
          <reference field="9" count="1">
            <x v="0"/>
          </reference>
        </references>
      </pivotArea>
    </format>
    <format dxfId="1805">
      <pivotArea dataOnly="0" labelOnly="1" outline="0" fieldPosition="0">
        <references count="2">
          <reference field="0" count="1" selected="0">
            <x v="99"/>
          </reference>
          <reference field="9" count="1">
            <x v="0"/>
          </reference>
        </references>
      </pivotArea>
    </format>
    <format dxfId="1804">
      <pivotArea dataOnly="0" labelOnly="1" outline="0" fieldPosition="0">
        <references count="2">
          <reference field="0" count="1" selected="0">
            <x v="100"/>
          </reference>
          <reference field="9" count="1">
            <x v="0"/>
          </reference>
        </references>
      </pivotArea>
    </format>
    <format dxfId="1803">
      <pivotArea dataOnly="0" labelOnly="1" outline="0" fieldPosition="0">
        <references count="2">
          <reference field="0" count="1" selected="0">
            <x v="101"/>
          </reference>
          <reference field="9" count="1">
            <x v="0"/>
          </reference>
        </references>
      </pivotArea>
    </format>
    <format dxfId="1802">
      <pivotArea dataOnly="0" labelOnly="1" outline="0" fieldPosition="0">
        <references count="2">
          <reference field="0" count="1" selected="0">
            <x v="105"/>
          </reference>
          <reference field="9" count="1">
            <x v="0"/>
          </reference>
        </references>
      </pivotArea>
    </format>
    <format dxfId="1801">
      <pivotArea dataOnly="0" labelOnly="1" outline="0" fieldPosition="0">
        <references count="2">
          <reference field="0" count="1" selected="0">
            <x v="116"/>
          </reference>
          <reference field="9" count="1">
            <x v="0"/>
          </reference>
        </references>
      </pivotArea>
    </format>
    <format dxfId="1800">
      <pivotArea dataOnly="0" labelOnly="1" outline="0" fieldPosition="0">
        <references count="2">
          <reference field="0" count="1" selected="0">
            <x v="117"/>
          </reference>
          <reference field="9" count="1">
            <x v="0"/>
          </reference>
        </references>
      </pivotArea>
    </format>
    <format dxfId="1799">
      <pivotArea dataOnly="0" labelOnly="1" outline="0" fieldPosition="0">
        <references count="2">
          <reference field="0" count="1" selected="0">
            <x v="118"/>
          </reference>
          <reference field="9" count="1">
            <x v="0"/>
          </reference>
        </references>
      </pivotArea>
    </format>
    <format dxfId="1798">
      <pivotArea dataOnly="0" labelOnly="1" outline="0" fieldPosition="0">
        <references count="2">
          <reference field="0" count="1" selected="0">
            <x v="119"/>
          </reference>
          <reference field="9" count="1">
            <x v="0"/>
          </reference>
        </references>
      </pivotArea>
    </format>
    <format dxfId="1797">
      <pivotArea dataOnly="0" labelOnly="1" outline="0" fieldPosition="0">
        <references count="2">
          <reference field="0" count="1" selected="0">
            <x v="122"/>
          </reference>
          <reference field="9" count="1">
            <x v="0"/>
          </reference>
        </references>
      </pivotArea>
    </format>
    <format dxfId="1796">
      <pivotArea dataOnly="0" labelOnly="1" outline="0" fieldPosition="0">
        <references count="2">
          <reference field="0" count="1" selected="0">
            <x v="123"/>
          </reference>
          <reference field="9" count="1">
            <x v="0"/>
          </reference>
        </references>
      </pivotArea>
    </format>
    <format dxfId="1795">
      <pivotArea dataOnly="0" labelOnly="1" outline="0" fieldPosition="0">
        <references count="2">
          <reference field="0" count="1" selected="0">
            <x v="126"/>
          </reference>
          <reference field="9" count="1">
            <x v="0"/>
          </reference>
        </references>
      </pivotArea>
    </format>
    <format dxfId="1794">
      <pivotArea dataOnly="0" labelOnly="1" outline="0" fieldPosition="0">
        <references count="2">
          <reference field="0" count="1" selected="0">
            <x v="132"/>
          </reference>
          <reference field="9" count="1">
            <x v="0"/>
          </reference>
        </references>
      </pivotArea>
    </format>
    <format dxfId="1793">
      <pivotArea dataOnly="0" labelOnly="1" outline="0" fieldPosition="0">
        <references count="2">
          <reference field="0" count="1" selected="0">
            <x v="133"/>
          </reference>
          <reference field="9" count="1">
            <x v="0"/>
          </reference>
        </references>
      </pivotArea>
    </format>
    <format dxfId="1792">
      <pivotArea dataOnly="0" labelOnly="1" outline="0" fieldPosition="0">
        <references count="2">
          <reference field="0" count="1" selected="0">
            <x v="134"/>
          </reference>
          <reference field="9" count="1">
            <x v="0"/>
          </reference>
        </references>
      </pivotArea>
    </format>
    <format dxfId="1791">
      <pivotArea dataOnly="0" labelOnly="1" outline="0" fieldPosition="0">
        <references count="2">
          <reference field="0" count="1" selected="0">
            <x v="135"/>
          </reference>
          <reference field="9" count="1">
            <x v="0"/>
          </reference>
        </references>
      </pivotArea>
    </format>
    <format dxfId="1790">
      <pivotArea dataOnly="0" labelOnly="1" outline="0" fieldPosition="0">
        <references count="2">
          <reference field="0" count="1" selected="0">
            <x v="136"/>
          </reference>
          <reference field="9" count="1">
            <x v="0"/>
          </reference>
        </references>
      </pivotArea>
    </format>
    <format dxfId="1789">
      <pivotArea dataOnly="0" labelOnly="1" outline="0" fieldPosition="0">
        <references count="2">
          <reference field="0" count="1" selected="0">
            <x v="139"/>
          </reference>
          <reference field="9" count="1">
            <x v="0"/>
          </reference>
        </references>
      </pivotArea>
    </format>
    <format dxfId="1788">
      <pivotArea dataOnly="0" labelOnly="1" outline="0" fieldPosition="0">
        <references count="2">
          <reference field="0" count="1" selected="0">
            <x v="141"/>
          </reference>
          <reference field="9" count="1">
            <x v="0"/>
          </reference>
        </references>
      </pivotArea>
    </format>
    <format dxfId="1787">
      <pivotArea dataOnly="0" labelOnly="1" outline="0" fieldPosition="0">
        <references count="2">
          <reference field="0" count="1" selected="0">
            <x v="144"/>
          </reference>
          <reference field="9" count="1">
            <x v="0"/>
          </reference>
        </references>
      </pivotArea>
    </format>
    <format dxfId="1786">
      <pivotArea dataOnly="0" labelOnly="1" outline="0" fieldPosition="0">
        <references count="2">
          <reference field="0" count="1" selected="0">
            <x v="147"/>
          </reference>
          <reference field="9" count="1">
            <x v="0"/>
          </reference>
        </references>
      </pivotArea>
    </format>
    <format dxfId="1785">
      <pivotArea dataOnly="0" labelOnly="1" outline="0" fieldPosition="0">
        <references count="2">
          <reference field="0" count="1" selected="0">
            <x v="148"/>
          </reference>
          <reference field="9" count="1">
            <x v="0"/>
          </reference>
        </references>
      </pivotArea>
    </format>
    <format dxfId="1784">
      <pivotArea dataOnly="0" labelOnly="1" outline="0" fieldPosition="0">
        <references count="2">
          <reference field="0" count="1" selected="0">
            <x v="149"/>
          </reference>
          <reference field="9" count="1">
            <x v="0"/>
          </reference>
        </references>
      </pivotArea>
    </format>
    <format dxfId="1783">
      <pivotArea dataOnly="0" labelOnly="1" outline="0" fieldPosition="0">
        <references count="2">
          <reference field="0" count="1" selected="0">
            <x v="150"/>
          </reference>
          <reference field="9" count="1">
            <x v="0"/>
          </reference>
        </references>
      </pivotArea>
    </format>
    <format dxfId="1782">
      <pivotArea dataOnly="0" labelOnly="1" outline="0" fieldPosition="0">
        <references count="2">
          <reference field="0" count="1" selected="0">
            <x v="151"/>
          </reference>
          <reference field="9" count="1">
            <x v="0"/>
          </reference>
        </references>
      </pivotArea>
    </format>
    <format dxfId="1781">
      <pivotArea dataOnly="0" labelOnly="1" outline="0" fieldPosition="0">
        <references count="2">
          <reference field="0" count="1" selected="0">
            <x v="152"/>
          </reference>
          <reference field="9" count="1">
            <x v="0"/>
          </reference>
        </references>
      </pivotArea>
    </format>
    <format dxfId="1780">
      <pivotArea dataOnly="0" labelOnly="1" outline="0" fieldPosition="0">
        <references count="2">
          <reference field="0" count="1" selected="0">
            <x v="153"/>
          </reference>
          <reference field="9" count="1">
            <x v="0"/>
          </reference>
        </references>
      </pivotArea>
    </format>
    <format dxfId="1779">
      <pivotArea dataOnly="0" labelOnly="1" outline="0" fieldPosition="0">
        <references count="2">
          <reference field="0" count="1" selected="0">
            <x v="154"/>
          </reference>
          <reference field="9" count="1">
            <x v="0"/>
          </reference>
        </references>
      </pivotArea>
    </format>
    <format dxfId="1778">
      <pivotArea dataOnly="0" labelOnly="1" outline="0" fieldPosition="0">
        <references count="2">
          <reference field="0" count="1" selected="0">
            <x v="155"/>
          </reference>
          <reference field="9" count="1">
            <x v="0"/>
          </reference>
        </references>
      </pivotArea>
    </format>
    <format dxfId="1777">
      <pivotArea dataOnly="0" labelOnly="1" outline="0" fieldPosition="0">
        <references count="2">
          <reference field="0" count="1" selected="0">
            <x v="156"/>
          </reference>
          <reference field="9" count="1">
            <x v="0"/>
          </reference>
        </references>
      </pivotArea>
    </format>
    <format dxfId="1776">
      <pivotArea dataOnly="0" labelOnly="1" outline="0" fieldPosition="0">
        <references count="2">
          <reference field="0" count="1" selected="0">
            <x v="157"/>
          </reference>
          <reference field="9" count="1">
            <x v="0"/>
          </reference>
        </references>
      </pivotArea>
    </format>
    <format dxfId="1775">
      <pivotArea dataOnly="0" labelOnly="1" outline="0" fieldPosition="0">
        <references count="2">
          <reference field="0" count="1" selected="0">
            <x v="158"/>
          </reference>
          <reference field="9" count="1">
            <x v="0"/>
          </reference>
        </references>
      </pivotArea>
    </format>
    <format dxfId="1774">
      <pivotArea dataOnly="0" labelOnly="1" outline="0" fieldPosition="0">
        <references count="2">
          <reference field="0" count="1" selected="0">
            <x v="159"/>
          </reference>
          <reference field="9" count="1">
            <x v="0"/>
          </reference>
        </references>
      </pivotArea>
    </format>
    <format dxfId="1773">
      <pivotArea dataOnly="0" labelOnly="1" outline="0" fieldPosition="0">
        <references count="2">
          <reference field="0" count="1" selected="0">
            <x v="163"/>
          </reference>
          <reference field="9" count="1">
            <x v="0"/>
          </reference>
        </references>
      </pivotArea>
    </format>
    <format dxfId="1772">
      <pivotArea dataOnly="0" labelOnly="1" outline="0" fieldPosition="0">
        <references count="2">
          <reference field="0" count="1" selected="0">
            <x v="164"/>
          </reference>
          <reference field="9" count="1">
            <x v="0"/>
          </reference>
        </references>
      </pivotArea>
    </format>
    <format dxfId="1771">
      <pivotArea dataOnly="0" labelOnly="1" outline="0" fieldPosition="0">
        <references count="2">
          <reference field="0" count="1" selected="0">
            <x v="165"/>
          </reference>
          <reference field="9" count="1">
            <x v="0"/>
          </reference>
        </references>
      </pivotArea>
    </format>
    <format dxfId="1770">
      <pivotArea dataOnly="0" labelOnly="1" outline="0" fieldPosition="0">
        <references count="2">
          <reference field="0" count="1" selected="0">
            <x v="166"/>
          </reference>
          <reference field="9" count="1">
            <x v="0"/>
          </reference>
        </references>
      </pivotArea>
    </format>
    <format dxfId="1769">
      <pivotArea dataOnly="0" labelOnly="1" outline="0" fieldPosition="0">
        <references count="2">
          <reference field="0" count="1" selected="0">
            <x v="167"/>
          </reference>
          <reference field="9" count="1">
            <x v="0"/>
          </reference>
        </references>
      </pivotArea>
    </format>
    <format dxfId="1768">
      <pivotArea dataOnly="0" labelOnly="1" outline="0" fieldPosition="0">
        <references count="2">
          <reference field="0" count="1" selected="0">
            <x v="168"/>
          </reference>
          <reference field="9" count="1">
            <x v="0"/>
          </reference>
        </references>
      </pivotArea>
    </format>
    <format dxfId="1767">
      <pivotArea dataOnly="0" labelOnly="1" outline="0" fieldPosition="0">
        <references count="2">
          <reference field="0" count="1" selected="0">
            <x v="169"/>
          </reference>
          <reference field="9" count="1">
            <x v="0"/>
          </reference>
        </references>
      </pivotArea>
    </format>
    <format dxfId="1766">
      <pivotArea dataOnly="0" labelOnly="1" outline="0" fieldPosition="0">
        <references count="2">
          <reference field="0" count="1" selected="0">
            <x v="170"/>
          </reference>
          <reference field="9" count="1">
            <x v="0"/>
          </reference>
        </references>
      </pivotArea>
    </format>
    <format dxfId="1765">
      <pivotArea dataOnly="0" labelOnly="1" outline="0" fieldPosition="0">
        <references count="2">
          <reference field="0" count="1" selected="0">
            <x v="177"/>
          </reference>
          <reference field="9" count="1">
            <x v="0"/>
          </reference>
        </references>
      </pivotArea>
    </format>
    <format dxfId="1764">
      <pivotArea dataOnly="0" labelOnly="1" outline="0" fieldPosition="0">
        <references count="2">
          <reference field="0" count="1" selected="0">
            <x v="179"/>
          </reference>
          <reference field="9" count="1">
            <x v="0"/>
          </reference>
        </references>
      </pivotArea>
    </format>
    <format dxfId="1763">
      <pivotArea dataOnly="0" labelOnly="1" outline="0" fieldPosition="0">
        <references count="2">
          <reference field="0" count="1" selected="0">
            <x v="180"/>
          </reference>
          <reference field="9" count="1">
            <x v="0"/>
          </reference>
        </references>
      </pivotArea>
    </format>
    <format dxfId="1762">
      <pivotArea dataOnly="0" labelOnly="1" outline="0" fieldPosition="0">
        <references count="2">
          <reference field="0" count="1" selected="0">
            <x v="187"/>
          </reference>
          <reference field="9" count="1">
            <x v="0"/>
          </reference>
        </references>
      </pivotArea>
    </format>
    <format dxfId="1761">
      <pivotArea dataOnly="0" labelOnly="1" outline="0" fieldPosition="0">
        <references count="2">
          <reference field="0" count="1" selected="0">
            <x v="189"/>
          </reference>
          <reference field="9" count="1">
            <x v="0"/>
          </reference>
        </references>
      </pivotArea>
    </format>
    <format dxfId="1760">
      <pivotArea dataOnly="0" labelOnly="1" outline="0" fieldPosition="0">
        <references count="2">
          <reference field="0" count="1" selected="0">
            <x v="190"/>
          </reference>
          <reference field="9" count="1">
            <x v="0"/>
          </reference>
        </references>
      </pivotArea>
    </format>
    <format dxfId="1759">
      <pivotArea dataOnly="0" labelOnly="1" outline="0" fieldPosition="0">
        <references count="2">
          <reference field="0" count="1" selected="0">
            <x v="197"/>
          </reference>
          <reference field="9" count="1">
            <x v="0"/>
          </reference>
        </references>
      </pivotArea>
    </format>
    <format dxfId="1758">
      <pivotArea dataOnly="0" labelOnly="1" outline="0" fieldPosition="0">
        <references count="2">
          <reference field="0" count="1" selected="0">
            <x v="198"/>
          </reference>
          <reference field="9" count="1">
            <x v="0"/>
          </reference>
        </references>
      </pivotArea>
    </format>
    <format dxfId="1757">
      <pivotArea dataOnly="0" labelOnly="1" outline="0" fieldPosition="0">
        <references count="2">
          <reference field="0" count="1" selected="0">
            <x v="206"/>
          </reference>
          <reference field="9" count="1">
            <x v="0"/>
          </reference>
        </references>
      </pivotArea>
    </format>
    <format dxfId="1756">
      <pivotArea dataOnly="0" labelOnly="1" outline="0" fieldPosition="0">
        <references count="2">
          <reference field="0" count="1" selected="0">
            <x v="207"/>
          </reference>
          <reference field="9" count="1">
            <x v="0"/>
          </reference>
        </references>
      </pivotArea>
    </format>
    <format dxfId="1755">
      <pivotArea dataOnly="0" labelOnly="1" outline="0" fieldPosition="0">
        <references count="2">
          <reference field="0" count="1" selected="0">
            <x v="209"/>
          </reference>
          <reference field="9" count="1">
            <x v="0"/>
          </reference>
        </references>
      </pivotArea>
    </format>
    <format dxfId="1754">
      <pivotArea dataOnly="0" labelOnly="1" outline="0" fieldPosition="0">
        <references count="2">
          <reference field="0" count="1" selected="0">
            <x v="218"/>
          </reference>
          <reference field="9" count="1">
            <x v="0"/>
          </reference>
        </references>
      </pivotArea>
    </format>
    <format dxfId="1753">
      <pivotArea dataOnly="0" labelOnly="1" outline="0" fieldPosition="0">
        <references count="2">
          <reference field="0" count="1" selected="0">
            <x v="219"/>
          </reference>
          <reference field="9" count="1">
            <x v="0"/>
          </reference>
        </references>
      </pivotArea>
    </format>
    <format dxfId="1752">
      <pivotArea dataOnly="0" labelOnly="1" outline="0" fieldPosition="0">
        <references count="2">
          <reference field="0" count="1" selected="0">
            <x v="220"/>
          </reference>
          <reference field="9" count="1">
            <x v="0"/>
          </reference>
        </references>
      </pivotArea>
    </format>
    <format dxfId="1751">
      <pivotArea dataOnly="0" labelOnly="1" outline="0" fieldPosition="0">
        <references count="2">
          <reference field="0" count="1" selected="0">
            <x v="222"/>
          </reference>
          <reference field="9" count="1">
            <x v="0"/>
          </reference>
        </references>
      </pivotArea>
    </format>
    <format dxfId="1750">
      <pivotArea dataOnly="0" labelOnly="1" outline="0" fieldPosition="0">
        <references count="2">
          <reference field="0" count="1" selected="0">
            <x v="223"/>
          </reference>
          <reference field="9" count="1">
            <x v="0"/>
          </reference>
        </references>
      </pivotArea>
    </format>
    <format dxfId="1749">
      <pivotArea dataOnly="0" labelOnly="1" outline="0" fieldPosition="0">
        <references count="2">
          <reference field="0" count="1" selected="0">
            <x v="225"/>
          </reference>
          <reference field="9" count="1">
            <x v="0"/>
          </reference>
        </references>
      </pivotArea>
    </format>
    <format dxfId="1748">
      <pivotArea dataOnly="0" labelOnly="1" outline="0" fieldPosition="0">
        <references count="2">
          <reference field="0" count="1" selected="0">
            <x v="226"/>
          </reference>
          <reference field="9" count="1">
            <x v="0"/>
          </reference>
        </references>
      </pivotArea>
    </format>
    <format dxfId="1747">
      <pivotArea dataOnly="0" labelOnly="1" outline="0" fieldPosition="0">
        <references count="2">
          <reference field="0" count="1" selected="0">
            <x v="228"/>
          </reference>
          <reference field="9" count="1">
            <x v="0"/>
          </reference>
        </references>
      </pivotArea>
    </format>
    <format dxfId="1746">
      <pivotArea dataOnly="0" labelOnly="1" outline="0" fieldPosition="0">
        <references count="2">
          <reference field="0" count="1" selected="0">
            <x v="233"/>
          </reference>
          <reference field="9" count="1">
            <x v="0"/>
          </reference>
        </references>
      </pivotArea>
    </format>
    <format dxfId="1745">
      <pivotArea dataOnly="0" labelOnly="1" outline="0" fieldPosition="0">
        <references count="2">
          <reference field="0" count="1" selected="0">
            <x v="234"/>
          </reference>
          <reference field="9" count="1">
            <x v="0"/>
          </reference>
        </references>
      </pivotArea>
    </format>
    <format dxfId="1744">
      <pivotArea dataOnly="0" labelOnly="1" outline="0" fieldPosition="0">
        <references count="2">
          <reference field="0" count="1" selected="0">
            <x v="237"/>
          </reference>
          <reference field="9" count="1">
            <x v="0"/>
          </reference>
        </references>
      </pivotArea>
    </format>
    <format dxfId="1743">
      <pivotArea dataOnly="0" labelOnly="1" outline="0" fieldPosition="0">
        <references count="2">
          <reference field="0" count="1" selected="0">
            <x v="238"/>
          </reference>
          <reference field="9" count="1">
            <x v="0"/>
          </reference>
        </references>
      </pivotArea>
    </format>
    <format dxfId="1742">
      <pivotArea dataOnly="0" labelOnly="1" outline="0" fieldPosition="0">
        <references count="2">
          <reference field="0" count="1" selected="0">
            <x v="240"/>
          </reference>
          <reference field="9" count="1">
            <x v="0"/>
          </reference>
        </references>
      </pivotArea>
    </format>
    <format dxfId="1741">
      <pivotArea dataOnly="0" labelOnly="1" outline="0" fieldPosition="0">
        <references count="2">
          <reference field="0" count="1" selected="0">
            <x v="241"/>
          </reference>
          <reference field="9" count="1">
            <x v="0"/>
          </reference>
        </references>
      </pivotArea>
    </format>
    <format dxfId="1740">
      <pivotArea dataOnly="0" labelOnly="1" outline="0" fieldPosition="0">
        <references count="2">
          <reference field="0" count="1" selected="0">
            <x v="247"/>
          </reference>
          <reference field="9" count="1">
            <x v="0"/>
          </reference>
        </references>
      </pivotArea>
    </format>
    <format dxfId="1739">
      <pivotArea dataOnly="0" labelOnly="1" outline="0" fieldPosition="0">
        <references count="2">
          <reference field="0" count="1" selected="0">
            <x v="250"/>
          </reference>
          <reference field="9" count="1">
            <x v="0"/>
          </reference>
        </references>
      </pivotArea>
    </format>
    <format dxfId="1738">
      <pivotArea dataOnly="0" labelOnly="1" outline="0" fieldPosition="0">
        <references count="2">
          <reference field="0" count="1" selected="0">
            <x v="253"/>
          </reference>
          <reference field="9" count="1">
            <x v="0"/>
          </reference>
        </references>
      </pivotArea>
    </format>
    <format dxfId="1737">
      <pivotArea dataOnly="0" labelOnly="1" outline="0" fieldPosition="0">
        <references count="2">
          <reference field="0" count="1" selected="0">
            <x v="254"/>
          </reference>
          <reference field="9" count="1">
            <x v="0"/>
          </reference>
        </references>
      </pivotArea>
    </format>
    <format dxfId="1736">
      <pivotArea dataOnly="0" labelOnly="1" outline="0" fieldPosition="0">
        <references count="2">
          <reference field="0" count="1" selected="0">
            <x v="255"/>
          </reference>
          <reference field="9" count="1">
            <x v="0"/>
          </reference>
        </references>
      </pivotArea>
    </format>
    <format dxfId="1735">
      <pivotArea dataOnly="0" labelOnly="1" outline="0" fieldPosition="0">
        <references count="2">
          <reference field="0" count="1" selected="0">
            <x v="258"/>
          </reference>
          <reference field="9" count="1">
            <x v="0"/>
          </reference>
        </references>
      </pivotArea>
    </format>
    <format dxfId="1734">
      <pivotArea dataOnly="0" labelOnly="1" outline="0" fieldPosition="0">
        <references count="2">
          <reference field="0" count="1" selected="0">
            <x v="261"/>
          </reference>
          <reference field="9" count="1">
            <x v="0"/>
          </reference>
        </references>
      </pivotArea>
    </format>
    <format dxfId="1733">
      <pivotArea dataOnly="0" labelOnly="1" outline="0" fieldPosition="0">
        <references count="2">
          <reference field="0" count="1" selected="0">
            <x v="262"/>
          </reference>
          <reference field="9" count="1">
            <x v="0"/>
          </reference>
        </references>
      </pivotArea>
    </format>
    <format dxfId="1732">
      <pivotArea dataOnly="0" labelOnly="1" outline="0" fieldPosition="0">
        <references count="2">
          <reference field="0" count="1" selected="0">
            <x v="263"/>
          </reference>
          <reference field="9" count="1">
            <x v="0"/>
          </reference>
        </references>
      </pivotArea>
    </format>
    <format dxfId="1731">
      <pivotArea dataOnly="0" labelOnly="1" outline="0" fieldPosition="0">
        <references count="2">
          <reference field="0" count="1" selected="0">
            <x v="264"/>
          </reference>
          <reference field="9" count="1">
            <x v="0"/>
          </reference>
        </references>
      </pivotArea>
    </format>
    <format dxfId="1730">
      <pivotArea dataOnly="0" labelOnly="1" outline="0" fieldPosition="0">
        <references count="2">
          <reference field="0" count="1" selected="0">
            <x v="265"/>
          </reference>
          <reference field="9" count="1">
            <x v="0"/>
          </reference>
        </references>
      </pivotArea>
    </format>
    <format dxfId="1729">
      <pivotArea dataOnly="0" labelOnly="1" outline="0" fieldPosition="0">
        <references count="2">
          <reference field="0" count="1" selected="0">
            <x v="266"/>
          </reference>
          <reference field="9" count="1">
            <x v="0"/>
          </reference>
        </references>
      </pivotArea>
    </format>
    <format dxfId="1728">
      <pivotArea dataOnly="0" labelOnly="1" outline="0" fieldPosition="0">
        <references count="2">
          <reference field="0" count="1" selected="0">
            <x v="267"/>
          </reference>
          <reference field="9" count="1">
            <x v="0"/>
          </reference>
        </references>
      </pivotArea>
    </format>
    <format dxfId="1727">
      <pivotArea dataOnly="0" labelOnly="1" outline="0" fieldPosition="0">
        <references count="2">
          <reference field="0" count="1" selected="0">
            <x v="268"/>
          </reference>
          <reference field="9" count="1">
            <x v="0"/>
          </reference>
        </references>
      </pivotArea>
    </format>
    <format dxfId="1726">
      <pivotArea dataOnly="0" labelOnly="1" outline="0" fieldPosition="0">
        <references count="2">
          <reference field="0" count="1" selected="0">
            <x v="269"/>
          </reference>
          <reference field="9" count="1">
            <x v="0"/>
          </reference>
        </references>
      </pivotArea>
    </format>
    <format dxfId="1725">
      <pivotArea dataOnly="0" labelOnly="1" outline="0" fieldPosition="0">
        <references count="2">
          <reference field="0" count="1" selected="0">
            <x v="270"/>
          </reference>
          <reference field="9" count="1">
            <x v="0"/>
          </reference>
        </references>
      </pivotArea>
    </format>
    <format dxfId="1724">
      <pivotArea dataOnly="0" labelOnly="1" outline="0" fieldPosition="0">
        <references count="2">
          <reference field="0" count="1" selected="0">
            <x v="271"/>
          </reference>
          <reference field="9" count="1">
            <x v="0"/>
          </reference>
        </references>
      </pivotArea>
    </format>
    <format dxfId="1723">
      <pivotArea dataOnly="0" labelOnly="1" outline="0" fieldPosition="0">
        <references count="2">
          <reference field="0" count="1" selected="0">
            <x v="272"/>
          </reference>
          <reference field="9" count="1">
            <x v="0"/>
          </reference>
        </references>
      </pivotArea>
    </format>
    <format dxfId="1722">
      <pivotArea dataOnly="0" labelOnly="1" outline="0" fieldPosition="0">
        <references count="2">
          <reference field="0" count="1" selected="0">
            <x v="273"/>
          </reference>
          <reference field="9" count="1">
            <x v="0"/>
          </reference>
        </references>
      </pivotArea>
    </format>
    <format dxfId="1721">
      <pivotArea dataOnly="0" labelOnly="1" outline="0" fieldPosition="0">
        <references count="2">
          <reference field="0" count="1" selected="0">
            <x v="275"/>
          </reference>
          <reference field="9" count="1">
            <x v="0"/>
          </reference>
        </references>
      </pivotArea>
    </format>
    <format dxfId="1720">
      <pivotArea dataOnly="0" labelOnly="1" outline="0" fieldPosition="0">
        <references count="2">
          <reference field="0" count="1" selected="0">
            <x v="276"/>
          </reference>
          <reference field="9" count="1">
            <x v="0"/>
          </reference>
        </references>
      </pivotArea>
    </format>
    <format dxfId="1719">
      <pivotArea dataOnly="0" labelOnly="1" outline="0" fieldPosition="0">
        <references count="2">
          <reference field="0" count="1" selected="0">
            <x v="277"/>
          </reference>
          <reference field="9" count="1">
            <x v="0"/>
          </reference>
        </references>
      </pivotArea>
    </format>
    <format dxfId="1718">
      <pivotArea dataOnly="0" labelOnly="1" outline="0" fieldPosition="0">
        <references count="2">
          <reference field="0" count="1" selected="0">
            <x v="278"/>
          </reference>
          <reference field="9" count="1">
            <x v="0"/>
          </reference>
        </references>
      </pivotArea>
    </format>
    <format dxfId="1717">
      <pivotArea dataOnly="0" labelOnly="1" outline="0" fieldPosition="0">
        <references count="2">
          <reference field="0" count="1" selected="0">
            <x v="286"/>
          </reference>
          <reference field="9" count="1">
            <x v="0"/>
          </reference>
        </references>
      </pivotArea>
    </format>
    <format dxfId="1716">
      <pivotArea dataOnly="0" labelOnly="1" outline="0" fieldPosition="0">
        <references count="2">
          <reference field="0" count="1" selected="0">
            <x v="288"/>
          </reference>
          <reference field="9" count="1">
            <x v="0"/>
          </reference>
        </references>
      </pivotArea>
    </format>
    <format dxfId="1715">
      <pivotArea dataOnly="0" labelOnly="1" outline="0" fieldPosition="0">
        <references count="2">
          <reference field="0" count="1" selected="0">
            <x v="292"/>
          </reference>
          <reference field="9" count="1">
            <x v="0"/>
          </reference>
        </references>
      </pivotArea>
    </format>
    <format dxfId="1714">
      <pivotArea dataOnly="0" labelOnly="1" outline="0" fieldPosition="0">
        <references count="2">
          <reference field="0" count="1" selected="0">
            <x v="294"/>
          </reference>
          <reference field="9" count="1">
            <x v="0"/>
          </reference>
        </references>
      </pivotArea>
    </format>
    <format dxfId="1713">
      <pivotArea dataOnly="0" labelOnly="1" outline="0" fieldPosition="0">
        <references count="2">
          <reference field="0" count="1" selected="0">
            <x v="295"/>
          </reference>
          <reference field="9" count="1">
            <x v="0"/>
          </reference>
        </references>
      </pivotArea>
    </format>
    <format dxfId="1712">
      <pivotArea dataOnly="0" labelOnly="1" outline="0" fieldPosition="0">
        <references count="2">
          <reference field="0" count="1" selected="0">
            <x v="296"/>
          </reference>
          <reference field="9" count="1">
            <x v="0"/>
          </reference>
        </references>
      </pivotArea>
    </format>
    <format dxfId="1711">
      <pivotArea dataOnly="0" labelOnly="1" outline="0" fieldPosition="0">
        <references count="2">
          <reference field="0" count="1" selected="0">
            <x v="298"/>
          </reference>
          <reference field="9" count="1">
            <x v="0"/>
          </reference>
        </references>
      </pivotArea>
    </format>
    <format dxfId="1710">
      <pivotArea dataOnly="0" labelOnly="1" outline="0" fieldPosition="0">
        <references count="2">
          <reference field="0" count="1" selected="0">
            <x v="341"/>
          </reference>
          <reference field="9" count="1">
            <x v="0"/>
          </reference>
        </references>
      </pivotArea>
    </format>
    <format dxfId="1709">
      <pivotArea dataOnly="0" labelOnly="1" outline="0" fieldPosition="0">
        <references count="2">
          <reference field="0" count="1" selected="0">
            <x v="342"/>
          </reference>
          <reference field="9" count="1">
            <x v="0"/>
          </reference>
        </references>
      </pivotArea>
    </format>
    <format dxfId="1708">
      <pivotArea dataOnly="0" labelOnly="1" outline="0" fieldPosition="0">
        <references count="2">
          <reference field="0" count="1" selected="0">
            <x v="343"/>
          </reference>
          <reference field="9" count="1">
            <x v="0"/>
          </reference>
        </references>
      </pivotArea>
    </format>
    <format dxfId="1707">
      <pivotArea dataOnly="0" labelOnly="1" outline="0" fieldPosition="0">
        <references count="2">
          <reference field="0" count="1" selected="0">
            <x v="344"/>
          </reference>
          <reference field="9" count="1">
            <x v="0"/>
          </reference>
        </references>
      </pivotArea>
    </format>
    <format dxfId="1706">
      <pivotArea dataOnly="0" labelOnly="1" outline="0" fieldPosition="0">
        <references count="2">
          <reference field="0" count="1" selected="0">
            <x v="345"/>
          </reference>
          <reference field="9" count="1">
            <x v="0"/>
          </reference>
        </references>
      </pivotArea>
    </format>
    <format dxfId="1705">
      <pivotArea dataOnly="0" labelOnly="1" outline="0" fieldPosition="0">
        <references count="2">
          <reference field="0" count="1" selected="0">
            <x v="346"/>
          </reference>
          <reference field="9" count="1">
            <x v="0"/>
          </reference>
        </references>
      </pivotArea>
    </format>
    <format dxfId="1704">
      <pivotArea dataOnly="0" labelOnly="1" outline="0" fieldPosition="0">
        <references count="2">
          <reference field="0" count="1" selected="0">
            <x v="347"/>
          </reference>
          <reference field="9" count="1">
            <x v="0"/>
          </reference>
        </references>
      </pivotArea>
    </format>
    <format dxfId="1703">
      <pivotArea dataOnly="0" labelOnly="1" outline="0" fieldPosition="0">
        <references count="2">
          <reference field="0" count="1" selected="0">
            <x v="348"/>
          </reference>
          <reference field="9" count="1">
            <x v="0"/>
          </reference>
        </references>
      </pivotArea>
    </format>
    <format dxfId="1702">
      <pivotArea dataOnly="0" labelOnly="1" outline="0" fieldPosition="0">
        <references count="2">
          <reference field="0" count="1" selected="0">
            <x v="349"/>
          </reference>
          <reference field="9" count="1">
            <x v="0"/>
          </reference>
        </references>
      </pivotArea>
    </format>
    <format dxfId="1701">
      <pivotArea dataOnly="0" labelOnly="1" outline="0" fieldPosition="0">
        <references count="2">
          <reference field="0" count="1" selected="0">
            <x v="353"/>
          </reference>
          <reference field="9" count="1">
            <x v="0"/>
          </reference>
        </references>
      </pivotArea>
    </format>
    <format dxfId="1700">
      <pivotArea dataOnly="0" labelOnly="1" outline="0" fieldPosition="0">
        <references count="2">
          <reference field="0" count="1" selected="0">
            <x v="354"/>
          </reference>
          <reference field="9" count="1">
            <x v="0"/>
          </reference>
        </references>
      </pivotArea>
    </format>
    <format dxfId="1699">
      <pivotArea dataOnly="0" labelOnly="1" outline="0" fieldPosition="0">
        <references count="2">
          <reference field="0" count="1" selected="0">
            <x v="355"/>
          </reference>
          <reference field="9" count="1">
            <x v="0"/>
          </reference>
        </references>
      </pivotArea>
    </format>
    <format dxfId="1698">
      <pivotArea dataOnly="0" labelOnly="1" outline="0" fieldPosition="0">
        <references count="2">
          <reference field="0" count="1" selected="0">
            <x v="360"/>
          </reference>
          <reference field="9" count="1">
            <x v="0"/>
          </reference>
        </references>
      </pivotArea>
    </format>
    <format dxfId="1697">
      <pivotArea dataOnly="0" labelOnly="1" outline="0" fieldPosition="0">
        <references count="2">
          <reference field="0" count="1" selected="0">
            <x v="361"/>
          </reference>
          <reference field="9" count="1">
            <x v="0"/>
          </reference>
        </references>
      </pivotArea>
    </format>
    <format dxfId="1696">
      <pivotArea dataOnly="0" labelOnly="1" outline="0" fieldPosition="0">
        <references count="2">
          <reference field="0" count="1" selected="0">
            <x v="396"/>
          </reference>
          <reference field="9" count="1">
            <x v="0"/>
          </reference>
        </references>
      </pivotArea>
    </format>
    <format dxfId="1695">
      <pivotArea dataOnly="0" labelOnly="1" outline="0" fieldPosition="0">
        <references count="2">
          <reference field="0" count="1" selected="0">
            <x v="397"/>
          </reference>
          <reference field="9" count="1">
            <x v="0"/>
          </reference>
        </references>
      </pivotArea>
    </format>
    <format dxfId="1694">
      <pivotArea dataOnly="0" labelOnly="1" outline="0" fieldPosition="0">
        <references count="2">
          <reference field="0" count="1" selected="0">
            <x v="398"/>
          </reference>
          <reference field="9" count="1">
            <x v="0"/>
          </reference>
        </references>
      </pivotArea>
    </format>
    <format dxfId="1693">
      <pivotArea dataOnly="0" labelOnly="1" outline="0" fieldPosition="0">
        <references count="2">
          <reference field="0" count="1" selected="0">
            <x v="401"/>
          </reference>
          <reference field="9" count="1">
            <x v="0"/>
          </reference>
        </references>
      </pivotArea>
    </format>
    <format dxfId="1692">
      <pivotArea dataOnly="0" labelOnly="1" outline="0" fieldPosition="0">
        <references count="2">
          <reference field="0" count="1" selected="0">
            <x v="402"/>
          </reference>
          <reference field="9" count="1">
            <x v="0"/>
          </reference>
        </references>
      </pivotArea>
    </format>
    <format dxfId="1691">
      <pivotArea dataOnly="0" labelOnly="1" outline="0" fieldPosition="0">
        <references count="2">
          <reference field="0" count="1" selected="0">
            <x v="403"/>
          </reference>
          <reference field="9" count="1">
            <x v="0"/>
          </reference>
        </references>
      </pivotArea>
    </format>
    <format dxfId="1690">
      <pivotArea dataOnly="0" labelOnly="1" outline="0" fieldPosition="0">
        <references count="2">
          <reference field="0" count="1" selected="0">
            <x v="404"/>
          </reference>
          <reference field="9" count="1">
            <x v="0"/>
          </reference>
        </references>
      </pivotArea>
    </format>
    <format dxfId="1689">
      <pivotArea dataOnly="0" labelOnly="1" outline="0" fieldPosition="0">
        <references count="2">
          <reference field="0" count="1" selected="0">
            <x v="405"/>
          </reference>
          <reference field="9" count="1">
            <x v="0"/>
          </reference>
        </references>
      </pivotArea>
    </format>
    <format dxfId="1688">
      <pivotArea dataOnly="0" labelOnly="1" outline="0" fieldPosition="0">
        <references count="2">
          <reference field="0" count="1" selected="0">
            <x v="406"/>
          </reference>
          <reference field="9" count="1">
            <x v="0"/>
          </reference>
        </references>
      </pivotArea>
    </format>
    <format dxfId="1687">
      <pivotArea dataOnly="0" labelOnly="1" outline="0" fieldPosition="0">
        <references count="2">
          <reference field="0" count="1" selected="0">
            <x v="407"/>
          </reference>
          <reference field="9" count="1">
            <x v="0"/>
          </reference>
        </references>
      </pivotArea>
    </format>
    <format dxfId="1686">
      <pivotArea dataOnly="0" labelOnly="1" outline="0" fieldPosition="0">
        <references count="2">
          <reference field="0" count="1" selected="0">
            <x v="408"/>
          </reference>
          <reference field="9" count="1">
            <x v="0"/>
          </reference>
        </references>
      </pivotArea>
    </format>
    <format dxfId="1685">
      <pivotArea dataOnly="0" labelOnly="1" outline="0" fieldPosition="0">
        <references count="2">
          <reference field="0" count="1" selected="0">
            <x v="410"/>
          </reference>
          <reference field="9" count="1">
            <x v="0"/>
          </reference>
        </references>
      </pivotArea>
    </format>
    <format dxfId="1684">
      <pivotArea dataOnly="0" labelOnly="1" outline="0" fieldPosition="0">
        <references count="2">
          <reference field="0" count="1" selected="0">
            <x v="411"/>
          </reference>
          <reference field="9" count="1">
            <x v="0"/>
          </reference>
        </references>
      </pivotArea>
    </format>
    <format dxfId="1683">
      <pivotArea dataOnly="0" labelOnly="1" outline="0" fieldPosition="0">
        <references count="2">
          <reference field="0" count="1" selected="0">
            <x v="412"/>
          </reference>
          <reference field="9" count="1">
            <x v="0"/>
          </reference>
        </references>
      </pivotArea>
    </format>
    <format dxfId="1682">
      <pivotArea dataOnly="0" labelOnly="1" outline="0" fieldPosition="0">
        <references count="2">
          <reference field="0" count="1" selected="0">
            <x v="413"/>
          </reference>
          <reference field="9" count="1">
            <x v="0"/>
          </reference>
        </references>
      </pivotArea>
    </format>
    <format dxfId="1681">
      <pivotArea dataOnly="0" labelOnly="1" outline="0" fieldPosition="0">
        <references count="2">
          <reference field="0" count="1" selected="0">
            <x v="441"/>
          </reference>
          <reference field="9" count="1">
            <x v="0"/>
          </reference>
        </references>
      </pivotArea>
    </format>
    <format dxfId="1680">
      <pivotArea dataOnly="0" labelOnly="1" outline="0" fieldPosition="0">
        <references count="2">
          <reference field="0" count="1" selected="0">
            <x v="474"/>
          </reference>
          <reference field="9" count="1">
            <x v="0"/>
          </reference>
        </references>
      </pivotArea>
    </format>
    <format dxfId="1679">
      <pivotArea dataOnly="0" labelOnly="1" outline="0" fieldPosition="0">
        <references count="2">
          <reference field="0" count="1" selected="0">
            <x v="476"/>
          </reference>
          <reference field="9" count="1">
            <x v="0"/>
          </reference>
        </references>
      </pivotArea>
    </format>
    <format dxfId="1678">
      <pivotArea dataOnly="0" labelOnly="1" outline="0" fieldPosition="0">
        <references count="2">
          <reference field="0" count="1" selected="0">
            <x v="477"/>
          </reference>
          <reference field="9" count="1">
            <x v="0"/>
          </reference>
        </references>
      </pivotArea>
    </format>
    <format dxfId="1677">
      <pivotArea dataOnly="0" labelOnly="1" outline="0" fieldPosition="0">
        <references count="2">
          <reference field="0" count="1" selected="0">
            <x v="478"/>
          </reference>
          <reference field="9" count="1">
            <x v="0"/>
          </reference>
        </references>
      </pivotArea>
    </format>
    <format dxfId="1676">
      <pivotArea dataOnly="0" labelOnly="1" outline="0" fieldPosition="0">
        <references count="2">
          <reference field="0" count="1" selected="0">
            <x v="485"/>
          </reference>
          <reference field="9" count="1">
            <x v="0"/>
          </reference>
        </references>
      </pivotArea>
    </format>
    <format dxfId="1675">
      <pivotArea dataOnly="0" labelOnly="1" outline="0" fieldPosition="0">
        <references count="2">
          <reference field="0" count="1" selected="0">
            <x v="487"/>
          </reference>
          <reference field="9" count="1">
            <x v="0"/>
          </reference>
        </references>
      </pivotArea>
    </format>
    <format dxfId="1674">
      <pivotArea dataOnly="0" labelOnly="1" outline="0" fieldPosition="0">
        <references count="2">
          <reference field="0" count="1" selected="0">
            <x v="489"/>
          </reference>
          <reference field="9" count="1">
            <x v="0"/>
          </reference>
        </references>
      </pivotArea>
    </format>
    <format dxfId="1673">
      <pivotArea dataOnly="0" labelOnly="1" outline="0" fieldPosition="0">
        <references count="2">
          <reference field="0" count="1" selected="0">
            <x v="490"/>
          </reference>
          <reference field="9" count="1">
            <x v="0"/>
          </reference>
        </references>
      </pivotArea>
    </format>
    <format dxfId="1672">
      <pivotArea dataOnly="0" labelOnly="1" outline="0" fieldPosition="0">
        <references count="2">
          <reference field="0" count="1" selected="0">
            <x v="491"/>
          </reference>
          <reference field="9" count="1">
            <x v="0"/>
          </reference>
        </references>
      </pivotArea>
    </format>
    <format dxfId="1671">
      <pivotArea dataOnly="0" labelOnly="1" outline="0" fieldPosition="0">
        <references count="2">
          <reference field="0" count="1" selected="0">
            <x v="498"/>
          </reference>
          <reference field="9" count="1">
            <x v="0"/>
          </reference>
        </references>
      </pivotArea>
    </format>
    <format dxfId="1670">
      <pivotArea dataOnly="0" labelOnly="1" outline="0" fieldPosition="0">
        <references count="2">
          <reference field="0" count="1" selected="0">
            <x v="506"/>
          </reference>
          <reference field="9" count="1">
            <x v="0"/>
          </reference>
        </references>
      </pivotArea>
    </format>
    <format dxfId="1669">
      <pivotArea dataOnly="0" labelOnly="1" outline="0" fieldPosition="0">
        <references count="2">
          <reference field="0" count="1" selected="0">
            <x v="511"/>
          </reference>
          <reference field="9" count="1">
            <x v="0"/>
          </reference>
        </references>
      </pivotArea>
    </format>
    <format dxfId="1668">
      <pivotArea dataOnly="0" labelOnly="1" outline="0" fieldPosition="0">
        <references count="2">
          <reference field="0" count="1" selected="0">
            <x v="512"/>
          </reference>
          <reference field="9" count="1">
            <x v="0"/>
          </reference>
        </references>
      </pivotArea>
    </format>
    <format dxfId="1667">
      <pivotArea dataOnly="0" labelOnly="1" outline="0" fieldPosition="0">
        <references count="2">
          <reference field="0" count="1" selected="0">
            <x v="513"/>
          </reference>
          <reference field="9" count="1">
            <x v="0"/>
          </reference>
        </references>
      </pivotArea>
    </format>
    <format dxfId="1666">
      <pivotArea dataOnly="0" labelOnly="1" outline="0" fieldPosition="0">
        <references count="2">
          <reference field="0" count="1" selected="0">
            <x v="514"/>
          </reference>
          <reference field="9" count="1">
            <x v="0"/>
          </reference>
        </references>
      </pivotArea>
    </format>
    <format dxfId="1665">
      <pivotArea dataOnly="0" labelOnly="1" outline="0" fieldPosition="0">
        <references count="2">
          <reference field="0" count="1" selected="0">
            <x v="517"/>
          </reference>
          <reference field="9" count="1">
            <x v="0"/>
          </reference>
        </references>
      </pivotArea>
    </format>
    <format dxfId="1664">
      <pivotArea dataOnly="0" labelOnly="1" outline="0" fieldPosition="0">
        <references count="2">
          <reference field="0" count="1" selected="0">
            <x v="520"/>
          </reference>
          <reference field="9" count="1">
            <x v="0"/>
          </reference>
        </references>
      </pivotArea>
    </format>
    <format dxfId="1663">
      <pivotArea dataOnly="0" labelOnly="1" outline="0" fieldPosition="0">
        <references count="2">
          <reference field="0" count="1" selected="0">
            <x v="521"/>
          </reference>
          <reference field="9" count="1">
            <x v="0"/>
          </reference>
        </references>
      </pivotArea>
    </format>
    <format dxfId="1662">
      <pivotArea dataOnly="0" labelOnly="1" outline="0" fieldPosition="0">
        <references count="2">
          <reference field="0" count="1" selected="0">
            <x v="522"/>
          </reference>
          <reference field="9" count="1">
            <x v="0"/>
          </reference>
        </references>
      </pivotArea>
    </format>
    <format dxfId="1661">
      <pivotArea dataOnly="0" labelOnly="1" outline="0" fieldPosition="0">
        <references count="2">
          <reference field="0" count="1" selected="0">
            <x v="523"/>
          </reference>
          <reference field="9" count="1">
            <x v="0"/>
          </reference>
        </references>
      </pivotArea>
    </format>
    <format dxfId="1660">
      <pivotArea dataOnly="0" labelOnly="1" outline="0" fieldPosition="0">
        <references count="2">
          <reference field="0" count="1" selected="0">
            <x v="524"/>
          </reference>
          <reference field="9" count="1">
            <x v="0"/>
          </reference>
        </references>
      </pivotArea>
    </format>
    <format dxfId="1659">
      <pivotArea dataOnly="0" labelOnly="1" outline="0" fieldPosition="0">
        <references count="2">
          <reference field="0" count="1" selected="0">
            <x v="525"/>
          </reference>
          <reference field="9" count="1">
            <x v="0"/>
          </reference>
        </references>
      </pivotArea>
    </format>
    <format dxfId="1658">
      <pivotArea dataOnly="0" labelOnly="1" outline="0" fieldPosition="0">
        <references count="2">
          <reference field="0" count="1" selected="0">
            <x v="526"/>
          </reference>
          <reference field="9" count="1">
            <x v="0"/>
          </reference>
        </references>
      </pivotArea>
    </format>
    <format dxfId="1657">
      <pivotArea dataOnly="0" labelOnly="1" outline="0" fieldPosition="0">
        <references count="2">
          <reference field="0" count="1" selected="0">
            <x v="527"/>
          </reference>
          <reference field="9" count="1">
            <x v="0"/>
          </reference>
        </references>
      </pivotArea>
    </format>
    <format dxfId="1656">
      <pivotArea dataOnly="0" labelOnly="1" outline="0" fieldPosition="0">
        <references count="2">
          <reference field="0" count="1" selected="0">
            <x v="528"/>
          </reference>
          <reference field="9" count="1">
            <x v="0"/>
          </reference>
        </references>
      </pivotArea>
    </format>
    <format dxfId="1655">
      <pivotArea dataOnly="0" labelOnly="1" outline="0" fieldPosition="0">
        <references count="2">
          <reference field="0" count="1" selected="0">
            <x v="530"/>
          </reference>
          <reference field="9" count="1">
            <x v="0"/>
          </reference>
        </references>
      </pivotArea>
    </format>
    <format dxfId="1654">
      <pivotArea dataOnly="0" labelOnly="1" outline="0" fieldPosition="0">
        <references count="2">
          <reference field="0" count="1" selected="0">
            <x v="535"/>
          </reference>
          <reference field="9" count="1">
            <x v="0"/>
          </reference>
        </references>
      </pivotArea>
    </format>
    <format dxfId="1653">
      <pivotArea dataOnly="0" labelOnly="1" outline="0" fieldPosition="0">
        <references count="2">
          <reference field="0" count="1" selected="0">
            <x v="536"/>
          </reference>
          <reference field="9" count="1">
            <x v="0"/>
          </reference>
        </references>
      </pivotArea>
    </format>
    <format dxfId="1652">
      <pivotArea dataOnly="0" labelOnly="1" outline="0" fieldPosition="0">
        <references count="2">
          <reference field="0" count="1" selected="0">
            <x v="537"/>
          </reference>
          <reference field="9" count="1">
            <x v="0"/>
          </reference>
        </references>
      </pivotArea>
    </format>
    <format dxfId="1651">
      <pivotArea dataOnly="0" labelOnly="1" outline="0" fieldPosition="0">
        <references count="2">
          <reference field="0" count="1" selected="0">
            <x v="538"/>
          </reference>
          <reference field="9" count="1">
            <x v="0"/>
          </reference>
        </references>
      </pivotArea>
    </format>
    <format dxfId="1650">
      <pivotArea dataOnly="0" labelOnly="1" outline="0" fieldPosition="0">
        <references count="2">
          <reference field="0" count="1" selected="0">
            <x v="539"/>
          </reference>
          <reference field="9" count="1">
            <x v="0"/>
          </reference>
        </references>
      </pivotArea>
    </format>
    <format dxfId="1649">
      <pivotArea dataOnly="0" labelOnly="1" outline="0" fieldPosition="0">
        <references count="2">
          <reference field="0" count="1" selected="0">
            <x v="540"/>
          </reference>
          <reference field="9" count="1">
            <x v="0"/>
          </reference>
        </references>
      </pivotArea>
    </format>
    <format dxfId="1648">
      <pivotArea dataOnly="0" labelOnly="1" outline="0" fieldPosition="0">
        <references count="2">
          <reference field="0" count="1" selected="0">
            <x v="541"/>
          </reference>
          <reference field="9" count="1">
            <x v="0"/>
          </reference>
        </references>
      </pivotArea>
    </format>
    <format dxfId="1647">
      <pivotArea dataOnly="0" labelOnly="1" outline="0" fieldPosition="0">
        <references count="2">
          <reference field="0" count="1" selected="0">
            <x v="545"/>
          </reference>
          <reference field="9" count="1">
            <x v="0"/>
          </reference>
        </references>
      </pivotArea>
    </format>
    <format dxfId="1646">
      <pivotArea dataOnly="0" labelOnly="1" outline="0" fieldPosition="0">
        <references count="2">
          <reference field="0" count="1" selected="0">
            <x v="548"/>
          </reference>
          <reference field="9" count="1">
            <x v="0"/>
          </reference>
        </references>
      </pivotArea>
    </format>
    <format dxfId="1645">
      <pivotArea dataOnly="0" labelOnly="1" outline="0" fieldPosition="0">
        <references count="2">
          <reference field="0" count="1" selected="0">
            <x v="549"/>
          </reference>
          <reference field="9"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965648-092B-47DE-9E4E-3E987B33A90A}" name="BD_Regularização" displayName="BD_Regularização" ref="A1:Z1099" totalsRowShown="0" headerRowDxfId="40" dataDxfId="38" headerRowBorderDxfId="39" tableBorderDxfId="37" headerRowCellStyle="Normal 4 2" dataCellStyle="Normal 4 2">
  <autoFilter ref="A1:Z1099" xr:uid="{ABC497B9-23CE-4AC5-B6FE-3D152B6D9317}">
    <filterColumn colId="7">
      <filters>
        <filter val="Jaraguá do Sul"/>
      </filters>
    </filterColumn>
  </autoFilter>
  <tableColumns count="26">
    <tableColumn id="1" xr3:uid="{95F12826-3216-4810-86D8-03ECB79D962E}" name="Tipo Registro" totalsRowDxfId="36" dataCellStyle="Normal 4 2" totalsRowCellStyle="Normal 4 2"/>
    <tableColumn id="13" xr3:uid="{F79CB117-C0F9-40DF-BFB6-9F076FC8FE5F}" name="N° Registro" totalsRowDxfId="35" dataCellStyle="Normal 4 2" totalsRowCellStyle="Normal 4 2"/>
    <tableColumn id="9" xr3:uid="{596B708A-43CB-46B5-92F3-E8C36BCA04FA}" name="Cartório" totalsRowDxfId="34" dataCellStyle="Normal 4 2" totalsRowCellStyle="Normal 4 2"/>
    <tableColumn id="36" xr3:uid="{EC080FFF-A967-4125-B56D-28E3CB65ADC4}" name="Modalidade" totalsRowDxfId="33" dataCellStyle="Normal 4 2" totalsRowCellStyle="Normal 4 2"/>
    <tableColumn id="18" xr3:uid="{68DF8CB3-9225-4150-A9C4-3FBE0E869B28}" name="Movimentação" totalsRowDxfId="32" dataCellStyle="Normal 4 2" totalsRowCellStyle="Normal 4 2"/>
    <tableColumn id="3" xr3:uid="{B3EE3886-F3D8-4697-82B0-C6CCF15BC6B1}" name="Empresa de origem" totalsRowDxfId="31" dataCellStyle="Normal 4 2" totalsRowCellStyle="Normal 4 2"/>
    <tableColumn id="2" xr3:uid="{E4617952-41EC-40D9-AE56-1EADF47659CD}" name="PARA" totalsRowDxfId="30" dataCellStyle="Normal 4 2" totalsRowCellStyle="Normal 4 2"/>
    <tableColumn id="4" xr3:uid="{692BE0C2-F6BD-4DF1-8073-93DB65752819}" name="Município" totalsRowDxfId="29" dataCellStyle="Normal 4 2" totalsRowCellStyle="Normal 4 2"/>
    <tableColumn id="5" xr3:uid="{B35E401F-B03F-4060-A567-79828AA6B27C}" name="UF" totalsRowDxfId="28" dataCellStyle="Normal 4 2" totalsRowCellStyle="Normal 4 2"/>
    <tableColumn id="22" xr3:uid="{1AD10754-9144-478B-BA00-672EF30BFE3A}" name="Descrição BI" dataDxfId="27" totalsRowDxfId="26" dataCellStyle="Normal 4 2" totalsRowCellStyle="Normal 4 2"/>
    <tableColumn id="6" xr3:uid="{B131AD06-91EC-4230-A5F4-6427793C97D8}" name="Descrição " totalsRowDxfId="25" dataCellStyle="Normal 4 2" totalsRowCellStyle="Normal 4 2"/>
    <tableColumn id="21" xr3:uid="{9F3EE48F-1D78-4ED1-B525-921B06D2B61E}" name="Utilização" totalsRowDxfId="24" dataCellStyle="Normal 4 2" totalsRowCellStyle="Normal 4 2"/>
    <tableColumn id="8" xr3:uid="{4F6D1CA5-D339-4FB3-9D01-131E82A9CB6A}" name="Endereço (Cadastro Municipal)" totalsRowDxfId="23" dataCellStyle="Normal 4 2" totalsRowCellStyle="Normal 4 2"/>
    <tableColumn id="10" xr3:uid="{610E8432-9D2B-494C-986C-8B3CE97529A8}" name="Área de Terreno (m²)" totalsRowDxfId="22" dataCellStyle="Normal 4 2"/>
    <tableColumn id="11" xr3:uid="{1B2913F4-A3D9-4E44-9C77-F4C43D545D51}" name="Área Construída (m²)" totalsRowDxfId="21" dataCellStyle="Normal 4 2"/>
    <tableColumn id="12" xr3:uid="{557935CB-99EC-4B6A-91F8-4B9366F80C7A}" name="Inscrição Imobiliária" dataDxfId="20" totalsRowDxfId="19" dataCellStyle="Normal 4 2"/>
    <tableColumn id="15" xr3:uid="{9600750E-F084-45E6-9422-87001521AE15}" name="Registro de Imóveis" dataDxfId="18" totalsRowDxfId="17"/>
    <tableColumn id="29" xr3:uid="{07F90F35-EBBC-41BD-AAED-777B74F09CE5}" name="Tipo de regularização" dataDxfId="16" totalsRowDxfId="15" dataCellStyle="Normal 4 2"/>
    <tableColumn id="34" xr3:uid="{D8B093EC-3C3D-472C-9D52-9FE4C4D3336D}" name="Tipo de regularização2" dataDxfId="14" totalsRowDxfId="13" dataCellStyle="Normal 4 2"/>
    <tableColumn id="7" xr3:uid="{695769C1-E88B-4C36-8C1E-0E303F90F5AA}" name="Filtro de relatório" dataDxfId="12" totalsRowDxfId="11" dataCellStyle="Normal 4 2"/>
    <tableColumn id="16" xr3:uid="{946DA5DA-FA4E-4F47-9113-88705E365D24}" name="Data da Movimentação" dataDxfId="10" totalsRowDxfId="9"/>
    <tableColumn id="17" xr3:uid="{71230EE1-ECD8-419E-9DCA-C03DD0E0320B}" name="Síntese da última atualização" dataDxfId="8" totalsRowDxfId="7"/>
    <tableColumn id="35" xr3:uid="{FEC8BE3E-F9F9-4430-9024-0B7416619285}" name="Protocolo Cisão" dataDxfId="6" totalsRowDxfId="5" dataCellStyle="Normal 4 2"/>
    <tableColumn id="19" xr3:uid="{4568BB3A-627E-4D7F-96CF-4898430F4F86}" name="Responsável" dataDxfId="4" totalsRowDxfId="3" dataCellStyle="Normal 4 2"/>
    <tableColumn id="32" xr3:uid="{9C5779FC-1DDE-47DB-9966-13E9936636FC}" name="Data da regularização" dataDxfId="2" totalsRowDxfId="1" dataCellStyle="Normal 4 2"/>
    <tableColumn id="14" xr3:uid="{34B31BC4-AC13-4322-9218-2F6157B94589}" name="Obs" totalsRowDxfId="0" dataCellStyle="Normal 4 2"/>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Weekly Time Planner">
      <a:dk1>
        <a:srgbClr val="000000"/>
      </a:dk1>
      <a:lt1>
        <a:srgbClr val="FFFFFF"/>
      </a:lt1>
      <a:dk2>
        <a:srgbClr val="000000"/>
      </a:dk2>
      <a:lt2>
        <a:srgbClr val="FFFFFF"/>
      </a:lt2>
      <a:accent1>
        <a:srgbClr val="F47836"/>
      </a:accent1>
      <a:accent2>
        <a:srgbClr val="39ADDC"/>
      </a:accent2>
      <a:accent3>
        <a:srgbClr val="EAAD21"/>
      </a:accent3>
      <a:accent4>
        <a:srgbClr val="895EA7"/>
      </a:accent4>
      <a:accent5>
        <a:srgbClr val="00B15A"/>
      </a:accent5>
      <a:accent6>
        <a:srgbClr val="DB4D75"/>
      </a:accent6>
      <a:hlink>
        <a:srgbClr val="39ADDC"/>
      </a:hlink>
      <a:folHlink>
        <a:srgbClr val="895EA7"/>
      </a:folHlink>
    </a:clrScheme>
    <a:fontScheme name="085_Weekly_Time_Planner">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A5007-1FCD-4656-921C-D3085C66D776}">
  <dimension ref="A1:T437"/>
  <sheetViews>
    <sheetView workbookViewId="0">
      <selection activeCell="G25" sqref="G24:G25"/>
    </sheetView>
  </sheetViews>
  <sheetFormatPr defaultRowHeight="11.5" x14ac:dyDescent="0.25"/>
  <cols>
    <col min="1" max="1" width="12.09765625" style="1" bestFit="1" customWidth="1"/>
    <col min="2" max="2" width="23.8984375" style="1" bestFit="1" customWidth="1"/>
    <col min="3" max="3" width="2.3984375" customWidth="1"/>
    <col min="4" max="4" width="14.59765625" style="1" bestFit="1" customWidth="1"/>
    <col min="5" max="5" width="23.8984375" style="1" bestFit="1" customWidth="1"/>
    <col min="6" max="6" width="2.3984375" customWidth="1"/>
    <col min="7" max="7" width="14.59765625" style="1" bestFit="1" customWidth="1"/>
    <col min="8" max="8" width="13.3984375" style="1" customWidth="1"/>
    <col min="9" max="9" width="2.3984375" customWidth="1"/>
    <col min="10" max="10" width="19" style="5" bestFit="1" customWidth="1"/>
    <col min="11" max="11" width="26.3984375" style="38" bestFit="1" customWidth="1"/>
    <col min="12" max="12" width="80.69921875" style="44" bestFit="1" customWidth="1"/>
    <col min="13" max="13" width="4" style="5" customWidth="1"/>
    <col min="14" max="14" width="21.59765625" style="5" bestFit="1" customWidth="1"/>
    <col min="15" max="15" width="11.59765625" style="5" customWidth="1"/>
    <col min="16" max="17" width="31.3984375" style="5" bestFit="1" customWidth="1"/>
    <col min="18" max="18" width="33.69921875" style="5" bestFit="1" customWidth="1"/>
    <col min="19" max="19" width="33.09765625" style="5" bestFit="1" customWidth="1"/>
    <col min="20" max="20" width="38.09765625" style="5" bestFit="1" customWidth="1"/>
  </cols>
  <sheetData>
    <row r="1" spans="1:20" x14ac:dyDescent="0.25">
      <c r="J1" s="2" t="s">
        <v>0</v>
      </c>
      <c r="K1" s="1" t="s">
        <v>1</v>
      </c>
      <c r="L1" s="41"/>
      <c r="M1"/>
      <c r="N1"/>
      <c r="O1"/>
      <c r="P1"/>
      <c r="Q1"/>
      <c r="R1"/>
      <c r="S1"/>
      <c r="T1"/>
    </row>
    <row r="2" spans="1:20" x14ac:dyDescent="0.25">
      <c r="A2" s="2" t="s">
        <v>0</v>
      </c>
      <c r="B2" s="1" t="s">
        <v>1</v>
      </c>
      <c r="D2" s="2" t="s">
        <v>0</v>
      </c>
      <c r="E2" s="1" t="s">
        <v>1</v>
      </c>
      <c r="G2" s="103" t="s">
        <v>2</v>
      </c>
      <c r="H2" s="103"/>
      <c r="J2" s="2" t="s">
        <v>3</v>
      </c>
      <c r="K2" s="1" t="s">
        <v>4</v>
      </c>
      <c r="L2" s="41"/>
      <c r="M2"/>
      <c r="N2"/>
      <c r="O2"/>
      <c r="P2"/>
      <c r="Q2"/>
      <c r="R2"/>
      <c r="S2"/>
      <c r="T2"/>
    </row>
    <row r="3" spans="1:20" x14ac:dyDescent="0.25">
      <c r="G3" s="102" t="s">
        <v>5</v>
      </c>
      <c r="H3" s="102"/>
      <c r="J3" s="1"/>
      <c r="K3" s="36"/>
      <c r="L3" s="41"/>
      <c r="M3"/>
      <c r="N3" s="102" t="s">
        <v>6</v>
      </c>
      <c r="O3" s="102"/>
      <c r="P3"/>
      <c r="Q3"/>
      <c r="R3"/>
      <c r="S3"/>
      <c r="T3"/>
    </row>
    <row r="4" spans="1:20" x14ac:dyDescent="0.25">
      <c r="A4" s="2" t="s">
        <v>7</v>
      </c>
      <c r="B4" s="2" t="s">
        <v>3</v>
      </c>
      <c r="D4" s="2" t="s">
        <v>7</v>
      </c>
      <c r="E4" s="2" t="s">
        <v>3</v>
      </c>
      <c r="G4" s="4" t="s">
        <v>8</v>
      </c>
      <c r="H4" s="4" t="s">
        <v>9</v>
      </c>
      <c r="J4" s="2" t="s">
        <v>7</v>
      </c>
      <c r="K4" s="37" t="s">
        <v>10</v>
      </c>
      <c r="L4" s="42" t="s">
        <v>11</v>
      </c>
      <c r="M4" s="35"/>
      <c r="N4" s="4" t="s">
        <v>8</v>
      </c>
      <c r="O4" s="4" t="s">
        <v>9</v>
      </c>
      <c r="P4" s="35"/>
      <c r="Q4" s="35"/>
      <c r="R4" s="35"/>
      <c r="S4" s="35"/>
      <c r="T4" s="35"/>
    </row>
    <row r="5" spans="1:20" x14ac:dyDescent="0.25">
      <c r="A5" s="1">
        <v>470</v>
      </c>
      <c r="B5" s="1" t="s">
        <v>12</v>
      </c>
      <c r="D5" s="1">
        <v>378</v>
      </c>
      <c r="E5" s="1" t="s">
        <v>4</v>
      </c>
      <c r="G5" s="1" t="s">
        <v>12</v>
      </c>
      <c r="H5" s="1">
        <f>COUNTIF(B5:B500,B5)</f>
        <v>251</v>
      </c>
      <c r="J5" s="1">
        <v>378</v>
      </c>
      <c r="K5" s="36" t="s">
        <v>13</v>
      </c>
      <c r="L5" s="36" t="s">
        <v>14</v>
      </c>
      <c r="M5"/>
      <c r="N5" s="39" t="s">
        <v>15</v>
      </c>
      <c r="O5" s="3">
        <f>COUNTIF(K:K,N5)</f>
        <v>94</v>
      </c>
      <c r="P5"/>
      <c r="Q5"/>
      <c r="R5"/>
      <c r="S5"/>
      <c r="T5"/>
    </row>
    <row r="6" spans="1:20" x14ac:dyDescent="0.25">
      <c r="A6" s="1">
        <v>1639</v>
      </c>
      <c r="B6" s="1" t="s">
        <v>12</v>
      </c>
      <c r="D6" s="1">
        <v>379</v>
      </c>
      <c r="E6" s="1" t="s">
        <v>4</v>
      </c>
      <c r="G6" s="1" t="s">
        <v>4</v>
      </c>
      <c r="H6" s="1">
        <f>COUNTIF(E5:E500,E5)</f>
        <v>186</v>
      </c>
      <c r="J6" s="1">
        <v>379</v>
      </c>
      <c r="K6" s="1" t="s">
        <v>13</v>
      </c>
      <c r="L6" s="36" t="s">
        <v>14</v>
      </c>
      <c r="M6"/>
      <c r="N6" s="39" t="s">
        <v>16</v>
      </c>
      <c r="O6" s="3">
        <f>COUNTIF(K:K,N6)</f>
        <v>16</v>
      </c>
      <c r="P6"/>
      <c r="Q6"/>
      <c r="R6"/>
      <c r="S6"/>
      <c r="T6"/>
    </row>
    <row r="7" spans="1:20" x14ac:dyDescent="0.25">
      <c r="A7" s="1">
        <v>2080</v>
      </c>
      <c r="B7" s="1" t="s">
        <v>12</v>
      </c>
      <c r="D7" s="1">
        <v>380</v>
      </c>
      <c r="E7" s="1" t="s">
        <v>4</v>
      </c>
      <c r="G7" s="3" t="s">
        <v>17</v>
      </c>
      <c r="H7" s="3">
        <f>SUM(H5:H6)</f>
        <v>437</v>
      </c>
      <c r="J7" s="1">
        <v>380</v>
      </c>
      <c r="K7" s="1" t="s">
        <v>13</v>
      </c>
      <c r="L7" s="36" t="s">
        <v>14</v>
      </c>
      <c r="M7"/>
      <c r="N7" s="39" t="s">
        <v>18</v>
      </c>
      <c r="O7" s="3">
        <f>COUNTIF(K:K,N7)</f>
        <v>8</v>
      </c>
      <c r="P7"/>
      <c r="Q7"/>
      <c r="R7"/>
      <c r="S7"/>
      <c r="T7"/>
    </row>
    <row r="8" spans="1:20" x14ac:dyDescent="0.25">
      <c r="A8" s="1">
        <v>2635</v>
      </c>
      <c r="B8" s="1" t="s">
        <v>12</v>
      </c>
      <c r="D8" s="1">
        <v>645</v>
      </c>
      <c r="E8" s="1" t="s">
        <v>4</v>
      </c>
      <c r="J8" s="1">
        <v>645</v>
      </c>
      <c r="K8" s="36" t="s">
        <v>15</v>
      </c>
      <c r="L8" s="36" t="s">
        <v>19</v>
      </c>
      <c r="M8"/>
      <c r="N8" s="39" t="s">
        <v>13</v>
      </c>
      <c r="O8" s="3">
        <f>COUNTIF(K:K,N8)</f>
        <v>104</v>
      </c>
      <c r="P8"/>
      <c r="Q8"/>
      <c r="R8"/>
      <c r="S8"/>
      <c r="T8"/>
    </row>
    <row r="9" spans="1:20" x14ac:dyDescent="0.25">
      <c r="A9" s="1">
        <v>2717</v>
      </c>
      <c r="B9" s="1" t="s">
        <v>12</v>
      </c>
      <c r="D9" s="1">
        <v>646</v>
      </c>
      <c r="E9" s="1" t="s">
        <v>4</v>
      </c>
      <c r="J9" s="1"/>
      <c r="K9" s="36"/>
      <c r="L9" s="36" t="s">
        <v>20</v>
      </c>
      <c r="M9"/>
      <c r="N9" s="39" t="s">
        <v>21</v>
      </c>
      <c r="O9" s="3">
        <f>COUNTIF(K:K,N9)</f>
        <v>14</v>
      </c>
      <c r="P9"/>
      <c r="Q9"/>
      <c r="R9"/>
      <c r="S9"/>
      <c r="T9"/>
    </row>
    <row r="10" spans="1:20" x14ac:dyDescent="0.25">
      <c r="A10" s="1">
        <v>3467</v>
      </c>
      <c r="B10" s="1" t="s">
        <v>12</v>
      </c>
      <c r="D10" s="1">
        <v>697</v>
      </c>
      <c r="E10" s="1" t="s">
        <v>4</v>
      </c>
      <c r="J10" s="1"/>
      <c r="K10" s="36"/>
      <c r="L10" s="36" t="s">
        <v>22</v>
      </c>
      <c r="M10"/>
      <c r="N10" s="3" t="s">
        <v>17</v>
      </c>
      <c r="O10" s="3">
        <f>SUM(O5:O9)</f>
        <v>236</v>
      </c>
      <c r="P10"/>
      <c r="Q10"/>
      <c r="R10"/>
      <c r="S10"/>
      <c r="T10"/>
    </row>
    <row r="11" spans="1:20" x14ac:dyDescent="0.25">
      <c r="A11" s="1">
        <v>3487</v>
      </c>
      <c r="B11" s="1" t="s">
        <v>12</v>
      </c>
      <c r="D11" s="1">
        <v>1249</v>
      </c>
      <c r="E11" s="1" t="s">
        <v>4</v>
      </c>
      <c r="J11" s="1"/>
      <c r="K11" s="36" t="s">
        <v>13</v>
      </c>
      <c r="L11" s="36" t="s">
        <v>23</v>
      </c>
      <c r="M11"/>
      <c r="P11"/>
      <c r="Q11"/>
      <c r="R11"/>
      <c r="S11"/>
      <c r="T11"/>
    </row>
    <row r="12" spans="1:20" x14ac:dyDescent="0.25">
      <c r="A12" s="1">
        <v>3682</v>
      </c>
      <c r="B12" s="1" t="s">
        <v>12</v>
      </c>
      <c r="D12" s="1">
        <v>1308</v>
      </c>
      <c r="E12" s="1" t="s">
        <v>4</v>
      </c>
      <c r="J12" s="1">
        <v>646</v>
      </c>
      <c r="K12" s="36" t="s">
        <v>15</v>
      </c>
      <c r="L12" s="36" t="s">
        <v>19</v>
      </c>
      <c r="M12"/>
      <c r="N12" s="39"/>
      <c r="O12" s="1"/>
      <c r="P12"/>
      <c r="Q12"/>
      <c r="R12"/>
      <c r="S12"/>
      <c r="T12"/>
    </row>
    <row r="13" spans="1:20" x14ac:dyDescent="0.25">
      <c r="A13" s="1">
        <v>3877</v>
      </c>
      <c r="B13" s="1" t="s">
        <v>12</v>
      </c>
      <c r="D13" s="1">
        <v>1699</v>
      </c>
      <c r="E13" s="1" t="s">
        <v>4</v>
      </c>
      <c r="J13" s="1"/>
      <c r="K13" s="36"/>
      <c r="L13" s="36" t="s">
        <v>20</v>
      </c>
      <c r="M13"/>
      <c r="P13"/>
      <c r="Q13"/>
      <c r="R13"/>
      <c r="S13"/>
      <c r="T13"/>
    </row>
    <row r="14" spans="1:20" x14ac:dyDescent="0.25">
      <c r="A14" s="1">
        <v>5463</v>
      </c>
      <c r="B14" s="1" t="s">
        <v>12</v>
      </c>
      <c r="D14" s="1">
        <v>2197</v>
      </c>
      <c r="E14" s="1" t="s">
        <v>4</v>
      </c>
      <c r="J14" s="1"/>
      <c r="K14" s="36"/>
      <c r="L14" s="36" t="s">
        <v>22</v>
      </c>
      <c r="M14"/>
      <c r="P14"/>
      <c r="Q14"/>
      <c r="R14"/>
      <c r="S14"/>
      <c r="T14"/>
    </row>
    <row r="15" spans="1:20" x14ac:dyDescent="0.25">
      <c r="A15" s="1">
        <v>5612</v>
      </c>
      <c r="B15" s="1" t="s">
        <v>12</v>
      </c>
      <c r="D15" s="1">
        <v>3346</v>
      </c>
      <c r="E15" s="1" t="s">
        <v>4</v>
      </c>
      <c r="J15" s="1"/>
      <c r="K15" s="36" t="s">
        <v>13</v>
      </c>
      <c r="L15" s="36" t="s">
        <v>23</v>
      </c>
      <c r="M15"/>
      <c r="N15"/>
      <c r="O15"/>
      <c r="P15"/>
      <c r="Q15"/>
      <c r="R15"/>
      <c r="S15"/>
      <c r="T15"/>
    </row>
    <row r="16" spans="1:20" x14ac:dyDescent="0.25">
      <c r="A16" s="1">
        <v>5721</v>
      </c>
      <c r="B16" s="1" t="s">
        <v>12</v>
      </c>
      <c r="D16" s="1">
        <v>3658</v>
      </c>
      <c r="E16" s="1" t="s">
        <v>4</v>
      </c>
      <c r="J16" s="1">
        <v>697</v>
      </c>
      <c r="K16" s="36" t="s">
        <v>16</v>
      </c>
      <c r="L16" s="41" t="s">
        <v>24</v>
      </c>
      <c r="M16"/>
      <c r="N16"/>
      <c r="O16"/>
      <c r="P16"/>
      <c r="Q16"/>
      <c r="R16"/>
      <c r="S16"/>
      <c r="T16"/>
    </row>
    <row r="17" spans="1:20" x14ac:dyDescent="0.25">
      <c r="A17" s="1">
        <v>6011</v>
      </c>
      <c r="B17" s="1" t="s">
        <v>12</v>
      </c>
      <c r="D17" s="1">
        <v>3962</v>
      </c>
      <c r="E17" s="1" t="s">
        <v>4</v>
      </c>
      <c r="J17" s="1">
        <v>1249</v>
      </c>
      <c r="K17" s="36" t="s">
        <v>13</v>
      </c>
      <c r="L17" s="36" t="s">
        <v>25</v>
      </c>
      <c r="M17"/>
      <c r="N17"/>
      <c r="O17"/>
      <c r="P17"/>
      <c r="Q17"/>
      <c r="R17"/>
      <c r="S17"/>
      <c r="T17"/>
    </row>
    <row r="18" spans="1:20" x14ac:dyDescent="0.25">
      <c r="A18" s="1">
        <v>6012</v>
      </c>
      <c r="B18" s="1" t="s">
        <v>12</v>
      </c>
      <c r="D18" s="1">
        <v>4373</v>
      </c>
      <c r="E18" s="1" t="s">
        <v>4</v>
      </c>
      <c r="J18" s="1">
        <v>1308</v>
      </c>
      <c r="K18" s="36" t="s">
        <v>16</v>
      </c>
      <c r="L18" s="41" t="s">
        <v>26</v>
      </c>
      <c r="M18"/>
      <c r="N18"/>
      <c r="O18"/>
      <c r="P18"/>
      <c r="Q18"/>
      <c r="R18"/>
      <c r="S18"/>
      <c r="T18"/>
    </row>
    <row r="19" spans="1:20" x14ac:dyDescent="0.25">
      <c r="A19" s="1">
        <v>6013</v>
      </c>
      <c r="B19" s="1" t="s">
        <v>12</v>
      </c>
      <c r="D19" s="1">
        <v>4603</v>
      </c>
      <c r="E19" s="1" t="s">
        <v>4</v>
      </c>
      <c r="J19" s="1"/>
      <c r="K19" s="36" t="s">
        <v>13</v>
      </c>
      <c r="L19" s="36" t="s">
        <v>25</v>
      </c>
      <c r="M19"/>
      <c r="N19"/>
      <c r="O19"/>
      <c r="P19"/>
      <c r="Q19"/>
      <c r="R19"/>
      <c r="S19"/>
      <c r="T19"/>
    </row>
    <row r="20" spans="1:20" x14ac:dyDescent="0.25">
      <c r="A20" s="1">
        <v>6014</v>
      </c>
      <c r="B20" s="1" t="s">
        <v>12</v>
      </c>
      <c r="D20" s="1">
        <v>4638</v>
      </c>
      <c r="E20" s="1" t="s">
        <v>4</v>
      </c>
      <c r="J20" s="1">
        <v>1699</v>
      </c>
      <c r="K20" s="36" t="s">
        <v>15</v>
      </c>
      <c r="L20" s="36" t="s">
        <v>27</v>
      </c>
      <c r="M20"/>
      <c r="N20"/>
      <c r="O20"/>
      <c r="P20"/>
      <c r="Q20"/>
      <c r="R20"/>
      <c r="S20"/>
      <c r="T20"/>
    </row>
    <row r="21" spans="1:20" x14ac:dyDescent="0.25">
      <c r="A21" s="1">
        <v>6015</v>
      </c>
      <c r="B21" s="1" t="s">
        <v>12</v>
      </c>
      <c r="D21" s="1">
        <v>4942</v>
      </c>
      <c r="E21" s="1" t="s">
        <v>4</v>
      </c>
      <c r="J21" s="1"/>
      <c r="K21" s="36"/>
      <c r="L21" s="36" t="s">
        <v>22</v>
      </c>
      <c r="M21"/>
      <c r="N21"/>
      <c r="O21"/>
      <c r="P21"/>
      <c r="Q21"/>
      <c r="R21"/>
      <c r="S21"/>
      <c r="T21"/>
    </row>
    <row r="22" spans="1:20" x14ac:dyDescent="0.25">
      <c r="A22" s="1">
        <v>6016</v>
      </c>
      <c r="B22" s="1" t="s">
        <v>12</v>
      </c>
      <c r="D22" s="1">
        <v>5240</v>
      </c>
      <c r="E22" s="1" t="s">
        <v>4</v>
      </c>
      <c r="J22" s="1"/>
      <c r="K22" s="36"/>
      <c r="L22" s="36" t="s">
        <v>14</v>
      </c>
      <c r="M22"/>
      <c r="N22"/>
      <c r="O22"/>
      <c r="P22"/>
      <c r="Q22"/>
      <c r="R22"/>
      <c r="S22"/>
      <c r="T22"/>
    </row>
    <row r="23" spans="1:20" x14ac:dyDescent="0.25">
      <c r="A23" s="1">
        <v>6017</v>
      </c>
      <c r="B23" s="1" t="s">
        <v>12</v>
      </c>
      <c r="D23" s="1">
        <v>5255</v>
      </c>
      <c r="E23" s="1" t="s">
        <v>4</v>
      </c>
      <c r="J23" s="1"/>
      <c r="K23" s="36" t="s">
        <v>13</v>
      </c>
      <c r="L23" s="36" t="s">
        <v>14</v>
      </c>
      <c r="M23"/>
      <c r="N23"/>
      <c r="O23"/>
      <c r="P23"/>
      <c r="Q23"/>
      <c r="R23"/>
      <c r="S23"/>
      <c r="T23"/>
    </row>
    <row r="24" spans="1:20" x14ac:dyDescent="0.25">
      <c r="A24" s="1">
        <v>6018</v>
      </c>
      <c r="B24" s="1" t="s">
        <v>12</v>
      </c>
      <c r="D24" s="1">
        <v>5256</v>
      </c>
      <c r="E24" s="1" t="s">
        <v>4</v>
      </c>
      <c r="J24" s="1">
        <v>2197</v>
      </c>
      <c r="K24" s="36" t="s">
        <v>21</v>
      </c>
      <c r="L24" s="36" t="s">
        <v>25</v>
      </c>
      <c r="M24"/>
      <c r="N24"/>
      <c r="O24"/>
      <c r="P24"/>
      <c r="Q24"/>
      <c r="R24"/>
      <c r="S24"/>
      <c r="T24"/>
    </row>
    <row r="25" spans="1:20" x14ac:dyDescent="0.25">
      <c r="A25" s="1">
        <v>6019</v>
      </c>
      <c r="B25" s="1" t="s">
        <v>12</v>
      </c>
      <c r="D25" s="1">
        <v>5566</v>
      </c>
      <c r="E25" s="1" t="s">
        <v>4</v>
      </c>
      <c r="J25" s="1"/>
      <c r="K25" s="1" t="s">
        <v>28</v>
      </c>
      <c r="L25" s="1" t="s">
        <v>21</v>
      </c>
      <c r="M25"/>
      <c r="N25"/>
      <c r="O25"/>
      <c r="P25"/>
      <c r="Q25"/>
      <c r="R25"/>
      <c r="S25"/>
      <c r="T25"/>
    </row>
    <row r="26" spans="1:20" x14ac:dyDescent="0.25">
      <c r="A26" s="1">
        <v>6234</v>
      </c>
      <c r="B26" s="1" t="s">
        <v>12</v>
      </c>
      <c r="D26" s="1">
        <v>5709</v>
      </c>
      <c r="E26" s="1" t="s">
        <v>4</v>
      </c>
      <c r="J26" s="1">
        <v>3346</v>
      </c>
      <c r="K26" s="36" t="s">
        <v>16</v>
      </c>
      <c r="L26" s="41" t="s">
        <v>26</v>
      </c>
      <c r="M26"/>
      <c r="N26"/>
      <c r="O26"/>
      <c r="P26"/>
      <c r="Q26"/>
      <c r="R26"/>
      <c r="S26"/>
      <c r="T26"/>
    </row>
    <row r="27" spans="1:20" x14ac:dyDescent="0.25">
      <c r="A27" s="1">
        <v>6360</v>
      </c>
      <c r="B27" s="1" t="s">
        <v>12</v>
      </c>
      <c r="D27" s="1">
        <v>6010</v>
      </c>
      <c r="E27" s="1" t="s">
        <v>4</v>
      </c>
      <c r="J27" s="1">
        <v>3658</v>
      </c>
      <c r="K27" s="36" t="s">
        <v>15</v>
      </c>
      <c r="L27" s="36" t="s">
        <v>29</v>
      </c>
      <c r="M27"/>
      <c r="N27"/>
      <c r="O27"/>
      <c r="P27"/>
      <c r="Q27"/>
      <c r="R27"/>
      <c r="S27"/>
      <c r="T27"/>
    </row>
    <row r="28" spans="1:20" x14ac:dyDescent="0.25">
      <c r="A28" s="1">
        <v>6966</v>
      </c>
      <c r="B28" s="1" t="s">
        <v>12</v>
      </c>
      <c r="D28" s="1">
        <v>6222</v>
      </c>
      <c r="E28" s="1" t="s">
        <v>4</v>
      </c>
      <c r="J28" s="1"/>
      <c r="K28" s="1" t="s">
        <v>16</v>
      </c>
      <c r="L28" s="1" t="s">
        <v>30</v>
      </c>
      <c r="M28"/>
      <c r="N28"/>
      <c r="O28"/>
      <c r="P28"/>
      <c r="Q28"/>
      <c r="R28"/>
      <c r="S28"/>
      <c r="T28"/>
    </row>
    <row r="29" spans="1:20" x14ac:dyDescent="0.25">
      <c r="A29" s="1">
        <v>7323</v>
      </c>
      <c r="B29" s="1" t="s">
        <v>12</v>
      </c>
      <c r="D29" s="1">
        <v>6303</v>
      </c>
      <c r="E29" s="1" t="s">
        <v>4</v>
      </c>
      <c r="J29" s="1"/>
      <c r="K29" s="36" t="s">
        <v>13</v>
      </c>
      <c r="L29" s="36" t="s">
        <v>25</v>
      </c>
      <c r="M29"/>
      <c r="N29"/>
      <c r="O29"/>
      <c r="P29"/>
      <c r="Q29"/>
      <c r="R29"/>
      <c r="S29"/>
      <c r="T29"/>
    </row>
    <row r="30" spans="1:20" x14ac:dyDescent="0.25">
      <c r="A30" s="1">
        <v>7837</v>
      </c>
      <c r="B30" s="1" t="s">
        <v>12</v>
      </c>
      <c r="D30" s="1">
        <v>6687</v>
      </c>
      <c r="E30" s="1" t="s">
        <v>4</v>
      </c>
      <c r="J30" s="1"/>
      <c r="K30" s="1" t="s">
        <v>28</v>
      </c>
      <c r="L30" s="1" t="s">
        <v>31</v>
      </c>
      <c r="M30"/>
      <c r="N30"/>
      <c r="O30"/>
      <c r="P30"/>
      <c r="Q30"/>
      <c r="R30"/>
      <c r="S30"/>
      <c r="T30"/>
    </row>
    <row r="31" spans="1:20" x14ac:dyDescent="0.25">
      <c r="A31" s="1">
        <v>8125</v>
      </c>
      <c r="B31" s="1" t="s">
        <v>12</v>
      </c>
      <c r="D31" s="1">
        <v>6688</v>
      </c>
      <c r="E31" s="1" t="s">
        <v>4</v>
      </c>
      <c r="J31" s="1">
        <v>3962</v>
      </c>
      <c r="K31" s="1" t="s">
        <v>13</v>
      </c>
      <c r="L31" s="36" t="s">
        <v>25</v>
      </c>
      <c r="M31"/>
      <c r="N31"/>
      <c r="O31"/>
      <c r="P31"/>
      <c r="Q31"/>
      <c r="R31"/>
      <c r="S31"/>
      <c r="T31"/>
    </row>
    <row r="32" spans="1:20" x14ac:dyDescent="0.25">
      <c r="A32" s="1">
        <v>8644</v>
      </c>
      <c r="B32" s="1" t="s">
        <v>12</v>
      </c>
      <c r="D32" s="1">
        <v>6689</v>
      </c>
      <c r="E32" s="1" t="s">
        <v>4</v>
      </c>
      <c r="J32" s="1">
        <v>4373</v>
      </c>
      <c r="K32" s="36" t="s">
        <v>15</v>
      </c>
      <c r="L32" s="36" t="s">
        <v>22</v>
      </c>
      <c r="M32"/>
      <c r="N32"/>
      <c r="O32"/>
      <c r="P32"/>
      <c r="Q32"/>
      <c r="R32"/>
      <c r="S32"/>
      <c r="T32"/>
    </row>
    <row r="33" spans="1:20" x14ac:dyDescent="0.25">
      <c r="A33" s="1">
        <v>8794</v>
      </c>
      <c r="B33" s="1" t="s">
        <v>12</v>
      </c>
      <c r="D33" s="1">
        <v>7067</v>
      </c>
      <c r="E33" s="1" t="s">
        <v>4</v>
      </c>
      <c r="J33" s="1"/>
      <c r="K33" s="36"/>
      <c r="L33" s="36" t="s">
        <v>32</v>
      </c>
      <c r="M33"/>
      <c r="N33"/>
      <c r="O33"/>
      <c r="P33"/>
      <c r="Q33"/>
      <c r="R33"/>
      <c r="S33"/>
      <c r="T33"/>
    </row>
    <row r="34" spans="1:20" x14ac:dyDescent="0.25">
      <c r="A34" s="1">
        <v>8795</v>
      </c>
      <c r="B34" s="1" t="s">
        <v>12</v>
      </c>
      <c r="D34" s="1">
        <v>7397</v>
      </c>
      <c r="E34" s="1" t="s">
        <v>4</v>
      </c>
      <c r="J34" s="1">
        <v>4603</v>
      </c>
      <c r="K34" s="1" t="s">
        <v>15</v>
      </c>
      <c r="L34" s="36" t="s">
        <v>25</v>
      </c>
      <c r="M34"/>
      <c r="N34"/>
      <c r="O34"/>
      <c r="P34"/>
      <c r="Q34"/>
      <c r="R34"/>
      <c r="S34"/>
      <c r="T34"/>
    </row>
    <row r="35" spans="1:20" x14ac:dyDescent="0.25">
      <c r="A35" s="1">
        <v>8796</v>
      </c>
      <c r="B35" s="1" t="s">
        <v>12</v>
      </c>
      <c r="D35" s="1">
        <v>7589</v>
      </c>
      <c r="E35" s="1" t="s">
        <v>4</v>
      </c>
      <c r="J35" s="1"/>
      <c r="K35" s="36" t="s">
        <v>13</v>
      </c>
      <c r="L35" s="36" t="s">
        <v>25</v>
      </c>
      <c r="M35"/>
      <c r="N35"/>
      <c r="O35"/>
      <c r="P35"/>
      <c r="Q35"/>
      <c r="R35"/>
      <c r="S35"/>
      <c r="T35"/>
    </row>
    <row r="36" spans="1:20" x14ac:dyDescent="0.25">
      <c r="A36" s="1">
        <v>8852</v>
      </c>
      <c r="B36" s="1" t="s">
        <v>12</v>
      </c>
      <c r="D36" s="1">
        <v>8348</v>
      </c>
      <c r="E36" s="1" t="s">
        <v>4</v>
      </c>
      <c r="J36" s="1"/>
      <c r="K36" s="36" t="s">
        <v>21</v>
      </c>
      <c r="L36" s="36" t="s">
        <v>25</v>
      </c>
      <c r="M36"/>
      <c r="N36"/>
      <c r="O36"/>
      <c r="P36"/>
      <c r="Q36"/>
      <c r="R36"/>
      <c r="S36"/>
      <c r="T36"/>
    </row>
    <row r="37" spans="1:20" x14ac:dyDescent="0.25">
      <c r="A37" s="1">
        <v>8853</v>
      </c>
      <c r="B37" s="1" t="s">
        <v>12</v>
      </c>
      <c r="D37" s="1">
        <v>8675</v>
      </c>
      <c r="E37" s="1" t="s">
        <v>4</v>
      </c>
      <c r="J37" s="1">
        <v>4638</v>
      </c>
      <c r="K37" s="36" t="s">
        <v>15</v>
      </c>
      <c r="L37" s="1" t="s">
        <v>33</v>
      </c>
      <c r="M37"/>
      <c r="N37"/>
      <c r="O37"/>
      <c r="P37"/>
      <c r="Q37"/>
      <c r="R37"/>
      <c r="S37"/>
      <c r="T37"/>
    </row>
    <row r="38" spans="1:20" x14ac:dyDescent="0.25">
      <c r="A38" s="1">
        <v>9057</v>
      </c>
      <c r="B38" s="1" t="s">
        <v>12</v>
      </c>
      <c r="D38" s="1">
        <v>8851</v>
      </c>
      <c r="E38" s="1" t="s">
        <v>4</v>
      </c>
      <c r="J38" s="1"/>
      <c r="K38" s="36" t="s">
        <v>13</v>
      </c>
      <c r="L38" s="1" t="s">
        <v>33</v>
      </c>
      <c r="M38"/>
      <c r="N38"/>
      <c r="O38"/>
      <c r="P38"/>
      <c r="Q38"/>
      <c r="R38"/>
      <c r="S38"/>
      <c r="T38"/>
    </row>
    <row r="39" spans="1:20" x14ac:dyDescent="0.25">
      <c r="A39" s="1">
        <v>9228</v>
      </c>
      <c r="B39" s="1" t="s">
        <v>12</v>
      </c>
      <c r="D39" s="1">
        <v>9386</v>
      </c>
      <c r="E39" s="1" t="s">
        <v>4</v>
      </c>
      <c r="J39" s="1">
        <v>4942</v>
      </c>
      <c r="K39" s="1" t="s">
        <v>13</v>
      </c>
      <c r="L39" s="36" t="s">
        <v>25</v>
      </c>
      <c r="M39"/>
      <c r="N39"/>
      <c r="O39"/>
      <c r="P39"/>
      <c r="Q39"/>
      <c r="R39"/>
      <c r="S39"/>
      <c r="T39"/>
    </row>
    <row r="40" spans="1:20" x14ac:dyDescent="0.25">
      <c r="A40" s="1">
        <v>9443</v>
      </c>
      <c r="B40" s="1" t="s">
        <v>12</v>
      </c>
      <c r="D40" s="1">
        <v>9387</v>
      </c>
      <c r="E40" s="1" t="s">
        <v>4</v>
      </c>
      <c r="J40" s="1"/>
      <c r="K40" s="1" t="s">
        <v>28</v>
      </c>
      <c r="L40" s="1" t="s">
        <v>13</v>
      </c>
      <c r="M40"/>
      <c r="N40"/>
      <c r="O40"/>
      <c r="P40"/>
      <c r="Q40"/>
      <c r="R40"/>
      <c r="S40"/>
      <c r="T40"/>
    </row>
    <row r="41" spans="1:20" x14ac:dyDescent="0.25">
      <c r="A41" s="1">
        <v>9645</v>
      </c>
      <c r="B41" s="1" t="s">
        <v>12</v>
      </c>
      <c r="D41" s="1">
        <v>9388</v>
      </c>
      <c r="E41" s="1" t="s">
        <v>4</v>
      </c>
      <c r="J41" s="1">
        <v>5240</v>
      </c>
      <c r="K41" s="36" t="s">
        <v>16</v>
      </c>
      <c r="L41" s="41" t="s">
        <v>26</v>
      </c>
      <c r="M41"/>
      <c r="N41"/>
      <c r="O41"/>
      <c r="P41"/>
      <c r="Q41"/>
      <c r="R41"/>
      <c r="S41"/>
      <c r="T41"/>
    </row>
    <row r="42" spans="1:20" x14ac:dyDescent="0.25">
      <c r="A42" s="1">
        <v>9646</v>
      </c>
      <c r="B42" s="1" t="s">
        <v>12</v>
      </c>
      <c r="D42" s="1">
        <v>9389</v>
      </c>
      <c r="E42" s="1" t="s">
        <v>4</v>
      </c>
      <c r="J42" s="1">
        <v>5255</v>
      </c>
      <c r="K42" s="36" t="s">
        <v>15</v>
      </c>
      <c r="L42" s="36" t="s">
        <v>19</v>
      </c>
      <c r="M42"/>
      <c r="N42"/>
      <c r="O42"/>
      <c r="P42"/>
      <c r="Q42"/>
      <c r="R42"/>
      <c r="S42"/>
      <c r="T42"/>
    </row>
    <row r="43" spans="1:20" x14ac:dyDescent="0.25">
      <c r="A43" s="1">
        <v>9654</v>
      </c>
      <c r="B43" s="1" t="s">
        <v>12</v>
      </c>
      <c r="D43" s="1">
        <v>9469</v>
      </c>
      <c r="E43" s="1" t="s">
        <v>4</v>
      </c>
      <c r="J43" s="1"/>
      <c r="K43" s="36"/>
      <c r="L43" s="36" t="s">
        <v>22</v>
      </c>
      <c r="M43"/>
      <c r="N43"/>
      <c r="O43"/>
      <c r="P43"/>
      <c r="Q43"/>
      <c r="R43"/>
      <c r="S43"/>
      <c r="T43"/>
    </row>
    <row r="44" spans="1:20" x14ac:dyDescent="0.25">
      <c r="A44" s="1">
        <v>9655</v>
      </c>
      <c r="B44" s="1" t="s">
        <v>12</v>
      </c>
      <c r="D44" s="1">
        <v>10858</v>
      </c>
      <c r="E44" s="1" t="s">
        <v>4</v>
      </c>
      <c r="J44" s="1">
        <v>5256</v>
      </c>
      <c r="K44" s="1" t="s">
        <v>15</v>
      </c>
      <c r="L44" s="36" t="s">
        <v>19</v>
      </c>
      <c r="M44"/>
      <c r="N44"/>
      <c r="O44"/>
      <c r="P44"/>
      <c r="Q44"/>
      <c r="R44"/>
      <c r="S44"/>
      <c r="T44"/>
    </row>
    <row r="45" spans="1:20" x14ac:dyDescent="0.25">
      <c r="A45" s="1">
        <v>9656</v>
      </c>
      <c r="B45" s="1" t="s">
        <v>12</v>
      </c>
      <c r="D45" s="1">
        <v>10985</v>
      </c>
      <c r="E45" s="1" t="s">
        <v>4</v>
      </c>
      <c r="J45" s="1"/>
      <c r="K45" s="1"/>
      <c r="L45" s="36" t="s">
        <v>22</v>
      </c>
      <c r="M45"/>
      <c r="N45"/>
      <c r="O45"/>
      <c r="P45"/>
      <c r="Q45"/>
      <c r="R45"/>
      <c r="S45"/>
      <c r="T45"/>
    </row>
    <row r="46" spans="1:20" x14ac:dyDescent="0.25">
      <c r="A46" s="1">
        <v>9657</v>
      </c>
      <c r="B46" s="1" t="s">
        <v>12</v>
      </c>
      <c r="D46" s="1">
        <v>11884</v>
      </c>
      <c r="E46" s="1" t="s">
        <v>4</v>
      </c>
      <c r="J46" s="1"/>
      <c r="K46" s="36" t="s">
        <v>13</v>
      </c>
      <c r="L46" s="36" t="s">
        <v>34</v>
      </c>
      <c r="M46"/>
      <c r="N46"/>
      <c r="O46"/>
      <c r="P46"/>
      <c r="Q46"/>
      <c r="R46"/>
      <c r="S46"/>
      <c r="T46"/>
    </row>
    <row r="47" spans="1:20" x14ac:dyDescent="0.25">
      <c r="A47" s="1">
        <v>9658</v>
      </c>
      <c r="B47" s="1" t="s">
        <v>12</v>
      </c>
      <c r="D47" s="1">
        <v>12452</v>
      </c>
      <c r="E47" s="1" t="s">
        <v>4</v>
      </c>
      <c r="J47" s="1">
        <v>5566</v>
      </c>
      <c r="K47" s="36" t="s">
        <v>15</v>
      </c>
      <c r="L47" s="36" t="s">
        <v>22</v>
      </c>
      <c r="M47"/>
      <c r="N47"/>
      <c r="O47"/>
      <c r="P47"/>
      <c r="Q47"/>
      <c r="R47"/>
      <c r="S47"/>
      <c r="T47"/>
    </row>
    <row r="48" spans="1:20" x14ac:dyDescent="0.25">
      <c r="A48" s="1">
        <v>9659</v>
      </c>
      <c r="B48" s="1" t="s">
        <v>12</v>
      </c>
      <c r="D48" s="1">
        <v>13431</v>
      </c>
      <c r="E48" s="1" t="s">
        <v>4</v>
      </c>
      <c r="J48" s="1"/>
      <c r="K48" s="36" t="s">
        <v>16</v>
      </c>
      <c r="L48" s="41" t="s">
        <v>35</v>
      </c>
      <c r="M48"/>
      <c r="N48"/>
      <c r="O48"/>
      <c r="P48"/>
      <c r="Q48"/>
      <c r="R48"/>
      <c r="S48"/>
      <c r="T48"/>
    </row>
    <row r="49" spans="1:20" x14ac:dyDescent="0.25">
      <c r="A49" s="1">
        <v>10487</v>
      </c>
      <c r="B49" s="1" t="s">
        <v>12</v>
      </c>
      <c r="D49" s="1">
        <v>13442</v>
      </c>
      <c r="E49" s="1" t="s">
        <v>4</v>
      </c>
      <c r="J49" s="1"/>
      <c r="K49" s="36" t="s">
        <v>13</v>
      </c>
      <c r="L49" s="36" t="s">
        <v>25</v>
      </c>
      <c r="M49"/>
      <c r="N49"/>
      <c r="O49"/>
      <c r="P49"/>
      <c r="Q49"/>
      <c r="R49"/>
      <c r="S49"/>
      <c r="T49"/>
    </row>
    <row r="50" spans="1:20" x14ac:dyDescent="0.25">
      <c r="A50" s="1">
        <v>12469</v>
      </c>
      <c r="B50" s="1" t="s">
        <v>12</v>
      </c>
      <c r="D50" s="1">
        <v>13582</v>
      </c>
      <c r="E50" s="1" t="s">
        <v>4</v>
      </c>
      <c r="J50" s="1">
        <v>5709</v>
      </c>
      <c r="K50" s="1" t="s">
        <v>13</v>
      </c>
      <c r="L50" s="36" t="s">
        <v>25</v>
      </c>
      <c r="M50"/>
      <c r="N50"/>
      <c r="O50"/>
      <c r="P50"/>
      <c r="Q50"/>
      <c r="R50"/>
      <c r="S50"/>
      <c r="T50"/>
    </row>
    <row r="51" spans="1:20" x14ac:dyDescent="0.25">
      <c r="A51" s="1">
        <v>13392</v>
      </c>
      <c r="B51" s="1" t="s">
        <v>12</v>
      </c>
      <c r="D51" s="1">
        <v>13896</v>
      </c>
      <c r="E51" s="1" t="s">
        <v>4</v>
      </c>
      <c r="J51" s="1">
        <v>6010</v>
      </c>
      <c r="K51" s="36" t="s">
        <v>15</v>
      </c>
      <c r="L51" s="36" t="s">
        <v>25</v>
      </c>
      <c r="M51"/>
      <c r="N51"/>
      <c r="O51"/>
      <c r="P51"/>
      <c r="Q51"/>
      <c r="R51"/>
      <c r="S51"/>
      <c r="T51"/>
    </row>
    <row r="52" spans="1:20" x14ac:dyDescent="0.25">
      <c r="A52" s="1">
        <v>13441</v>
      </c>
      <c r="B52" s="1" t="s">
        <v>12</v>
      </c>
      <c r="D52" s="1">
        <v>14216</v>
      </c>
      <c r="E52" s="1" t="s">
        <v>4</v>
      </c>
      <c r="J52" s="1">
        <v>6222</v>
      </c>
      <c r="K52" s="1" t="s">
        <v>15</v>
      </c>
      <c r="L52" s="36" t="s">
        <v>19</v>
      </c>
      <c r="M52"/>
      <c r="N52"/>
      <c r="O52"/>
      <c r="P52"/>
      <c r="Q52"/>
      <c r="R52"/>
      <c r="S52"/>
      <c r="T52"/>
    </row>
    <row r="53" spans="1:20" x14ac:dyDescent="0.25">
      <c r="A53" s="1">
        <v>14454</v>
      </c>
      <c r="B53" s="1" t="s">
        <v>12</v>
      </c>
      <c r="D53" s="1">
        <v>14900</v>
      </c>
      <c r="E53" s="1" t="s">
        <v>4</v>
      </c>
      <c r="J53" s="1"/>
      <c r="K53" s="1"/>
      <c r="L53" s="36" t="s">
        <v>22</v>
      </c>
      <c r="M53"/>
      <c r="N53"/>
      <c r="O53"/>
      <c r="P53"/>
      <c r="Q53"/>
      <c r="R53"/>
      <c r="S53"/>
      <c r="T53"/>
    </row>
    <row r="54" spans="1:20" x14ac:dyDescent="0.25">
      <c r="A54" s="1">
        <v>14483</v>
      </c>
      <c r="B54" s="1" t="s">
        <v>12</v>
      </c>
      <c r="D54" s="1">
        <v>14959</v>
      </c>
      <c r="E54" s="1" t="s">
        <v>4</v>
      </c>
      <c r="J54" s="1"/>
      <c r="K54" s="36" t="s">
        <v>13</v>
      </c>
      <c r="L54" s="36" t="s">
        <v>34</v>
      </c>
      <c r="M54"/>
      <c r="N54"/>
      <c r="O54"/>
      <c r="P54"/>
      <c r="Q54"/>
      <c r="R54"/>
      <c r="S54"/>
      <c r="T54"/>
    </row>
    <row r="55" spans="1:20" x14ac:dyDescent="0.25">
      <c r="A55" s="1">
        <v>14484</v>
      </c>
      <c r="B55" s="1" t="s">
        <v>12</v>
      </c>
      <c r="D55" s="1">
        <v>14960</v>
      </c>
      <c r="E55" s="1" t="s">
        <v>4</v>
      </c>
      <c r="J55" s="1">
        <v>6303</v>
      </c>
      <c r="K55" s="1" t="s">
        <v>13</v>
      </c>
      <c r="L55" s="36" t="s">
        <v>25</v>
      </c>
      <c r="M55"/>
      <c r="N55"/>
      <c r="O55"/>
      <c r="P55"/>
      <c r="Q55"/>
      <c r="R55"/>
      <c r="S55"/>
      <c r="T55"/>
    </row>
    <row r="56" spans="1:20" x14ac:dyDescent="0.25">
      <c r="A56" s="1">
        <v>14485</v>
      </c>
      <c r="B56" s="1" t="s">
        <v>12</v>
      </c>
      <c r="D56" s="1">
        <v>14961</v>
      </c>
      <c r="E56" s="1" t="s">
        <v>4</v>
      </c>
      <c r="J56" s="1">
        <v>6687</v>
      </c>
      <c r="K56" s="36" t="s">
        <v>15</v>
      </c>
      <c r="L56" s="36" t="s">
        <v>19</v>
      </c>
      <c r="M56"/>
      <c r="N56"/>
      <c r="O56"/>
      <c r="P56"/>
      <c r="Q56"/>
      <c r="R56"/>
      <c r="S56"/>
      <c r="T56"/>
    </row>
    <row r="57" spans="1:20" x14ac:dyDescent="0.25">
      <c r="A57" s="1">
        <v>14486</v>
      </c>
      <c r="B57" s="1" t="s">
        <v>12</v>
      </c>
      <c r="D57" s="1">
        <v>14962</v>
      </c>
      <c r="E57" s="1" t="s">
        <v>4</v>
      </c>
      <c r="J57" s="1"/>
      <c r="K57" s="36"/>
      <c r="L57" s="36" t="s">
        <v>22</v>
      </c>
      <c r="M57"/>
      <c r="N57"/>
      <c r="O57"/>
      <c r="P57"/>
      <c r="Q57"/>
      <c r="R57"/>
      <c r="S57"/>
      <c r="T57"/>
    </row>
    <row r="58" spans="1:20" x14ac:dyDescent="0.25">
      <c r="A58" s="1">
        <v>14487</v>
      </c>
      <c r="B58" s="1" t="s">
        <v>12</v>
      </c>
      <c r="D58" s="1">
        <v>15026</v>
      </c>
      <c r="E58" s="1" t="s">
        <v>4</v>
      </c>
      <c r="J58" s="1"/>
      <c r="K58" s="36" t="s">
        <v>13</v>
      </c>
      <c r="L58" s="36" t="s">
        <v>34</v>
      </c>
      <c r="M58"/>
      <c r="N58"/>
      <c r="O58"/>
      <c r="P58"/>
      <c r="Q58"/>
      <c r="R58"/>
      <c r="S58"/>
      <c r="T58"/>
    </row>
    <row r="59" spans="1:20" x14ac:dyDescent="0.25">
      <c r="A59" s="1">
        <v>14488</v>
      </c>
      <c r="B59" s="1" t="s">
        <v>12</v>
      </c>
      <c r="D59" s="1">
        <v>15171</v>
      </c>
      <c r="E59" s="1" t="s">
        <v>4</v>
      </c>
      <c r="J59" s="1">
        <v>6688</v>
      </c>
      <c r="K59" s="36" t="s">
        <v>15</v>
      </c>
      <c r="L59" s="36" t="s">
        <v>19</v>
      </c>
      <c r="M59"/>
      <c r="N59"/>
      <c r="O59"/>
      <c r="P59"/>
      <c r="Q59"/>
      <c r="R59"/>
      <c r="S59"/>
      <c r="T59"/>
    </row>
    <row r="60" spans="1:20" x14ac:dyDescent="0.25">
      <c r="A60" s="1">
        <v>14977</v>
      </c>
      <c r="B60" s="1" t="s">
        <v>12</v>
      </c>
      <c r="D60" s="1">
        <v>16022</v>
      </c>
      <c r="E60" s="1" t="s">
        <v>4</v>
      </c>
      <c r="J60" s="1"/>
      <c r="K60" s="36"/>
      <c r="L60" s="36" t="s">
        <v>22</v>
      </c>
      <c r="M60"/>
      <c r="N60"/>
      <c r="O60"/>
      <c r="P60"/>
      <c r="Q60"/>
      <c r="R60"/>
      <c r="S60"/>
      <c r="T60"/>
    </row>
    <row r="61" spans="1:20" x14ac:dyDescent="0.25">
      <c r="A61" s="1">
        <v>15224</v>
      </c>
      <c r="B61" s="1" t="s">
        <v>12</v>
      </c>
      <c r="D61" s="1">
        <v>16267</v>
      </c>
      <c r="E61" s="1" t="s">
        <v>4</v>
      </c>
      <c r="J61" s="1"/>
      <c r="K61" s="36" t="s">
        <v>13</v>
      </c>
      <c r="L61" s="36" t="s">
        <v>34</v>
      </c>
      <c r="M61"/>
      <c r="N61"/>
      <c r="O61"/>
      <c r="P61"/>
      <c r="Q61"/>
      <c r="R61"/>
      <c r="S61"/>
      <c r="T61"/>
    </row>
    <row r="62" spans="1:20" x14ac:dyDescent="0.25">
      <c r="A62" s="1">
        <v>16818</v>
      </c>
      <c r="B62" s="1" t="s">
        <v>12</v>
      </c>
      <c r="D62" s="1">
        <v>16272</v>
      </c>
      <c r="E62" s="1" t="s">
        <v>4</v>
      </c>
      <c r="J62" s="1">
        <v>6689</v>
      </c>
      <c r="K62" s="36" t="s">
        <v>15</v>
      </c>
      <c r="L62" s="36" t="s">
        <v>19</v>
      </c>
      <c r="M62"/>
      <c r="N62"/>
      <c r="O62"/>
      <c r="P62"/>
      <c r="Q62"/>
      <c r="R62"/>
      <c r="S62"/>
      <c r="T62"/>
    </row>
    <row r="63" spans="1:20" x14ac:dyDescent="0.25">
      <c r="A63" s="1">
        <v>17138</v>
      </c>
      <c r="B63" s="1" t="s">
        <v>12</v>
      </c>
      <c r="D63" s="1">
        <v>16310</v>
      </c>
      <c r="E63" s="1" t="s">
        <v>4</v>
      </c>
      <c r="J63" s="1"/>
      <c r="K63" s="36"/>
      <c r="L63" s="36" t="s">
        <v>22</v>
      </c>
      <c r="M63"/>
      <c r="N63"/>
      <c r="O63"/>
      <c r="P63"/>
      <c r="Q63"/>
      <c r="R63"/>
      <c r="S63"/>
      <c r="T63"/>
    </row>
    <row r="64" spans="1:20" x14ac:dyDescent="0.25">
      <c r="A64" s="1">
        <v>17236</v>
      </c>
      <c r="B64" s="1" t="s">
        <v>12</v>
      </c>
      <c r="D64" s="1">
        <v>16311</v>
      </c>
      <c r="E64" s="1" t="s">
        <v>4</v>
      </c>
      <c r="J64" s="1"/>
      <c r="K64" s="36" t="s">
        <v>13</v>
      </c>
      <c r="L64" s="36" t="s">
        <v>34</v>
      </c>
      <c r="M64"/>
      <c r="N64"/>
      <c r="O64"/>
      <c r="P64"/>
      <c r="Q64"/>
      <c r="R64"/>
      <c r="S64"/>
      <c r="T64"/>
    </row>
    <row r="65" spans="1:20" x14ac:dyDescent="0.25">
      <c r="A65" s="1">
        <v>17617</v>
      </c>
      <c r="B65" s="1" t="s">
        <v>12</v>
      </c>
      <c r="D65" s="1">
        <v>16316</v>
      </c>
      <c r="E65" s="1" t="s">
        <v>4</v>
      </c>
      <c r="J65" s="1">
        <v>7067</v>
      </c>
      <c r="K65" s="1" t="s">
        <v>13</v>
      </c>
      <c r="L65" s="1" t="s">
        <v>14</v>
      </c>
      <c r="M65"/>
      <c r="N65"/>
      <c r="O65"/>
      <c r="P65"/>
      <c r="Q65"/>
      <c r="R65"/>
      <c r="S65"/>
      <c r="T65"/>
    </row>
    <row r="66" spans="1:20" x14ac:dyDescent="0.25">
      <c r="A66" s="1">
        <v>17792</v>
      </c>
      <c r="B66" s="1" t="s">
        <v>12</v>
      </c>
      <c r="D66" s="1">
        <v>16319</v>
      </c>
      <c r="E66" s="1" t="s">
        <v>4</v>
      </c>
      <c r="J66" s="1"/>
      <c r="K66" s="1"/>
      <c r="L66" s="36" t="s">
        <v>25</v>
      </c>
      <c r="M66"/>
      <c r="N66"/>
      <c r="O66"/>
      <c r="P66"/>
      <c r="Q66"/>
      <c r="R66"/>
      <c r="S66"/>
      <c r="T66"/>
    </row>
    <row r="67" spans="1:20" x14ac:dyDescent="0.25">
      <c r="A67" s="1">
        <v>17931</v>
      </c>
      <c r="B67" s="1" t="s">
        <v>12</v>
      </c>
      <c r="D67" s="1">
        <v>16324</v>
      </c>
      <c r="E67" s="1" t="s">
        <v>4</v>
      </c>
      <c r="J67" s="1"/>
      <c r="K67" s="1" t="s">
        <v>28</v>
      </c>
      <c r="L67" s="1" t="s">
        <v>13</v>
      </c>
      <c r="M67"/>
      <c r="N67"/>
      <c r="O67"/>
      <c r="P67"/>
      <c r="Q67"/>
      <c r="R67"/>
      <c r="S67"/>
      <c r="T67"/>
    </row>
    <row r="68" spans="1:20" x14ac:dyDescent="0.25">
      <c r="A68" s="1">
        <v>17934</v>
      </c>
      <c r="B68" s="1" t="s">
        <v>12</v>
      </c>
      <c r="D68" s="1">
        <v>16327</v>
      </c>
      <c r="E68" s="1" t="s">
        <v>4</v>
      </c>
      <c r="J68" s="1">
        <v>7397</v>
      </c>
      <c r="K68" s="36" t="s">
        <v>15</v>
      </c>
      <c r="L68" s="36" t="s">
        <v>36</v>
      </c>
      <c r="M68"/>
      <c r="N68"/>
      <c r="O68"/>
      <c r="P68"/>
      <c r="Q68"/>
      <c r="R68"/>
      <c r="S68"/>
      <c r="T68"/>
    </row>
    <row r="69" spans="1:20" x14ac:dyDescent="0.25">
      <c r="A69" s="1">
        <v>18524</v>
      </c>
      <c r="B69" s="1" t="s">
        <v>12</v>
      </c>
      <c r="D69" s="1">
        <v>16328</v>
      </c>
      <c r="E69" s="1" t="s">
        <v>4</v>
      </c>
      <c r="J69" s="1">
        <v>7589</v>
      </c>
      <c r="K69" s="36" t="s">
        <v>18</v>
      </c>
      <c r="L69" s="36" t="s">
        <v>37</v>
      </c>
      <c r="M69"/>
      <c r="N69"/>
      <c r="O69"/>
      <c r="P69"/>
      <c r="Q69"/>
      <c r="R69"/>
      <c r="S69"/>
      <c r="T69"/>
    </row>
    <row r="70" spans="1:20" x14ac:dyDescent="0.25">
      <c r="A70" s="1">
        <v>20131</v>
      </c>
      <c r="B70" s="1" t="s">
        <v>12</v>
      </c>
      <c r="D70" s="1">
        <v>16329</v>
      </c>
      <c r="E70" s="1" t="s">
        <v>4</v>
      </c>
      <c r="J70" s="1">
        <v>8348</v>
      </c>
      <c r="K70" s="36" t="s">
        <v>15</v>
      </c>
      <c r="L70" s="36" t="s">
        <v>25</v>
      </c>
      <c r="M70"/>
      <c r="N70"/>
      <c r="O70"/>
      <c r="P70"/>
      <c r="Q70"/>
      <c r="R70"/>
      <c r="S70"/>
      <c r="T70"/>
    </row>
    <row r="71" spans="1:20" x14ac:dyDescent="0.25">
      <c r="A71" s="1">
        <v>20132</v>
      </c>
      <c r="B71" s="1" t="s">
        <v>12</v>
      </c>
      <c r="D71" s="1">
        <v>16330</v>
      </c>
      <c r="E71" s="1" t="s">
        <v>4</v>
      </c>
      <c r="J71" s="1">
        <v>8675</v>
      </c>
      <c r="K71" s="36" t="s">
        <v>18</v>
      </c>
      <c r="L71" s="36" t="s">
        <v>37</v>
      </c>
      <c r="M71"/>
      <c r="N71"/>
      <c r="O71"/>
      <c r="P71"/>
      <c r="Q71"/>
      <c r="R71"/>
      <c r="S71"/>
      <c r="T71"/>
    </row>
    <row r="72" spans="1:20" x14ac:dyDescent="0.25">
      <c r="A72" s="1">
        <v>20135</v>
      </c>
      <c r="B72" s="1" t="s">
        <v>12</v>
      </c>
      <c r="D72" s="1">
        <v>16331</v>
      </c>
      <c r="E72" s="1" t="s">
        <v>4</v>
      </c>
      <c r="J72" s="1">
        <v>8851</v>
      </c>
      <c r="K72" s="36" t="s">
        <v>15</v>
      </c>
      <c r="L72" s="36" t="s">
        <v>25</v>
      </c>
      <c r="M72"/>
      <c r="N72"/>
      <c r="O72"/>
      <c r="P72"/>
      <c r="Q72"/>
      <c r="R72"/>
      <c r="S72"/>
      <c r="T72"/>
    </row>
    <row r="73" spans="1:20" x14ac:dyDescent="0.25">
      <c r="A73" s="1">
        <v>20136</v>
      </c>
      <c r="B73" s="1" t="s">
        <v>12</v>
      </c>
      <c r="D73" s="1">
        <v>17253</v>
      </c>
      <c r="E73" s="1" t="s">
        <v>4</v>
      </c>
      <c r="J73" s="1"/>
      <c r="K73" s="36" t="s">
        <v>13</v>
      </c>
      <c r="L73" s="36" t="s">
        <v>25</v>
      </c>
      <c r="M73"/>
      <c r="N73"/>
      <c r="O73"/>
      <c r="P73"/>
      <c r="Q73"/>
      <c r="R73"/>
      <c r="S73"/>
      <c r="T73"/>
    </row>
    <row r="74" spans="1:20" x14ac:dyDescent="0.25">
      <c r="A74" s="1">
        <v>21907</v>
      </c>
      <c r="B74" s="1" t="s">
        <v>12</v>
      </c>
      <c r="D74" s="1">
        <v>17352</v>
      </c>
      <c r="E74" s="1" t="s">
        <v>4</v>
      </c>
      <c r="J74" s="1">
        <v>9386</v>
      </c>
      <c r="K74" s="36" t="s">
        <v>15</v>
      </c>
      <c r="L74" s="36" t="s">
        <v>38</v>
      </c>
      <c r="M74"/>
      <c r="N74"/>
      <c r="O74"/>
      <c r="P74"/>
      <c r="Q74"/>
      <c r="R74"/>
      <c r="S74"/>
      <c r="T74"/>
    </row>
    <row r="75" spans="1:20" x14ac:dyDescent="0.25">
      <c r="A75" s="1">
        <v>22210</v>
      </c>
      <c r="B75" s="1" t="s">
        <v>12</v>
      </c>
      <c r="D75" s="1">
        <v>17388</v>
      </c>
      <c r="E75" s="1" t="s">
        <v>4</v>
      </c>
      <c r="J75" s="1"/>
      <c r="K75" s="36" t="s">
        <v>13</v>
      </c>
      <c r="L75" s="36" t="s">
        <v>33</v>
      </c>
      <c r="M75"/>
      <c r="N75"/>
      <c r="O75"/>
      <c r="P75"/>
      <c r="Q75"/>
      <c r="R75"/>
      <c r="S75"/>
      <c r="T75"/>
    </row>
    <row r="76" spans="1:20" x14ac:dyDescent="0.25">
      <c r="A76" s="1">
        <v>22230</v>
      </c>
      <c r="B76" s="1" t="s">
        <v>12</v>
      </c>
      <c r="D76" s="1">
        <v>17389</v>
      </c>
      <c r="E76" s="1" t="s">
        <v>4</v>
      </c>
      <c r="J76" s="1">
        <v>9387</v>
      </c>
      <c r="K76" s="36" t="s">
        <v>15</v>
      </c>
      <c r="L76" s="36" t="s">
        <v>38</v>
      </c>
      <c r="M76"/>
      <c r="N76"/>
      <c r="O76"/>
      <c r="P76"/>
      <c r="Q76"/>
      <c r="R76"/>
      <c r="S76"/>
      <c r="T76"/>
    </row>
    <row r="77" spans="1:20" x14ac:dyDescent="0.25">
      <c r="A77" s="1">
        <v>24025</v>
      </c>
      <c r="B77" s="1" t="s">
        <v>12</v>
      </c>
      <c r="D77" s="1">
        <v>17390</v>
      </c>
      <c r="E77" s="1" t="s">
        <v>4</v>
      </c>
      <c r="J77" s="1"/>
      <c r="K77" s="36" t="s">
        <v>13</v>
      </c>
      <c r="L77" s="36" t="s">
        <v>33</v>
      </c>
      <c r="M77"/>
      <c r="N77"/>
      <c r="O77"/>
      <c r="P77"/>
      <c r="Q77"/>
      <c r="R77"/>
      <c r="S77"/>
      <c r="T77"/>
    </row>
    <row r="78" spans="1:20" x14ac:dyDescent="0.25">
      <c r="A78" s="1">
        <v>25725</v>
      </c>
      <c r="B78" s="1" t="s">
        <v>12</v>
      </c>
      <c r="D78" s="1">
        <v>17391</v>
      </c>
      <c r="E78" s="1" t="s">
        <v>4</v>
      </c>
      <c r="J78" s="1">
        <v>9388</v>
      </c>
      <c r="K78" s="36" t="s">
        <v>15</v>
      </c>
      <c r="L78" s="36" t="s">
        <v>38</v>
      </c>
      <c r="M78"/>
      <c r="N78"/>
      <c r="O78"/>
      <c r="P78"/>
      <c r="Q78"/>
      <c r="R78"/>
      <c r="S78"/>
      <c r="T78"/>
    </row>
    <row r="79" spans="1:20" x14ac:dyDescent="0.25">
      <c r="A79" s="1">
        <v>25750</v>
      </c>
      <c r="B79" s="1" t="s">
        <v>12</v>
      </c>
      <c r="D79" s="1">
        <v>17392</v>
      </c>
      <c r="E79" s="1" t="s">
        <v>4</v>
      </c>
      <c r="J79" s="1"/>
      <c r="K79" s="36" t="s">
        <v>13</v>
      </c>
      <c r="L79" s="36" t="s">
        <v>39</v>
      </c>
      <c r="M79"/>
      <c r="N79"/>
      <c r="O79"/>
      <c r="P79"/>
      <c r="Q79"/>
      <c r="R79"/>
      <c r="S79"/>
      <c r="T79"/>
    </row>
    <row r="80" spans="1:20" x14ac:dyDescent="0.25">
      <c r="A80" s="1">
        <v>27990</v>
      </c>
      <c r="B80" s="1" t="s">
        <v>12</v>
      </c>
      <c r="D80" s="1">
        <v>17393</v>
      </c>
      <c r="E80" s="1" t="s">
        <v>4</v>
      </c>
      <c r="J80" s="1">
        <v>9389</v>
      </c>
      <c r="K80" s="36" t="s">
        <v>15</v>
      </c>
      <c r="L80" s="36" t="s">
        <v>38</v>
      </c>
      <c r="M80"/>
      <c r="N80"/>
      <c r="O80"/>
      <c r="P80"/>
      <c r="Q80"/>
      <c r="R80"/>
      <c r="S80"/>
      <c r="T80"/>
    </row>
    <row r="81" spans="1:20" x14ac:dyDescent="0.25">
      <c r="A81" s="1">
        <v>28960</v>
      </c>
      <c r="B81" s="1" t="s">
        <v>12</v>
      </c>
      <c r="D81" s="1">
        <v>18217</v>
      </c>
      <c r="E81" s="1" t="s">
        <v>4</v>
      </c>
      <c r="J81" s="1"/>
      <c r="K81" s="36" t="s">
        <v>13</v>
      </c>
      <c r="L81" s="36" t="s">
        <v>25</v>
      </c>
      <c r="M81"/>
      <c r="N81"/>
      <c r="O81"/>
      <c r="P81"/>
      <c r="Q81"/>
      <c r="R81"/>
      <c r="S81"/>
      <c r="T81"/>
    </row>
    <row r="82" spans="1:20" x14ac:dyDescent="0.25">
      <c r="A82" s="1">
        <v>32053</v>
      </c>
      <c r="B82" s="1" t="s">
        <v>12</v>
      </c>
      <c r="D82" s="1">
        <v>18657</v>
      </c>
      <c r="E82" s="1" t="s">
        <v>4</v>
      </c>
      <c r="J82" s="1">
        <v>9469</v>
      </c>
      <c r="K82" s="36" t="s">
        <v>15</v>
      </c>
      <c r="L82" s="36" t="s">
        <v>40</v>
      </c>
      <c r="M82"/>
      <c r="N82"/>
      <c r="O82"/>
      <c r="P82"/>
      <c r="Q82"/>
      <c r="R82"/>
      <c r="S82"/>
      <c r="T82"/>
    </row>
    <row r="83" spans="1:20" x14ac:dyDescent="0.25">
      <c r="A83" s="1">
        <v>32953</v>
      </c>
      <c r="B83" s="1" t="s">
        <v>12</v>
      </c>
      <c r="D83" s="1">
        <v>19631</v>
      </c>
      <c r="E83" s="1" t="s">
        <v>4</v>
      </c>
      <c r="J83" s="1"/>
      <c r="K83" s="36" t="s">
        <v>21</v>
      </c>
      <c r="L83" s="36" t="s">
        <v>25</v>
      </c>
      <c r="M83"/>
      <c r="N83"/>
      <c r="O83"/>
      <c r="P83"/>
      <c r="Q83"/>
      <c r="R83"/>
      <c r="S83"/>
      <c r="T83"/>
    </row>
    <row r="84" spans="1:20" x14ac:dyDescent="0.25">
      <c r="A84" s="1">
        <v>32954</v>
      </c>
      <c r="B84" s="1" t="s">
        <v>12</v>
      </c>
      <c r="D84" s="1">
        <v>20182</v>
      </c>
      <c r="E84" s="1" t="s">
        <v>4</v>
      </c>
      <c r="J84" s="1">
        <v>10858</v>
      </c>
      <c r="K84" s="36" t="s">
        <v>15</v>
      </c>
      <c r="L84" s="36" t="s">
        <v>41</v>
      </c>
      <c r="M84"/>
      <c r="N84"/>
      <c r="O84"/>
      <c r="P84"/>
      <c r="Q84"/>
      <c r="R84"/>
      <c r="S84"/>
      <c r="T84"/>
    </row>
    <row r="85" spans="1:20" x14ac:dyDescent="0.25">
      <c r="A85" s="1">
        <v>36143</v>
      </c>
      <c r="B85" s="1" t="s">
        <v>12</v>
      </c>
      <c r="D85" s="1">
        <v>20778</v>
      </c>
      <c r="E85" s="1" t="s">
        <v>4</v>
      </c>
      <c r="J85" s="1">
        <v>10985</v>
      </c>
      <c r="K85" s="1" t="s">
        <v>15</v>
      </c>
      <c r="L85" s="36" t="s">
        <v>42</v>
      </c>
      <c r="M85"/>
      <c r="N85"/>
      <c r="O85"/>
      <c r="P85"/>
      <c r="Q85"/>
      <c r="R85"/>
      <c r="S85"/>
      <c r="T85"/>
    </row>
    <row r="86" spans="1:20" x14ac:dyDescent="0.25">
      <c r="A86" s="1">
        <v>40754</v>
      </c>
      <c r="B86" s="1" t="s">
        <v>12</v>
      </c>
      <c r="D86" s="1">
        <v>20836</v>
      </c>
      <c r="E86" s="1" t="s">
        <v>4</v>
      </c>
      <c r="J86" s="1">
        <v>11884</v>
      </c>
      <c r="K86" s="1" t="s">
        <v>15</v>
      </c>
      <c r="L86" s="36" t="s">
        <v>43</v>
      </c>
      <c r="M86"/>
      <c r="N86"/>
      <c r="O86"/>
      <c r="P86"/>
      <c r="Q86"/>
      <c r="R86"/>
      <c r="S86"/>
      <c r="T86"/>
    </row>
    <row r="87" spans="1:20" x14ac:dyDescent="0.25">
      <c r="A87" s="1">
        <v>40755</v>
      </c>
      <c r="B87" s="1" t="s">
        <v>12</v>
      </c>
      <c r="D87" s="1">
        <v>21691</v>
      </c>
      <c r="E87" s="1" t="s">
        <v>4</v>
      </c>
      <c r="J87" s="1">
        <v>12452</v>
      </c>
      <c r="K87" s="36" t="s">
        <v>13</v>
      </c>
      <c r="L87" s="1" t="s">
        <v>14</v>
      </c>
      <c r="M87"/>
      <c r="N87"/>
      <c r="O87"/>
      <c r="P87"/>
      <c r="Q87"/>
      <c r="R87"/>
      <c r="S87"/>
      <c r="T87"/>
    </row>
    <row r="88" spans="1:20" x14ac:dyDescent="0.25">
      <c r="A88" s="1">
        <v>40756</v>
      </c>
      <c r="B88" s="1" t="s">
        <v>12</v>
      </c>
      <c r="D88" s="1">
        <v>21757</v>
      </c>
      <c r="E88" s="1" t="s">
        <v>4</v>
      </c>
      <c r="J88" s="1"/>
      <c r="K88" s="36"/>
      <c r="L88" s="36" t="s">
        <v>25</v>
      </c>
      <c r="M88"/>
      <c r="N88"/>
      <c r="O88"/>
      <c r="P88"/>
      <c r="Q88"/>
      <c r="R88"/>
      <c r="S88"/>
      <c r="T88"/>
    </row>
    <row r="89" spans="1:20" x14ac:dyDescent="0.25">
      <c r="A89" s="1">
        <v>40757</v>
      </c>
      <c r="B89" s="1" t="s">
        <v>12</v>
      </c>
      <c r="D89" s="1">
        <v>22927</v>
      </c>
      <c r="E89" s="1" t="s">
        <v>4</v>
      </c>
      <c r="J89" s="1"/>
      <c r="K89" s="1" t="s">
        <v>28</v>
      </c>
      <c r="L89" s="1" t="s">
        <v>13</v>
      </c>
      <c r="M89"/>
      <c r="N89"/>
      <c r="O89"/>
      <c r="P89"/>
      <c r="Q89"/>
      <c r="R89"/>
      <c r="S89"/>
      <c r="T89"/>
    </row>
    <row r="90" spans="1:20" x14ac:dyDescent="0.25">
      <c r="A90" s="1">
        <v>41002</v>
      </c>
      <c r="B90" s="1" t="s">
        <v>12</v>
      </c>
      <c r="D90" s="1">
        <v>23299</v>
      </c>
      <c r="E90" s="1" t="s">
        <v>4</v>
      </c>
      <c r="J90" s="1">
        <v>13431</v>
      </c>
      <c r="K90" s="36" t="s">
        <v>18</v>
      </c>
      <c r="L90" s="36" t="s">
        <v>37</v>
      </c>
      <c r="M90"/>
      <c r="N90"/>
      <c r="O90"/>
      <c r="P90"/>
      <c r="Q90"/>
      <c r="R90"/>
      <c r="S90"/>
      <c r="T90"/>
    </row>
    <row r="91" spans="1:20" x14ac:dyDescent="0.25">
      <c r="A91" s="1">
        <v>41998</v>
      </c>
      <c r="B91" s="1" t="s">
        <v>12</v>
      </c>
      <c r="D91" s="1">
        <v>23587</v>
      </c>
      <c r="E91" s="1" t="s">
        <v>4</v>
      </c>
      <c r="J91" s="1">
        <v>13442</v>
      </c>
      <c r="K91" s="1" t="s">
        <v>18</v>
      </c>
      <c r="L91" s="36" t="s">
        <v>37</v>
      </c>
      <c r="M91"/>
      <c r="N91"/>
      <c r="O91"/>
      <c r="P91"/>
      <c r="Q91"/>
      <c r="R91"/>
      <c r="S91"/>
      <c r="T91"/>
    </row>
    <row r="92" spans="1:20" x14ac:dyDescent="0.25">
      <c r="A92" s="1">
        <v>42613</v>
      </c>
      <c r="B92" s="1" t="s">
        <v>12</v>
      </c>
      <c r="D92" s="1">
        <v>26006</v>
      </c>
      <c r="E92" s="1" t="s">
        <v>4</v>
      </c>
      <c r="J92" s="1">
        <v>13582</v>
      </c>
      <c r="K92" s="36" t="s">
        <v>15</v>
      </c>
      <c r="L92" s="36" t="s">
        <v>40</v>
      </c>
      <c r="M92"/>
      <c r="N92"/>
      <c r="O92"/>
      <c r="P92"/>
      <c r="Q92"/>
      <c r="R92"/>
      <c r="S92"/>
      <c r="T92"/>
    </row>
    <row r="93" spans="1:20" x14ac:dyDescent="0.25">
      <c r="A93" s="1">
        <v>44030</v>
      </c>
      <c r="B93" s="1" t="s">
        <v>12</v>
      </c>
      <c r="D93" s="1">
        <v>26007</v>
      </c>
      <c r="E93" s="1" t="s">
        <v>4</v>
      </c>
      <c r="J93" s="1"/>
      <c r="K93" s="36" t="s">
        <v>21</v>
      </c>
      <c r="L93" s="36" t="s">
        <v>25</v>
      </c>
      <c r="M93"/>
      <c r="N93"/>
      <c r="O93"/>
      <c r="P93"/>
      <c r="Q93"/>
      <c r="R93"/>
      <c r="S93"/>
      <c r="T93"/>
    </row>
    <row r="94" spans="1:20" x14ac:dyDescent="0.25">
      <c r="A94" s="1">
        <v>44587</v>
      </c>
      <c r="B94" s="1" t="s">
        <v>12</v>
      </c>
      <c r="D94" s="1">
        <v>26008</v>
      </c>
      <c r="E94" s="1" t="s">
        <v>4</v>
      </c>
      <c r="J94" s="1">
        <v>13896</v>
      </c>
      <c r="K94" s="36" t="s">
        <v>15</v>
      </c>
      <c r="L94" s="36" t="s">
        <v>44</v>
      </c>
      <c r="M94"/>
      <c r="N94"/>
      <c r="O94"/>
      <c r="P94"/>
      <c r="Q94"/>
      <c r="R94"/>
      <c r="S94"/>
      <c r="T94"/>
    </row>
    <row r="95" spans="1:20" x14ac:dyDescent="0.25">
      <c r="A95" s="1">
        <v>44588</v>
      </c>
      <c r="B95" s="1" t="s">
        <v>12</v>
      </c>
      <c r="D95" s="1">
        <v>26984</v>
      </c>
      <c r="E95" s="1" t="s">
        <v>4</v>
      </c>
      <c r="J95" s="1"/>
      <c r="K95" s="36" t="s">
        <v>13</v>
      </c>
      <c r="L95" s="36" t="s">
        <v>25</v>
      </c>
      <c r="M95"/>
      <c r="N95"/>
      <c r="O95"/>
      <c r="P95"/>
      <c r="Q95"/>
      <c r="R95"/>
      <c r="S95"/>
      <c r="T95"/>
    </row>
    <row r="96" spans="1:20" x14ac:dyDescent="0.25">
      <c r="A96" s="1">
        <v>44589</v>
      </c>
      <c r="B96" s="1" t="s">
        <v>12</v>
      </c>
      <c r="D96" s="1">
        <v>27532</v>
      </c>
      <c r="E96" s="1" t="s">
        <v>4</v>
      </c>
      <c r="J96" s="1">
        <v>14216</v>
      </c>
      <c r="K96" s="1" t="s">
        <v>13</v>
      </c>
      <c r="L96" s="36" t="s">
        <v>25</v>
      </c>
      <c r="M96"/>
      <c r="N96"/>
      <c r="O96"/>
      <c r="P96"/>
      <c r="Q96"/>
      <c r="R96"/>
      <c r="S96"/>
      <c r="T96"/>
    </row>
    <row r="97" spans="1:20" x14ac:dyDescent="0.25">
      <c r="A97" s="1">
        <v>44590</v>
      </c>
      <c r="B97" s="1" t="s">
        <v>12</v>
      </c>
      <c r="D97" s="1">
        <v>28464</v>
      </c>
      <c r="E97" s="1" t="s">
        <v>4</v>
      </c>
      <c r="J97" s="1">
        <v>14900</v>
      </c>
      <c r="K97" s="1" t="s">
        <v>13</v>
      </c>
      <c r="L97" s="36" t="s">
        <v>25</v>
      </c>
      <c r="M97"/>
      <c r="N97"/>
      <c r="O97"/>
      <c r="P97"/>
      <c r="Q97"/>
      <c r="R97"/>
      <c r="S97"/>
      <c r="T97"/>
    </row>
    <row r="98" spans="1:20" x14ac:dyDescent="0.25">
      <c r="A98" s="1">
        <v>44591</v>
      </c>
      <c r="B98" s="1" t="s">
        <v>12</v>
      </c>
      <c r="D98" s="1">
        <v>28579</v>
      </c>
      <c r="E98" s="1" t="s">
        <v>4</v>
      </c>
      <c r="J98" s="1">
        <v>14959</v>
      </c>
      <c r="K98" s="36" t="s">
        <v>18</v>
      </c>
      <c r="L98" s="36" t="s">
        <v>37</v>
      </c>
      <c r="M98"/>
      <c r="N98"/>
      <c r="O98"/>
      <c r="P98"/>
      <c r="Q98"/>
      <c r="R98"/>
      <c r="S98"/>
      <c r="T98"/>
    </row>
    <row r="99" spans="1:20" x14ac:dyDescent="0.25">
      <c r="A99" s="1">
        <v>44592</v>
      </c>
      <c r="B99" s="1" t="s">
        <v>12</v>
      </c>
      <c r="D99" s="1">
        <v>28897</v>
      </c>
      <c r="E99" s="1" t="s">
        <v>4</v>
      </c>
      <c r="J99" s="1">
        <v>14960</v>
      </c>
      <c r="K99" s="36" t="s">
        <v>15</v>
      </c>
      <c r="L99" s="36" t="s">
        <v>45</v>
      </c>
      <c r="M99"/>
      <c r="N99"/>
      <c r="O99"/>
      <c r="P99"/>
      <c r="Q99"/>
      <c r="R99"/>
      <c r="S99"/>
      <c r="T99"/>
    </row>
    <row r="100" spans="1:20" x14ac:dyDescent="0.25">
      <c r="A100" s="1">
        <v>44593</v>
      </c>
      <c r="B100" s="1" t="s">
        <v>12</v>
      </c>
      <c r="D100" s="1">
        <v>30431</v>
      </c>
      <c r="E100" s="1" t="s">
        <v>4</v>
      </c>
      <c r="J100" s="1"/>
      <c r="K100" s="36" t="s">
        <v>18</v>
      </c>
      <c r="L100" s="36" t="s">
        <v>37</v>
      </c>
      <c r="M100"/>
      <c r="N100"/>
      <c r="O100"/>
      <c r="P100"/>
      <c r="Q100"/>
      <c r="R100"/>
      <c r="S100"/>
      <c r="T100"/>
    </row>
    <row r="101" spans="1:20" x14ac:dyDescent="0.25">
      <c r="A101" s="1">
        <v>44594</v>
      </c>
      <c r="B101" s="1" t="s">
        <v>12</v>
      </c>
      <c r="D101" s="1">
        <v>30444</v>
      </c>
      <c r="E101" s="1" t="s">
        <v>4</v>
      </c>
      <c r="J101" s="1">
        <v>14961</v>
      </c>
      <c r="K101" s="1" t="s">
        <v>18</v>
      </c>
      <c r="L101" s="36" t="s">
        <v>37</v>
      </c>
      <c r="M101"/>
      <c r="N101"/>
      <c r="O101"/>
      <c r="P101"/>
      <c r="Q101"/>
      <c r="R101"/>
      <c r="S101"/>
      <c r="T101"/>
    </row>
    <row r="102" spans="1:20" x14ac:dyDescent="0.25">
      <c r="A102" s="1">
        <v>44595</v>
      </c>
      <c r="B102" s="1" t="s">
        <v>12</v>
      </c>
      <c r="D102" s="1">
        <v>30934</v>
      </c>
      <c r="E102" s="1" t="s">
        <v>4</v>
      </c>
      <c r="J102" s="1">
        <v>14962</v>
      </c>
      <c r="K102" s="36" t="s">
        <v>18</v>
      </c>
      <c r="L102" s="36" t="s">
        <v>37</v>
      </c>
      <c r="M102"/>
      <c r="N102"/>
      <c r="O102"/>
      <c r="P102"/>
      <c r="Q102"/>
      <c r="R102"/>
      <c r="S102"/>
      <c r="T102"/>
    </row>
    <row r="103" spans="1:20" x14ac:dyDescent="0.25">
      <c r="A103" s="1">
        <v>44596</v>
      </c>
      <c r="B103" s="1" t="s">
        <v>12</v>
      </c>
      <c r="D103" s="1">
        <v>31225</v>
      </c>
      <c r="E103" s="1" t="s">
        <v>4</v>
      </c>
      <c r="J103" s="1">
        <v>15026</v>
      </c>
      <c r="K103" s="36" t="s">
        <v>15</v>
      </c>
      <c r="L103" s="36" t="s">
        <v>41</v>
      </c>
      <c r="M103"/>
      <c r="N103"/>
      <c r="O103"/>
      <c r="P103"/>
      <c r="Q103"/>
      <c r="R103"/>
      <c r="S103"/>
      <c r="T103"/>
    </row>
    <row r="104" spans="1:20" x14ac:dyDescent="0.25">
      <c r="A104" s="1">
        <v>44597</v>
      </c>
      <c r="B104" s="1" t="s">
        <v>12</v>
      </c>
      <c r="D104" s="1">
        <v>31855</v>
      </c>
      <c r="E104" s="1" t="s">
        <v>4</v>
      </c>
      <c r="J104" s="1"/>
      <c r="K104" s="36" t="s">
        <v>13</v>
      </c>
      <c r="L104" s="36" t="s">
        <v>25</v>
      </c>
      <c r="M104"/>
      <c r="N104"/>
      <c r="O104"/>
      <c r="P104"/>
      <c r="Q104"/>
      <c r="R104"/>
      <c r="S104"/>
      <c r="T104"/>
    </row>
    <row r="105" spans="1:20" x14ac:dyDescent="0.25">
      <c r="A105" s="1">
        <v>44598</v>
      </c>
      <c r="B105" s="1" t="s">
        <v>12</v>
      </c>
      <c r="D105" s="1">
        <v>33748</v>
      </c>
      <c r="E105" s="1" t="s">
        <v>4</v>
      </c>
      <c r="J105" s="1"/>
      <c r="K105" s="1" t="s">
        <v>28</v>
      </c>
      <c r="L105" s="1" t="s">
        <v>46</v>
      </c>
      <c r="M105"/>
      <c r="N105"/>
      <c r="O105"/>
      <c r="P105"/>
      <c r="Q105"/>
      <c r="R105"/>
      <c r="S105"/>
      <c r="T105"/>
    </row>
    <row r="106" spans="1:20" x14ac:dyDescent="0.25">
      <c r="A106" s="1">
        <v>44599</v>
      </c>
      <c r="B106" s="1" t="s">
        <v>12</v>
      </c>
      <c r="D106" s="1">
        <v>34398</v>
      </c>
      <c r="E106" s="1" t="s">
        <v>4</v>
      </c>
      <c r="J106" s="1">
        <v>15171</v>
      </c>
      <c r="K106" s="36" t="s">
        <v>16</v>
      </c>
      <c r="L106" s="41" t="s">
        <v>26</v>
      </c>
      <c r="M106"/>
      <c r="N106"/>
      <c r="O106"/>
      <c r="P106"/>
      <c r="Q106"/>
      <c r="R106"/>
      <c r="S106"/>
      <c r="T106"/>
    </row>
    <row r="107" spans="1:20" x14ac:dyDescent="0.25">
      <c r="A107" s="1">
        <v>44600</v>
      </c>
      <c r="B107" s="1" t="s">
        <v>12</v>
      </c>
      <c r="D107" s="1">
        <v>35206</v>
      </c>
      <c r="E107" s="1" t="s">
        <v>4</v>
      </c>
      <c r="J107" s="1"/>
      <c r="K107" s="36" t="s">
        <v>13</v>
      </c>
      <c r="L107" s="36" t="s">
        <v>25</v>
      </c>
      <c r="M107"/>
      <c r="N107"/>
      <c r="O107"/>
      <c r="P107"/>
      <c r="Q107"/>
      <c r="R107"/>
      <c r="S107"/>
      <c r="T107"/>
    </row>
    <row r="108" spans="1:20" x14ac:dyDescent="0.25">
      <c r="A108" s="1">
        <v>44601</v>
      </c>
      <c r="B108" s="1" t="s">
        <v>12</v>
      </c>
      <c r="D108" s="1">
        <v>35234</v>
      </c>
      <c r="E108" s="1" t="s">
        <v>4</v>
      </c>
      <c r="J108" s="1"/>
      <c r="K108" s="1" t="s">
        <v>28</v>
      </c>
      <c r="L108" s="1" t="s">
        <v>47</v>
      </c>
      <c r="M108"/>
      <c r="N108"/>
      <c r="O108"/>
      <c r="P108"/>
      <c r="Q108"/>
      <c r="R108"/>
      <c r="S108"/>
      <c r="T108"/>
    </row>
    <row r="109" spans="1:20" x14ac:dyDescent="0.25">
      <c r="A109" s="1">
        <v>44602</v>
      </c>
      <c r="B109" s="1" t="s">
        <v>12</v>
      </c>
      <c r="D109" s="1">
        <v>35291</v>
      </c>
      <c r="E109" s="1" t="s">
        <v>4</v>
      </c>
      <c r="J109" s="1">
        <v>16022</v>
      </c>
      <c r="K109" s="1" t="s">
        <v>13</v>
      </c>
      <c r="L109" s="36" t="s">
        <v>25</v>
      </c>
      <c r="M109"/>
      <c r="N109"/>
      <c r="O109"/>
      <c r="P109"/>
      <c r="Q109"/>
      <c r="R109"/>
      <c r="S109"/>
      <c r="T109"/>
    </row>
    <row r="110" spans="1:20" x14ac:dyDescent="0.25">
      <c r="A110" s="1">
        <v>44603</v>
      </c>
      <c r="B110" s="1" t="s">
        <v>12</v>
      </c>
      <c r="D110" s="1">
        <v>35714</v>
      </c>
      <c r="E110" s="1" t="s">
        <v>4</v>
      </c>
      <c r="J110" s="1">
        <v>16267</v>
      </c>
      <c r="K110" s="36" t="s">
        <v>15</v>
      </c>
      <c r="L110" s="36" t="s">
        <v>48</v>
      </c>
      <c r="M110"/>
      <c r="N110"/>
      <c r="O110"/>
      <c r="P110"/>
      <c r="Q110"/>
      <c r="R110"/>
      <c r="S110"/>
      <c r="T110"/>
    </row>
    <row r="111" spans="1:20" x14ac:dyDescent="0.25">
      <c r="A111" s="1">
        <v>44604</v>
      </c>
      <c r="B111" s="1" t="s">
        <v>12</v>
      </c>
      <c r="D111" s="1">
        <v>37020</v>
      </c>
      <c r="E111" s="1" t="s">
        <v>4</v>
      </c>
      <c r="J111" s="1">
        <v>16272</v>
      </c>
      <c r="K111" s="1" t="s">
        <v>15</v>
      </c>
      <c r="L111" s="36" t="s">
        <v>48</v>
      </c>
      <c r="M111"/>
      <c r="N111"/>
      <c r="O111"/>
      <c r="P111"/>
      <c r="Q111"/>
      <c r="R111"/>
      <c r="S111"/>
      <c r="T111"/>
    </row>
    <row r="112" spans="1:20" x14ac:dyDescent="0.25">
      <c r="A112" s="1">
        <v>44605</v>
      </c>
      <c r="B112" s="1" t="s">
        <v>12</v>
      </c>
      <c r="D112" s="1">
        <v>37021</v>
      </c>
      <c r="E112" s="1" t="s">
        <v>4</v>
      </c>
      <c r="J112" s="1">
        <v>16310</v>
      </c>
      <c r="K112" s="1" t="s">
        <v>15</v>
      </c>
      <c r="L112" s="36" t="s">
        <v>48</v>
      </c>
      <c r="M112"/>
      <c r="N112"/>
      <c r="O112"/>
      <c r="P112"/>
      <c r="Q112"/>
      <c r="R112"/>
      <c r="S112"/>
      <c r="T112"/>
    </row>
    <row r="113" spans="1:20" x14ac:dyDescent="0.25">
      <c r="A113" s="1">
        <v>44606</v>
      </c>
      <c r="B113" s="1" t="s">
        <v>12</v>
      </c>
      <c r="D113" s="1">
        <v>37022</v>
      </c>
      <c r="E113" s="1" t="s">
        <v>4</v>
      </c>
      <c r="J113" s="1">
        <v>16311</v>
      </c>
      <c r="K113" s="1" t="s">
        <v>15</v>
      </c>
      <c r="L113" s="36" t="s">
        <v>48</v>
      </c>
      <c r="M113"/>
      <c r="N113"/>
      <c r="O113"/>
      <c r="P113"/>
      <c r="Q113"/>
      <c r="R113"/>
      <c r="S113"/>
      <c r="T113"/>
    </row>
    <row r="114" spans="1:20" x14ac:dyDescent="0.25">
      <c r="A114" s="1">
        <v>44607</v>
      </c>
      <c r="B114" s="1" t="s">
        <v>12</v>
      </c>
      <c r="D114" s="1">
        <v>37023</v>
      </c>
      <c r="E114" s="1" t="s">
        <v>4</v>
      </c>
      <c r="J114" s="1">
        <v>16316</v>
      </c>
      <c r="K114" s="1" t="s">
        <v>15</v>
      </c>
      <c r="L114" s="36" t="s">
        <v>48</v>
      </c>
      <c r="M114"/>
      <c r="N114"/>
      <c r="O114"/>
      <c r="P114"/>
      <c r="Q114"/>
      <c r="R114"/>
      <c r="S114"/>
      <c r="T114"/>
    </row>
    <row r="115" spans="1:20" x14ac:dyDescent="0.25">
      <c r="A115" s="1">
        <v>44608</v>
      </c>
      <c r="B115" s="1" t="s">
        <v>12</v>
      </c>
      <c r="D115" s="1">
        <v>37024</v>
      </c>
      <c r="E115" s="1" t="s">
        <v>4</v>
      </c>
      <c r="J115" s="1">
        <v>16319</v>
      </c>
      <c r="K115" s="1" t="s">
        <v>15</v>
      </c>
      <c r="L115" s="36" t="s">
        <v>48</v>
      </c>
      <c r="M115"/>
      <c r="N115"/>
      <c r="O115"/>
      <c r="P115"/>
      <c r="Q115"/>
      <c r="R115"/>
      <c r="S115"/>
      <c r="T115"/>
    </row>
    <row r="116" spans="1:20" x14ac:dyDescent="0.25">
      <c r="A116" s="1">
        <v>44609</v>
      </c>
      <c r="B116" s="1" t="s">
        <v>12</v>
      </c>
      <c r="D116" s="1">
        <v>37025</v>
      </c>
      <c r="E116" s="1" t="s">
        <v>4</v>
      </c>
      <c r="J116" s="1">
        <v>16324</v>
      </c>
      <c r="K116" s="1" t="s">
        <v>15</v>
      </c>
      <c r="L116" s="36" t="s">
        <v>48</v>
      </c>
      <c r="M116"/>
      <c r="N116"/>
      <c r="O116"/>
      <c r="P116"/>
      <c r="Q116"/>
      <c r="R116"/>
      <c r="S116"/>
      <c r="T116"/>
    </row>
    <row r="117" spans="1:20" x14ac:dyDescent="0.25">
      <c r="A117" s="1">
        <v>44610</v>
      </c>
      <c r="B117" s="1" t="s">
        <v>12</v>
      </c>
      <c r="D117" s="1">
        <v>37550</v>
      </c>
      <c r="E117" s="1" t="s">
        <v>4</v>
      </c>
      <c r="J117" s="1">
        <v>16327</v>
      </c>
      <c r="K117" s="1" t="s">
        <v>15</v>
      </c>
      <c r="L117" s="36" t="s">
        <v>48</v>
      </c>
      <c r="M117"/>
      <c r="N117"/>
      <c r="O117"/>
      <c r="P117"/>
      <c r="Q117"/>
      <c r="R117"/>
      <c r="S117"/>
      <c r="T117"/>
    </row>
    <row r="118" spans="1:20" x14ac:dyDescent="0.25">
      <c r="A118" s="1">
        <v>44611</v>
      </c>
      <c r="B118" s="1" t="s">
        <v>12</v>
      </c>
      <c r="D118" s="1">
        <v>37551</v>
      </c>
      <c r="E118" s="1" t="s">
        <v>4</v>
      </c>
      <c r="J118" s="1">
        <v>16328</v>
      </c>
      <c r="K118" s="1" t="s">
        <v>15</v>
      </c>
      <c r="L118" s="36" t="s">
        <v>48</v>
      </c>
      <c r="M118"/>
      <c r="N118"/>
      <c r="O118"/>
      <c r="P118"/>
      <c r="Q118"/>
      <c r="R118"/>
      <c r="S118"/>
      <c r="T118"/>
    </row>
    <row r="119" spans="1:20" x14ac:dyDescent="0.25">
      <c r="A119" s="1">
        <v>44612</v>
      </c>
      <c r="B119" s="1" t="s">
        <v>12</v>
      </c>
      <c r="D119" s="1">
        <v>37552</v>
      </c>
      <c r="E119" s="1" t="s">
        <v>4</v>
      </c>
      <c r="J119" s="1">
        <v>16329</v>
      </c>
      <c r="K119" s="1" t="s">
        <v>15</v>
      </c>
      <c r="L119" s="36" t="s">
        <v>48</v>
      </c>
      <c r="M119"/>
      <c r="N119"/>
      <c r="O119"/>
      <c r="P119"/>
      <c r="Q119"/>
      <c r="R119"/>
      <c r="S119"/>
      <c r="T119"/>
    </row>
    <row r="120" spans="1:20" x14ac:dyDescent="0.25">
      <c r="A120" s="1">
        <v>44613</v>
      </c>
      <c r="B120" s="1" t="s">
        <v>12</v>
      </c>
      <c r="D120" s="1">
        <v>37553</v>
      </c>
      <c r="E120" s="1" t="s">
        <v>4</v>
      </c>
      <c r="J120" s="1">
        <v>16330</v>
      </c>
      <c r="K120" s="1" t="s">
        <v>15</v>
      </c>
      <c r="L120" s="36" t="s">
        <v>48</v>
      </c>
      <c r="M120"/>
      <c r="N120"/>
      <c r="O120"/>
      <c r="P120"/>
      <c r="Q120"/>
      <c r="R120"/>
      <c r="S120"/>
      <c r="T120"/>
    </row>
    <row r="121" spans="1:20" x14ac:dyDescent="0.25">
      <c r="A121" s="1">
        <v>44614</v>
      </c>
      <c r="B121" s="1" t="s">
        <v>12</v>
      </c>
      <c r="D121" s="1">
        <v>37554</v>
      </c>
      <c r="E121" s="1" t="s">
        <v>4</v>
      </c>
      <c r="J121" s="1">
        <v>16331</v>
      </c>
      <c r="K121" s="1" t="s">
        <v>15</v>
      </c>
      <c r="L121" s="36" t="s">
        <v>48</v>
      </c>
      <c r="M121"/>
      <c r="N121"/>
      <c r="O121"/>
      <c r="P121"/>
      <c r="Q121"/>
      <c r="R121"/>
      <c r="S121"/>
      <c r="T121"/>
    </row>
    <row r="122" spans="1:20" x14ac:dyDescent="0.25">
      <c r="A122" s="1">
        <v>44615</v>
      </c>
      <c r="B122" s="1" t="s">
        <v>12</v>
      </c>
      <c r="D122" s="1">
        <v>37756</v>
      </c>
      <c r="E122" s="1" t="s">
        <v>4</v>
      </c>
      <c r="J122" s="1">
        <v>17253</v>
      </c>
      <c r="K122" s="36" t="s">
        <v>13</v>
      </c>
      <c r="L122" s="36" t="s">
        <v>25</v>
      </c>
      <c r="M122"/>
      <c r="N122"/>
      <c r="O122"/>
      <c r="P122"/>
      <c r="Q122"/>
      <c r="R122"/>
      <c r="S122"/>
      <c r="T122"/>
    </row>
    <row r="123" spans="1:20" x14ac:dyDescent="0.25">
      <c r="A123" s="1">
        <v>44616</v>
      </c>
      <c r="B123" s="1" t="s">
        <v>12</v>
      </c>
      <c r="D123" s="1">
        <v>38114</v>
      </c>
      <c r="E123" s="1" t="s">
        <v>4</v>
      </c>
      <c r="J123" s="1">
        <v>17352</v>
      </c>
      <c r="K123" s="36" t="s">
        <v>15</v>
      </c>
      <c r="L123" s="36" t="s">
        <v>22</v>
      </c>
      <c r="M123"/>
      <c r="N123"/>
      <c r="O123"/>
      <c r="P123"/>
      <c r="Q123"/>
      <c r="R123"/>
      <c r="S123"/>
      <c r="T123"/>
    </row>
    <row r="124" spans="1:20" x14ac:dyDescent="0.25">
      <c r="A124" s="1">
        <v>44617</v>
      </c>
      <c r="B124" s="1" t="s">
        <v>12</v>
      </c>
      <c r="D124" s="1">
        <v>40052</v>
      </c>
      <c r="E124" s="1" t="s">
        <v>4</v>
      </c>
      <c r="J124" s="1"/>
      <c r="K124" s="36"/>
      <c r="L124" s="36" t="s">
        <v>25</v>
      </c>
      <c r="M124"/>
      <c r="N124"/>
      <c r="O124"/>
      <c r="P124"/>
      <c r="Q124"/>
      <c r="R124"/>
      <c r="S124"/>
      <c r="T124"/>
    </row>
    <row r="125" spans="1:20" x14ac:dyDescent="0.25">
      <c r="A125" s="1">
        <v>44618</v>
      </c>
      <c r="B125" s="1" t="s">
        <v>12</v>
      </c>
      <c r="D125" s="1">
        <v>40053</v>
      </c>
      <c r="E125" s="1" t="s">
        <v>4</v>
      </c>
      <c r="J125" s="1"/>
      <c r="K125" s="36" t="s">
        <v>13</v>
      </c>
      <c r="L125" s="36" t="s">
        <v>25</v>
      </c>
      <c r="M125"/>
      <c r="N125"/>
      <c r="O125"/>
      <c r="P125"/>
      <c r="Q125"/>
      <c r="R125"/>
      <c r="S125"/>
      <c r="T125"/>
    </row>
    <row r="126" spans="1:20" x14ac:dyDescent="0.25">
      <c r="A126" s="1">
        <v>44619</v>
      </c>
      <c r="B126" s="1" t="s">
        <v>12</v>
      </c>
      <c r="D126" s="1">
        <v>40125</v>
      </c>
      <c r="E126" s="1" t="s">
        <v>4</v>
      </c>
      <c r="J126" s="1">
        <v>17388</v>
      </c>
      <c r="K126" s="1" t="s">
        <v>13</v>
      </c>
      <c r="L126" s="36" t="s">
        <v>25</v>
      </c>
      <c r="M126"/>
      <c r="N126"/>
      <c r="O126"/>
      <c r="P126"/>
      <c r="Q126"/>
      <c r="R126"/>
      <c r="S126"/>
      <c r="T126"/>
    </row>
    <row r="127" spans="1:20" x14ac:dyDescent="0.25">
      <c r="A127" s="1">
        <v>44620</v>
      </c>
      <c r="B127" s="1" t="s">
        <v>12</v>
      </c>
      <c r="D127" s="1">
        <v>40452</v>
      </c>
      <c r="E127" s="1" t="s">
        <v>4</v>
      </c>
      <c r="J127" s="1">
        <v>17389</v>
      </c>
      <c r="K127" s="1" t="s">
        <v>13</v>
      </c>
      <c r="L127" s="36" t="s">
        <v>25</v>
      </c>
      <c r="M127"/>
      <c r="N127"/>
      <c r="O127"/>
      <c r="P127"/>
      <c r="Q127"/>
      <c r="R127"/>
      <c r="S127"/>
      <c r="T127"/>
    </row>
    <row r="128" spans="1:20" x14ac:dyDescent="0.25">
      <c r="A128" s="1">
        <v>44621</v>
      </c>
      <c r="B128" s="1" t="s">
        <v>12</v>
      </c>
      <c r="D128" s="1">
        <v>40776</v>
      </c>
      <c r="E128" s="1" t="s">
        <v>4</v>
      </c>
      <c r="J128" s="1">
        <v>17390</v>
      </c>
      <c r="K128" s="1" t="s">
        <v>13</v>
      </c>
      <c r="L128" s="36" t="s">
        <v>25</v>
      </c>
      <c r="M128"/>
      <c r="N128"/>
      <c r="O128"/>
      <c r="P128"/>
      <c r="Q128"/>
      <c r="R128"/>
      <c r="S128"/>
      <c r="T128"/>
    </row>
    <row r="129" spans="1:20" x14ac:dyDescent="0.25">
      <c r="A129" s="1">
        <v>44622</v>
      </c>
      <c r="B129" s="1" t="s">
        <v>12</v>
      </c>
      <c r="D129" s="1">
        <v>40855</v>
      </c>
      <c r="E129" s="1" t="s">
        <v>4</v>
      </c>
      <c r="J129" s="1">
        <v>17391</v>
      </c>
      <c r="K129" s="1" t="s">
        <v>13</v>
      </c>
      <c r="L129" s="36" t="s">
        <v>25</v>
      </c>
      <c r="M129"/>
      <c r="N129"/>
      <c r="O129"/>
      <c r="P129"/>
      <c r="Q129"/>
      <c r="R129"/>
      <c r="S129"/>
      <c r="T129"/>
    </row>
    <row r="130" spans="1:20" x14ac:dyDescent="0.25">
      <c r="A130" s="1">
        <v>44636</v>
      </c>
      <c r="B130" s="1" t="s">
        <v>12</v>
      </c>
      <c r="D130" s="1">
        <v>42520</v>
      </c>
      <c r="E130" s="1" t="s">
        <v>4</v>
      </c>
      <c r="J130" s="1">
        <v>17392</v>
      </c>
      <c r="K130" s="1" t="s">
        <v>13</v>
      </c>
      <c r="L130" s="36" t="s">
        <v>25</v>
      </c>
      <c r="M130"/>
      <c r="N130"/>
      <c r="O130"/>
      <c r="P130"/>
      <c r="Q130"/>
      <c r="R130"/>
      <c r="S130"/>
      <c r="T130"/>
    </row>
    <row r="131" spans="1:20" x14ac:dyDescent="0.25">
      <c r="A131" s="1">
        <v>44665</v>
      </c>
      <c r="B131" s="1" t="s">
        <v>12</v>
      </c>
      <c r="D131" s="1">
        <v>42914</v>
      </c>
      <c r="E131" s="1" t="s">
        <v>4</v>
      </c>
      <c r="J131" s="1">
        <v>17393</v>
      </c>
      <c r="K131" s="1" t="s">
        <v>13</v>
      </c>
      <c r="L131" s="36" t="s">
        <v>25</v>
      </c>
      <c r="M131"/>
      <c r="N131"/>
      <c r="O131"/>
      <c r="P131"/>
      <c r="Q131"/>
      <c r="R131"/>
      <c r="S131"/>
      <c r="T131"/>
    </row>
    <row r="132" spans="1:20" x14ac:dyDescent="0.25">
      <c r="A132" s="1">
        <v>48634</v>
      </c>
      <c r="B132" s="1" t="s">
        <v>12</v>
      </c>
      <c r="D132" s="1">
        <v>43247</v>
      </c>
      <c r="E132" s="1" t="s">
        <v>4</v>
      </c>
      <c r="J132" s="1">
        <v>18217</v>
      </c>
      <c r="K132" s="36" t="s">
        <v>15</v>
      </c>
      <c r="L132" s="36" t="s">
        <v>22</v>
      </c>
      <c r="M132"/>
      <c r="N132"/>
      <c r="O132"/>
      <c r="P132"/>
      <c r="Q132"/>
      <c r="R132"/>
      <c r="S132"/>
      <c r="T132"/>
    </row>
    <row r="133" spans="1:20" x14ac:dyDescent="0.25">
      <c r="A133" s="1">
        <v>48635</v>
      </c>
      <c r="B133" s="1" t="s">
        <v>12</v>
      </c>
      <c r="D133" s="1">
        <v>43780</v>
      </c>
      <c r="E133" s="1" t="s">
        <v>4</v>
      </c>
      <c r="J133" s="1"/>
      <c r="K133" s="36"/>
      <c r="L133" s="36" t="s">
        <v>49</v>
      </c>
      <c r="M133"/>
      <c r="N133"/>
      <c r="O133"/>
      <c r="P133"/>
      <c r="Q133"/>
      <c r="R133"/>
      <c r="S133"/>
      <c r="T133"/>
    </row>
    <row r="134" spans="1:20" x14ac:dyDescent="0.25">
      <c r="A134" s="1">
        <v>51921</v>
      </c>
      <c r="B134" s="1" t="s">
        <v>12</v>
      </c>
      <c r="D134" s="1">
        <v>43994</v>
      </c>
      <c r="E134" s="1" t="s">
        <v>4</v>
      </c>
      <c r="J134" s="1"/>
      <c r="K134" s="36" t="s">
        <v>13</v>
      </c>
      <c r="L134" s="36" t="s">
        <v>25</v>
      </c>
      <c r="M134"/>
      <c r="N134"/>
      <c r="O134"/>
      <c r="P134"/>
      <c r="Q134"/>
      <c r="R134"/>
      <c r="S134"/>
      <c r="T134"/>
    </row>
    <row r="135" spans="1:20" x14ac:dyDescent="0.25">
      <c r="A135" s="1">
        <v>51956</v>
      </c>
      <c r="B135" s="1" t="s">
        <v>12</v>
      </c>
      <c r="D135" s="1">
        <v>47637</v>
      </c>
      <c r="E135" s="1" t="s">
        <v>4</v>
      </c>
      <c r="J135" s="1">
        <v>18657</v>
      </c>
      <c r="K135" s="36" t="s">
        <v>15</v>
      </c>
      <c r="L135" s="36" t="s">
        <v>50</v>
      </c>
      <c r="M135"/>
      <c r="N135"/>
      <c r="O135"/>
      <c r="P135"/>
      <c r="Q135"/>
      <c r="R135"/>
      <c r="S135"/>
      <c r="T135"/>
    </row>
    <row r="136" spans="1:20" x14ac:dyDescent="0.25">
      <c r="A136" s="1">
        <v>51957</v>
      </c>
      <c r="B136" s="1" t="s">
        <v>12</v>
      </c>
      <c r="D136" s="1">
        <v>47638</v>
      </c>
      <c r="E136" s="1" t="s">
        <v>4</v>
      </c>
      <c r="J136" s="1">
        <v>19631</v>
      </c>
      <c r="K136" s="36" t="s">
        <v>13</v>
      </c>
      <c r="L136" s="36" t="s">
        <v>25</v>
      </c>
      <c r="M136"/>
      <c r="N136"/>
      <c r="O136"/>
      <c r="P136"/>
      <c r="Q136"/>
      <c r="R136"/>
      <c r="S136"/>
      <c r="T136"/>
    </row>
    <row r="137" spans="1:20" x14ac:dyDescent="0.25">
      <c r="A137" s="1">
        <v>53435</v>
      </c>
      <c r="B137" s="1" t="s">
        <v>12</v>
      </c>
      <c r="D137" s="1">
        <v>47639</v>
      </c>
      <c r="E137" s="1" t="s">
        <v>4</v>
      </c>
      <c r="J137" s="1">
        <v>20182</v>
      </c>
      <c r="K137" s="36" t="s">
        <v>15</v>
      </c>
      <c r="L137" s="36" t="s">
        <v>29</v>
      </c>
      <c r="M137"/>
      <c r="N137"/>
      <c r="O137"/>
      <c r="P137"/>
      <c r="Q137"/>
      <c r="R137"/>
      <c r="S137"/>
      <c r="T137"/>
    </row>
    <row r="138" spans="1:20" x14ac:dyDescent="0.25">
      <c r="A138" s="1">
        <v>53442</v>
      </c>
      <c r="B138" s="1" t="s">
        <v>12</v>
      </c>
      <c r="D138" s="1">
        <v>47640</v>
      </c>
      <c r="E138" s="1" t="s">
        <v>4</v>
      </c>
      <c r="J138" s="1">
        <v>20778</v>
      </c>
      <c r="K138" s="36" t="s">
        <v>13</v>
      </c>
      <c r="L138" s="36" t="s">
        <v>25</v>
      </c>
      <c r="M138"/>
      <c r="N138"/>
      <c r="O138"/>
      <c r="P138"/>
      <c r="Q138"/>
      <c r="R138"/>
      <c r="S138"/>
      <c r="T138"/>
    </row>
    <row r="139" spans="1:20" x14ac:dyDescent="0.25">
      <c r="A139" s="1">
        <v>53443</v>
      </c>
      <c r="B139" s="1" t="s">
        <v>12</v>
      </c>
      <c r="D139" s="1">
        <v>47941</v>
      </c>
      <c r="E139" s="1" t="s">
        <v>4</v>
      </c>
      <c r="J139" s="1">
        <v>20836</v>
      </c>
      <c r="K139" s="36" t="s">
        <v>15</v>
      </c>
      <c r="L139" s="36" t="s">
        <v>51</v>
      </c>
      <c r="M139"/>
      <c r="N139"/>
      <c r="O139"/>
      <c r="P139"/>
      <c r="Q139"/>
      <c r="R139"/>
      <c r="S139"/>
      <c r="T139"/>
    </row>
    <row r="140" spans="1:20" x14ac:dyDescent="0.25">
      <c r="A140" s="1">
        <v>53444</v>
      </c>
      <c r="B140" s="1" t="s">
        <v>12</v>
      </c>
      <c r="D140" s="1">
        <v>47942</v>
      </c>
      <c r="E140" s="1" t="s">
        <v>4</v>
      </c>
      <c r="J140" s="1">
        <v>21691</v>
      </c>
      <c r="K140" s="1" t="s">
        <v>15</v>
      </c>
      <c r="L140" s="36" t="s">
        <v>50</v>
      </c>
      <c r="M140"/>
      <c r="N140"/>
      <c r="O140"/>
      <c r="P140"/>
      <c r="Q140"/>
      <c r="R140"/>
      <c r="S140"/>
      <c r="T140"/>
    </row>
    <row r="141" spans="1:20" x14ac:dyDescent="0.25">
      <c r="A141" s="1">
        <v>53448</v>
      </c>
      <c r="B141" s="1" t="s">
        <v>12</v>
      </c>
      <c r="D141" s="1">
        <v>48347</v>
      </c>
      <c r="E141" s="1" t="s">
        <v>4</v>
      </c>
      <c r="J141" s="1">
        <v>21757</v>
      </c>
      <c r="K141" s="36" t="s">
        <v>13</v>
      </c>
      <c r="L141" s="36" t="s">
        <v>25</v>
      </c>
      <c r="M141"/>
      <c r="N141"/>
      <c r="O141"/>
      <c r="P141"/>
      <c r="Q141"/>
      <c r="R141"/>
      <c r="S141"/>
      <c r="T141"/>
    </row>
    <row r="142" spans="1:20" x14ac:dyDescent="0.25">
      <c r="A142" s="1">
        <v>53455</v>
      </c>
      <c r="B142" s="1" t="s">
        <v>12</v>
      </c>
      <c r="D142" s="1">
        <v>48437</v>
      </c>
      <c r="E142" s="1" t="s">
        <v>4</v>
      </c>
      <c r="J142" s="1">
        <v>22927</v>
      </c>
      <c r="K142" s="1" t="s">
        <v>13</v>
      </c>
      <c r="L142" s="36" t="s">
        <v>25</v>
      </c>
      <c r="M142"/>
      <c r="N142"/>
      <c r="O142"/>
      <c r="P142"/>
      <c r="Q142"/>
      <c r="R142"/>
      <c r="S142"/>
      <c r="T142"/>
    </row>
    <row r="143" spans="1:20" x14ac:dyDescent="0.25">
      <c r="A143" s="1">
        <v>53456</v>
      </c>
      <c r="B143" s="1" t="s">
        <v>12</v>
      </c>
      <c r="D143" s="1">
        <v>48499</v>
      </c>
      <c r="E143" s="1" t="s">
        <v>4</v>
      </c>
      <c r="J143" s="1">
        <v>23299</v>
      </c>
      <c r="K143" s="1" t="s">
        <v>16</v>
      </c>
      <c r="L143" s="43" t="s">
        <v>26</v>
      </c>
      <c r="M143"/>
      <c r="N143"/>
      <c r="O143"/>
      <c r="P143"/>
      <c r="Q143"/>
      <c r="R143"/>
      <c r="S143"/>
      <c r="T143"/>
    </row>
    <row r="144" spans="1:20" x14ac:dyDescent="0.25">
      <c r="A144" s="1">
        <v>53457</v>
      </c>
      <c r="B144" s="1" t="s">
        <v>12</v>
      </c>
      <c r="D144" s="1">
        <v>49260</v>
      </c>
      <c r="E144" s="1" t="s">
        <v>4</v>
      </c>
      <c r="J144" s="1">
        <v>23587</v>
      </c>
      <c r="K144" s="36" t="s">
        <v>13</v>
      </c>
      <c r="L144" s="36" t="s">
        <v>25</v>
      </c>
      <c r="M144"/>
      <c r="N144"/>
      <c r="O144"/>
      <c r="P144"/>
      <c r="Q144"/>
      <c r="R144"/>
      <c r="S144"/>
      <c r="T144"/>
    </row>
    <row r="145" spans="1:20" x14ac:dyDescent="0.25">
      <c r="A145" s="1">
        <v>53458</v>
      </c>
      <c r="B145" s="1" t="s">
        <v>12</v>
      </c>
      <c r="D145" s="1">
        <v>50102</v>
      </c>
      <c r="E145" s="1" t="s">
        <v>4</v>
      </c>
      <c r="J145" s="1">
        <v>26006</v>
      </c>
      <c r="K145" s="36" t="s">
        <v>15</v>
      </c>
      <c r="L145" s="36" t="s">
        <v>25</v>
      </c>
      <c r="M145"/>
      <c r="N145"/>
      <c r="O145"/>
      <c r="P145"/>
      <c r="Q145"/>
      <c r="R145"/>
      <c r="S145"/>
      <c r="T145"/>
    </row>
    <row r="146" spans="1:20" x14ac:dyDescent="0.25">
      <c r="A146" s="1">
        <v>53460</v>
      </c>
      <c r="B146" s="1" t="s">
        <v>12</v>
      </c>
      <c r="D146" s="1">
        <v>50257</v>
      </c>
      <c r="E146" s="1" t="s">
        <v>4</v>
      </c>
      <c r="J146" s="1">
        <v>26007</v>
      </c>
      <c r="K146" s="1" t="s">
        <v>15</v>
      </c>
      <c r="L146" s="36" t="s">
        <v>25</v>
      </c>
      <c r="M146"/>
      <c r="N146"/>
      <c r="O146"/>
      <c r="P146"/>
      <c r="Q146"/>
      <c r="R146"/>
      <c r="S146"/>
      <c r="T146"/>
    </row>
    <row r="147" spans="1:20" x14ac:dyDescent="0.25">
      <c r="A147" s="1">
        <v>53495</v>
      </c>
      <c r="B147" s="1" t="s">
        <v>12</v>
      </c>
      <c r="D147" s="1">
        <v>53234</v>
      </c>
      <c r="E147" s="1" t="s">
        <v>4</v>
      </c>
      <c r="J147" s="1">
        <v>26008</v>
      </c>
      <c r="K147" s="1" t="s">
        <v>15</v>
      </c>
      <c r="L147" s="36" t="s">
        <v>25</v>
      </c>
      <c r="M147"/>
      <c r="N147"/>
      <c r="O147"/>
      <c r="P147"/>
      <c r="Q147"/>
      <c r="R147"/>
      <c r="S147"/>
      <c r="T147"/>
    </row>
    <row r="148" spans="1:20" x14ac:dyDescent="0.25">
      <c r="A148" s="1">
        <v>53496</v>
      </c>
      <c r="B148" s="1" t="s">
        <v>12</v>
      </c>
      <c r="D148" s="1">
        <v>53434</v>
      </c>
      <c r="E148" s="1" t="s">
        <v>4</v>
      </c>
      <c r="J148" s="1">
        <v>26984</v>
      </c>
      <c r="K148" s="36" t="s">
        <v>13</v>
      </c>
      <c r="L148" s="36" t="s">
        <v>25</v>
      </c>
      <c r="M148"/>
      <c r="N148"/>
      <c r="O148"/>
      <c r="P148"/>
      <c r="Q148"/>
      <c r="R148"/>
      <c r="S148"/>
      <c r="T148"/>
    </row>
    <row r="149" spans="1:20" x14ac:dyDescent="0.25">
      <c r="A149" s="1">
        <v>53497</v>
      </c>
      <c r="B149" s="1" t="s">
        <v>12</v>
      </c>
      <c r="D149" s="1">
        <v>54581</v>
      </c>
      <c r="E149" s="1" t="s">
        <v>4</v>
      </c>
      <c r="J149" s="1">
        <v>27532</v>
      </c>
      <c r="K149" s="36" t="s">
        <v>15</v>
      </c>
      <c r="L149" s="36" t="s">
        <v>51</v>
      </c>
      <c r="M149"/>
      <c r="N149"/>
      <c r="O149"/>
      <c r="P149"/>
      <c r="Q149"/>
      <c r="R149"/>
      <c r="S149"/>
      <c r="T149"/>
    </row>
    <row r="150" spans="1:20" x14ac:dyDescent="0.25">
      <c r="A150" s="1">
        <v>53498</v>
      </c>
      <c r="B150" s="1" t="s">
        <v>12</v>
      </c>
      <c r="D150" s="1">
        <v>55045</v>
      </c>
      <c r="E150" s="1" t="s">
        <v>4</v>
      </c>
      <c r="J150" s="1"/>
      <c r="K150" s="36" t="s">
        <v>13</v>
      </c>
      <c r="L150" s="36" t="s">
        <v>25</v>
      </c>
      <c r="M150"/>
      <c r="N150"/>
      <c r="O150"/>
      <c r="P150"/>
      <c r="Q150"/>
      <c r="R150"/>
      <c r="S150"/>
      <c r="T150"/>
    </row>
    <row r="151" spans="1:20" x14ac:dyDescent="0.25">
      <c r="A151" s="1">
        <v>53499</v>
      </c>
      <c r="B151" s="1" t="s">
        <v>12</v>
      </c>
      <c r="D151" s="1">
        <v>56135</v>
      </c>
      <c r="E151" s="1" t="s">
        <v>4</v>
      </c>
      <c r="J151" s="1">
        <v>28464</v>
      </c>
      <c r="K151" s="36" t="s">
        <v>15</v>
      </c>
      <c r="L151" s="36" t="s">
        <v>52</v>
      </c>
      <c r="M151"/>
      <c r="N151"/>
      <c r="O151"/>
      <c r="P151"/>
      <c r="Q151"/>
      <c r="R151"/>
      <c r="S151"/>
      <c r="T151"/>
    </row>
    <row r="152" spans="1:20" x14ac:dyDescent="0.25">
      <c r="A152" s="1">
        <v>53500</v>
      </c>
      <c r="B152" s="1" t="s">
        <v>12</v>
      </c>
      <c r="D152" s="1">
        <v>56646</v>
      </c>
      <c r="E152" s="1" t="s">
        <v>4</v>
      </c>
      <c r="J152" s="1"/>
      <c r="K152" s="36"/>
      <c r="L152" s="36" t="s">
        <v>22</v>
      </c>
      <c r="M152"/>
      <c r="N152"/>
      <c r="O152"/>
      <c r="P152"/>
      <c r="Q152"/>
      <c r="R152"/>
      <c r="S152"/>
      <c r="T152"/>
    </row>
    <row r="153" spans="1:20" x14ac:dyDescent="0.25">
      <c r="A153" s="1">
        <v>53501</v>
      </c>
      <c r="B153" s="1" t="s">
        <v>12</v>
      </c>
      <c r="D153" s="1">
        <v>56647</v>
      </c>
      <c r="E153" s="1" t="s">
        <v>4</v>
      </c>
      <c r="J153" s="1">
        <v>28579</v>
      </c>
      <c r="K153" s="1" t="s">
        <v>15</v>
      </c>
      <c r="L153" s="1" t="s">
        <v>41</v>
      </c>
      <c r="M153"/>
      <c r="N153"/>
      <c r="O153"/>
      <c r="P153"/>
      <c r="Q153"/>
      <c r="R153"/>
      <c r="S153"/>
      <c r="T153"/>
    </row>
    <row r="154" spans="1:20" x14ac:dyDescent="0.25">
      <c r="A154" s="1">
        <v>53502</v>
      </c>
      <c r="B154" s="1" t="s">
        <v>12</v>
      </c>
      <c r="D154" s="1">
        <v>56648</v>
      </c>
      <c r="E154" s="1" t="s">
        <v>4</v>
      </c>
      <c r="J154" s="1"/>
      <c r="K154" s="1"/>
      <c r="L154" s="36" t="s">
        <v>53</v>
      </c>
      <c r="M154"/>
      <c r="N154"/>
      <c r="O154"/>
      <c r="P154"/>
      <c r="Q154"/>
      <c r="R154"/>
      <c r="S154"/>
      <c r="T154"/>
    </row>
    <row r="155" spans="1:20" x14ac:dyDescent="0.25">
      <c r="A155" s="1">
        <v>53503</v>
      </c>
      <c r="B155" s="1" t="s">
        <v>12</v>
      </c>
      <c r="D155" s="1">
        <v>56649</v>
      </c>
      <c r="E155" s="1" t="s">
        <v>4</v>
      </c>
      <c r="J155" s="1"/>
      <c r="K155" s="1" t="s">
        <v>28</v>
      </c>
      <c r="L155" s="1" t="s">
        <v>54</v>
      </c>
      <c r="M155"/>
      <c r="N155"/>
      <c r="O155"/>
      <c r="P155"/>
      <c r="Q155"/>
      <c r="R155"/>
      <c r="S155"/>
      <c r="T155"/>
    </row>
    <row r="156" spans="1:20" x14ac:dyDescent="0.25">
      <c r="A156" s="1">
        <v>53504</v>
      </c>
      <c r="B156" s="1" t="s">
        <v>12</v>
      </c>
      <c r="D156" s="1">
        <v>56650</v>
      </c>
      <c r="E156" s="1" t="s">
        <v>4</v>
      </c>
      <c r="J156" s="1">
        <v>28897</v>
      </c>
      <c r="K156" s="36" t="s">
        <v>13</v>
      </c>
      <c r="L156" s="36" t="s">
        <v>25</v>
      </c>
      <c r="M156"/>
      <c r="N156"/>
      <c r="O156"/>
      <c r="P156"/>
      <c r="Q156"/>
      <c r="R156"/>
      <c r="S156"/>
      <c r="T156"/>
    </row>
    <row r="157" spans="1:20" x14ac:dyDescent="0.25">
      <c r="A157" s="1">
        <v>53505</v>
      </c>
      <c r="B157" s="1" t="s">
        <v>12</v>
      </c>
      <c r="D157" s="1">
        <v>56667</v>
      </c>
      <c r="E157" s="1" t="s">
        <v>4</v>
      </c>
      <c r="J157" s="1">
        <v>30431</v>
      </c>
      <c r="K157" s="36" t="s">
        <v>15</v>
      </c>
      <c r="L157" s="36" t="s">
        <v>53</v>
      </c>
      <c r="M157"/>
      <c r="N157"/>
      <c r="O157"/>
      <c r="P157"/>
      <c r="Q157"/>
      <c r="R157"/>
      <c r="S157"/>
      <c r="T157"/>
    </row>
    <row r="158" spans="1:20" x14ac:dyDescent="0.25">
      <c r="A158" s="1">
        <v>53506</v>
      </c>
      <c r="B158" s="1" t="s">
        <v>12</v>
      </c>
      <c r="D158" s="1">
        <v>56915</v>
      </c>
      <c r="E158" s="1" t="s">
        <v>4</v>
      </c>
      <c r="J158" s="1">
        <v>30444</v>
      </c>
      <c r="K158" s="1" t="s">
        <v>15</v>
      </c>
      <c r="L158" s="36" t="s">
        <v>25</v>
      </c>
      <c r="M158"/>
      <c r="N158"/>
      <c r="O158"/>
      <c r="P158"/>
      <c r="Q158"/>
      <c r="R158"/>
      <c r="S158"/>
      <c r="T158"/>
    </row>
    <row r="159" spans="1:20" x14ac:dyDescent="0.25">
      <c r="A159" s="1">
        <v>53507</v>
      </c>
      <c r="B159" s="1" t="s">
        <v>12</v>
      </c>
      <c r="D159" s="1">
        <v>56956</v>
      </c>
      <c r="E159" s="1" t="s">
        <v>4</v>
      </c>
      <c r="J159" s="1"/>
      <c r="K159" s="36" t="s">
        <v>13</v>
      </c>
      <c r="L159" s="36" t="s">
        <v>25</v>
      </c>
      <c r="M159"/>
      <c r="N159"/>
      <c r="O159"/>
      <c r="P159"/>
      <c r="Q159"/>
      <c r="R159"/>
      <c r="S159"/>
      <c r="T159"/>
    </row>
    <row r="160" spans="1:20" x14ac:dyDescent="0.25">
      <c r="A160" s="1">
        <v>53508</v>
      </c>
      <c r="B160" s="1" t="s">
        <v>12</v>
      </c>
      <c r="D160" s="1">
        <v>57065</v>
      </c>
      <c r="E160" s="1" t="s">
        <v>4</v>
      </c>
      <c r="J160" s="1">
        <v>30934</v>
      </c>
      <c r="K160" s="36" t="s">
        <v>15</v>
      </c>
      <c r="L160" s="36" t="s">
        <v>22</v>
      </c>
      <c r="M160"/>
      <c r="N160"/>
      <c r="O160"/>
      <c r="P160"/>
      <c r="Q160"/>
      <c r="R160"/>
      <c r="S160"/>
      <c r="T160"/>
    </row>
    <row r="161" spans="1:20" x14ac:dyDescent="0.25">
      <c r="A161" s="1">
        <v>53509</v>
      </c>
      <c r="B161" s="1" t="s">
        <v>12</v>
      </c>
      <c r="D161" s="1">
        <v>58018</v>
      </c>
      <c r="E161" s="1" t="s">
        <v>4</v>
      </c>
      <c r="J161" s="1"/>
      <c r="K161" s="36"/>
      <c r="L161" s="36" t="s">
        <v>25</v>
      </c>
      <c r="M161"/>
      <c r="N161"/>
      <c r="O161"/>
      <c r="P161"/>
      <c r="Q161"/>
      <c r="R161"/>
      <c r="S161"/>
      <c r="T161"/>
    </row>
    <row r="162" spans="1:20" x14ac:dyDescent="0.25">
      <c r="A162" s="1">
        <v>53510</v>
      </c>
      <c r="B162" s="1" t="s">
        <v>12</v>
      </c>
      <c r="D162" s="1">
        <v>60210</v>
      </c>
      <c r="E162" s="1" t="s">
        <v>4</v>
      </c>
      <c r="J162" s="1">
        <v>31225</v>
      </c>
      <c r="K162" s="1" t="s">
        <v>15</v>
      </c>
      <c r="L162" s="36" t="s">
        <v>22</v>
      </c>
      <c r="M162"/>
      <c r="N162"/>
      <c r="O162"/>
      <c r="P162"/>
      <c r="Q162"/>
      <c r="R162"/>
      <c r="S162"/>
      <c r="T162"/>
    </row>
    <row r="163" spans="1:20" x14ac:dyDescent="0.25">
      <c r="A163" s="1">
        <v>53511</v>
      </c>
      <c r="B163" s="1" t="s">
        <v>12</v>
      </c>
      <c r="D163" s="1">
        <v>60830</v>
      </c>
      <c r="E163" s="1" t="s">
        <v>4</v>
      </c>
      <c r="J163" s="1"/>
      <c r="K163" s="36" t="s">
        <v>13</v>
      </c>
      <c r="L163" s="36" t="s">
        <v>25</v>
      </c>
      <c r="M163"/>
      <c r="N163"/>
      <c r="O163"/>
      <c r="P163"/>
      <c r="Q163"/>
      <c r="R163"/>
      <c r="S163"/>
      <c r="T163"/>
    </row>
    <row r="164" spans="1:20" x14ac:dyDescent="0.25">
      <c r="A164" s="1">
        <v>53512</v>
      </c>
      <c r="B164" s="1" t="s">
        <v>12</v>
      </c>
      <c r="D164" s="1">
        <v>61893</v>
      </c>
      <c r="E164" s="1" t="s">
        <v>4</v>
      </c>
      <c r="J164" s="1">
        <v>31855</v>
      </c>
      <c r="K164" s="1" t="s">
        <v>13</v>
      </c>
      <c r="L164" s="36" t="s">
        <v>25</v>
      </c>
      <c r="M164"/>
      <c r="N164"/>
      <c r="O164"/>
      <c r="P164"/>
      <c r="Q164"/>
      <c r="R164"/>
      <c r="S164"/>
      <c r="T164"/>
    </row>
    <row r="165" spans="1:20" x14ac:dyDescent="0.25">
      <c r="A165" s="1">
        <v>53513</v>
      </c>
      <c r="B165" s="1" t="s">
        <v>12</v>
      </c>
      <c r="D165" s="1">
        <v>63654</v>
      </c>
      <c r="E165" s="1" t="s">
        <v>4</v>
      </c>
      <c r="J165" s="1">
        <v>33748</v>
      </c>
      <c r="K165" s="36" t="s">
        <v>13</v>
      </c>
      <c r="L165" s="36" t="s">
        <v>25</v>
      </c>
      <c r="M165"/>
      <c r="N165"/>
      <c r="O165"/>
      <c r="P165"/>
      <c r="Q165"/>
      <c r="R165"/>
      <c r="S165"/>
      <c r="T165"/>
    </row>
    <row r="166" spans="1:20" x14ac:dyDescent="0.25">
      <c r="A166" s="1">
        <v>53514</v>
      </c>
      <c r="B166" s="1" t="s">
        <v>12</v>
      </c>
      <c r="D166" s="1">
        <v>63984</v>
      </c>
      <c r="E166" s="1" t="s">
        <v>4</v>
      </c>
      <c r="J166" s="1">
        <v>34398</v>
      </c>
      <c r="K166" s="1" t="s">
        <v>13</v>
      </c>
      <c r="L166" s="36" t="s">
        <v>25</v>
      </c>
      <c r="M166"/>
      <c r="N166"/>
      <c r="O166"/>
      <c r="P166"/>
      <c r="Q166"/>
      <c r="R166"/>
      <c r="S166"/>
      <c r="T166"/>
    </row>
    <row r="167" spans="1:20" x14ac:dyDescent="0.25">
      <c r="A167" s="1">
        <v>53515</v>
      </c>
      <c r="B167" s="1" t="s">
        <v>12</v>
      </c>
      <c r="D167" s="1">
        <v>65913</v>
      </c>
      <c r="E167" s="1" t="s">
        <v>4</v>
      </c>
      <c r="J167" s="1">
        <v>35206</v>
      </c>
      <c r="K167" s="36" t="s">
        <v>15</v>
      </c>
      <c r="L167" s="36" t="s">
        <v>55</v>
      </c>
      <c r="M167"/>
      <c r="N167"/>
      <c r="O167"/>
      <c r="P167"/>
      <c r="Q167"/>
      <c r="R167"/>
      <c r="S167"/>
      <c r="T167"/>
    </row>
    <row r="168" spans="1:20" x14ac:dyDescent="0.25">
      <c r="A168" s="1">
        <v>53516</v>
      </c>
      <c r="B168" s="1" t="s">
        <v>12</v>
      </c>
      <c r="D168" s="1">
        <v>66220</v>
      </c>
      <c r="E168" s="1" t="s">
        <v>4</v>
      </c>
      <c r="J168" s="1"/>
      <c r="K168" s="36" t="s">
        <v>21</v>
      </c>
      <c r="L168" s="36" t="s">
        <v>25</v>
      </c>
      <c r="M168"/>
      <c r="N168"/>
      <c r="O168"/>
      <c r="P168"/>
      <c r="Q168"/>
      <c r="R168"/>
      <c r="S168"/>
      <c r="T168"/>
    </row>
    <row r="169" spans="1:20" x14ac:dyDescent="0.25">
      <c r="A169" s="1">
        <v>53517</v>
      </c>
      <c r="B169" s="1" t="s">
        <v>12</v>
      </c>
      <c r="D169" s="1">
        <v>67927</v>
      </c>
      <c r="E169" s="1" t="s">
        <v>4</v>
      </c>
      <c r="J169" s="1"/>
      <c r="K169" s="1" t="s">
        <v>28</v>
      </c>
      <c r="L169" s="1" t="s">
        <v>21</v>
      </c>
      <c r="M169"/>
      <c r="N169"/>
      <c r="O169"/>
      <c r="P169"/>
      <c r="Q169"/>
      <c r="R169"/>
      <c r="S169"/>
      <c r="T169"/>
    </row>
    <row r="170" spans="1:20" x14ac:dyDescent="0.25">
      <c r="A170" s="1">
        <v>53518</v>
      </c>
      <c r="B170" s="1" t="s">
        <v>12</v>
      </c>
      <c r="D170" s="1">
        <v>68804</v>
      </c>
      <c r="E170" s="1" t="s">
        <v>4</v>
      </c>
      <c r="J170" s="1">
        <v>35234</v>
      </c>
      <c r="K170" s="36" t="s">
        <v>15</v>
      </c>
      <c r="L170" s="36" t="s">
        <v>29</v>
      </c>
      <c r="M170"/>
      <c r="N170"/>
      <c r="O170"/>
      <c r="P170"/>
      <c r="Q170"/>
      <c r="R170"/>
      <c r="S170"/>
      <c r="T170"/>
    </row>
    <row r="171" spans="1:20" x14ac:dyDescent="0.25">
      <c r="A171" s="1">
        <v>56292</v>
      </c>
      <c r="B171" s="1" t="s">
        <v>12</v>
      </c>
      <c r="D171" s="1">
        <v>68805</v>
      </c>
      <c r="E171" s="1" t="s">
        <v>4</v>
      </c>
      <c r="J171" s="1"/>
      <c r="K171" s="36" t="s">
        <v>13</v>
      </c>
      <c r="L171" s="1" t="s">
        <v>25</v>
      </c>
      <c r="M171"/>
      <c r="N171"/>
      <c r="O171"/>
      <c r="P171"/>
      <c r="Q171"/>
      <c r="R171"/>
      <c r="S171"/>
      <c r="T171"/>
    </row>
    <row r="172" spans="1:20" x14ac:dyDescent="0.25">
      <c r="A172" s="1">
        <v>56645</v>
      </c>
      <c r="B172" s="1" t="s">
        <v>12</v>
      </c>
      <c r="D172" s="1">
        <v>70940</v>
      </c>
      <c r="E172" s="1" t="s">
        <v>4</v>
      </c>
      <c r="J172" s="1">
        <v>35291</v>
      </c>
      <c r="K172" s="36" t="s">
        <v>15</v>
      </c>
      <c r="L172" s="36" t="s">
        <v>40</v>
      </c>
      <c r="M172"/>
      <c r="N172"/>
      <c r="O172"/>
      <c r="P172"/>
      <c r="Q172"/>
      <c r="R172"/>
      <c r="S172"/>
      <c r="T172"/>
    </row>
    <row r="173" spans="1:20" x14ac:dyDescent="0.25">
      <c r="A173" s="1">
        <v>57056</v>
      </c>
      <c r="B173" s="1" t="s">
        <v>12</v>
      </c>
      <c r="D173" s="1">
        <v>72536</v>
      </c>
      <c r="E173" s="1" t="s">
        <v>4</v>
      </c>
      <c r="J173" s="1"/>
      <c r="K173" s="36" t="s">
        <v>21</v>
      </c>
      <c r="L173" s="36" t="s">
        <v>25</v>
      </c>
      <c r="M173"/>
      <c r="N173"/>
      <c r="O173"/>
      <c r="P173"/>
      <c r="Q173"/>
      <c r="R173"/>
      <c r="S173"/>
      <c r="T173"/>
    </row>
    <row r="174" spans="1:20" x14ac:dyDescent="0.25">
      <c r="A174" s="1">
        <v>57547</v>
      </c>
      <c r="B174" s="1" t="s">
        <v>12</v>
      </c>
      <c r="D174" s="1">
        <v>78230</v>
      </c>
      <c r="E174" s="1" t="s">
        <v>4</v>
      </c>
      <c r="J174" s="1">
        <v>35714</v>
      </c>
      <c r="K174" s="36" t="s">
        <v>13</v>
      </c>
      <c r="L174" s="36" t="s">
        <v>25</v>
      </c>
      <c r="M174"/>
      <c r="N174"/>
      <c r="O174"/>
      <c r="P174"/>
      <c r="Q174"/>
      <c r="R174"/>
      <c r="S174"/>
      <c r="T174"/>
    </row>
    <row r="175" spans="1:20" x14ac:dyDescent="0.25">
      <c r="A175" s="1">
        <v>57894</v>
      </c>
      <c r="B175" s="1" t="s">
        <v>12</v>
      </c>
      <c r="D175" s="1">
        <v>78599</v>
      </c>
      <c r="E175" s="1" t="s">
        <v>4</v>
      </c>
      <c r="J175" s="1">
        <v>37020</v>
      </c>
      <c r="K175" s="1" t="s">
        <v>13</v>
      </c>
      <c r="L175" s="36" t="s">
        <v>25</v>
      </c>
      <c r="M175"/>
      <c r="N175"/>
      <c r="O175"/>
      <c r="P175"/>
      <c r="Q175"/>
      <c r="R175"/>
      <c r="S175"/>
      <c r="T175"/>
    </row>
    <row r="176" spans="1:20" x14ac:dyDescent="0.25">
      <c r="A176" s="1">
        <v>58020</v>
      </c>
      <c r="B176" s="1" t="s">
        <v>12</v>
      </c>
      <c r="D176" s="1">
        <v>78933</v>
      </c>
      <c r="E176" s="1" t="s">
        <v>4</v>
      </c>
      <c r="J176" s="1">
        <v>37021</v>
      </c>
      <c r="K176" s="1" t="s">
        <v>13</v>
      </c>
      <c r="L176" s="36" t="s">
        <v>25</v>
      </c>
      <c r="M176"/>
      <c r="N176"/>
      <c r="O176"/>
      <c r="P176"/>
      <c r="Q176"/>
      <c r="R176"/>
      <c r="S176"/>
      <c r="T176"/>
    </row>
    <row r="177" spans="1:20" x14ac:dyDescent="0.25">
      <c r="A177" s="1">
        <v>58235</v>
      </c>
      <c r="B177" s="1" t="s">
        <v>12</v>
      </c>
      <c r="D177" s="1">
        <v>89394</v>
      </c>
      <c r="E177" s="1" t="s">
        <v>4</v>
      </c>
      <c r="J177" s="1">
        <v>37022</v>
      </c>
      <c r="K177" s="1" t="s">
        <v>13</v>
      </c>
      <c r="L177" s="36" t="s">
        <v>25</v>
      </c>
      <c r="M177"/>
      <c r="N177"/>
      <c r="O177"/>
      <c r="P177"/>
      <c r="Q177"/>
      <c r="R177"/>
      <c r="S177"/>
      <c r="T177"/>
    </row>
    <row r="178" spans="1:20" x14ac:dyDescent="0.25">
      <c r="A178" s="1">
        <v>58314</v>
      </c>
      <c r="B178" s="1" t="s">
        <v>12</v>
      </c>
      <c r="D178" s="1">
        <v>91617</v>
      </c>
      <c r="E178" s="1" t="s">
        <v>4</v>
      </c>
      <c r="J178" s="1">
        <v>37023</v>
      </c>
      <c r="K178" s="1" t="s">
        <v>13</v>
      </c>
      <c r="L178" s="36" t="s">
        <v>25</v>
      </c>
      <c r="M178"/>
      <c r="N178"/>
      <c r="O178"/>
      <c r="P178"/>
      <c r="Q178"/>
      <c r="R178"/>
      <c r="S178"/>
      <c r="T178"/>
    </row>
    <row r="179" spans="1:20" x14ac:dyDescent="0.25">
      <c r="A179" s="1">
        <v>58315</v>
      </c>
      <c r="B179" s="1" t="s">
        <v>12</v>
      </c>
      <c r="D179" s="1">
        <v>96536</v>
      </c>
      <c r="E179" s="1" t="s">
        <v>4</v>
      </c>
      <c r="J179" s="1">
        <v>37024</v>
      </c>
      <c r="K179" s="1" t="s">
        <v>13</v>
      </c>
      <c r="L179" s="36" t="s">
        <v>25</v>
      </c>
      <c r="M179"/>
      <c r="N179"/>
      <c r="O179"/>
      <c r="P179"/>
      <c r="Q179"/>
      <c r="R179"/>
      <c r="S179"/>
      <c r="T179"/>
    </row>
    <row r="180" spans="1:20" x14ac:dyDescent="0.25">
      <c r="A180" s="1">
        <v>58325</v>
      </c>
      <c r="B180" s="1" t="s">
        <v>12</v>
      </c>
      <c r="D180" s="1">
        <v>106982</v>
      </c>
      <c r="E180" s="1" t="s">
        <v>4</v>
      </c>
      <c r="J180" s="1">
        <v>37025</v>
      </c>
      <c r="K180" s="1" t="s">
        <v>13</v>
      </c>
      <c r="L180" s="36" t="s">
        <v>25</v>
      </c>
      <c r="M180"/>
      <c r="N180"/>
      <c r="O180"/>
      <c r="P180"/>
      <c r="Q180"/>
      <c r="R180"/>
      <c r="S180"/>
      <c r="T180"/>
    </row>
    <row r="181" spans="1:20" x14ac:dyDescent="0.25">
      <c r="A181" s="1">
        <v>58326</v>
      </c>
      <c r="B181" s="1" t="s">
        <v>12</v>
      </c>
      <c r="D181" s="1">
        <v>167236</v>
      </c>
      <c r="E181" s="1" t="s">
        <v>4</v>
      </c>
      <c r="J181" s="1">
        <v>37550</v>
      </c>
      <c r="K181" s="36" t="s">
        <v>15</v>
      </c>
      <c r="L181" s="36" t="s">
        <v>40</v>
      </c>
      <c r="M181"/>
      <c r="N181"/>
      <c r="O181"/>
      <c r="P181"/>
      <c r="Q181"/>
      <c r="R181"/>
      <c r="S181"/>
      <c r="T181"/>
    </row>
    <row r="182" spans="1:20" x14ac:dyDescent="0.25">
      <c r="A182" s="1">
        <v>58333</v>
      </c>
      <c r="B182" s="1" t="s">
        <v>12</v>
      </c>
      <c r="D182" s="1">
        <v>169306</v>
      </c>
      <c r="E182" s="1" t="s">
        <v>4</v>
      </c>
      <c r="J182" s="1"/>
      <c r="K182" s="1" t="s">
        <v>13</v>
      </c>
      <c r="L182" s="1" t="s">
        <v>14</v>
      </c>
      <c r="M182"/>
      <c r="N182"/>
      <c r="O182"/>
      <c r="P182"/>
      <c r="Q182"/>
      <c r="R182"/>
      <c r="S182"/>
      <c r="T182"/>
    </row>
    <row r="183" spans="1:20" x14ac:dyDescent="0.25">
      <c r="A183" s="1">
        <v>58334</v>
      </c>
      <c r="B183" s="1" t="s">
        <v>12</v>
      </c>
      <c r="D183" s="1">
        <v>178667</v>
      </c>
      <c r="E183" s="1" t="s">
        <v>4</v>
      </c>
      <c r="J183" s="1"/>
      <c r="K183" s="1" t="s">
        <v>28</v>
      </c>
      <c r="L183" s="1" t="s">
        <v>13</v>
      </c>
      <c r="M183"/>
      <c r="N183"/>
      <c r="O183"/>
      <c r="P183"/>
      <c r="Q183"/>
      <c r="R183"/>
      <c r="S183"/>
      <c r="T183"/>
    </row>
    <row r="184" spans="1:20" x14ac:dyDescent="0.25">
      <c r="A184" s="1">
        <v>58335</v>
      </c>
      <c r="B184" s="1" t="s">
        <v>12</v>
      </c>
      <c r="D184" s="1">
        <v>346579</v>
      </c>
      <c r="E184" s="1" t="s">
        <v>4</v>
      </c>
      <c r="J184" s="1">
        <v>37551</v>
      </c>
      <c r="K184" s="1" t="s">
        <v>15</v>
      </c>
      <c r="L184" s="36" t="s">
        <v>40</v>
      </c>
      <c r="M184"/>
      <c r="N184"/>
      <c r="O184"/>
      <c r="P184"/>
      <c r="Q184"/>
      <c r="R184"/>
      <c r="S184"/>
      <c r="T184"/>
    </row>
    <row r="185" spans="1:20" x14ac:dyDescent="0.25">
      <c r="A185" s="1">
        <v>58342</v>
      </c>
      <c r="B185" s="1" t="s">
        <v>12</v>
      </c>
      <c r="D185" s="1" t="s">
        <v>56</v>
      </c>
      <c r="E185" s="1" t="s">
        <v>4</v>
      </c>
      <c r="J185" s="1"/>
      <c r="K185" s="1" t="s">
        <v>13</v>
      </c>
      <c r="L185" s="1" t="s">
        <v>14</v>
      </c>
      <c r="M185"/>
      <c r="N185"/>
      <c r="O185"/>
      <c r="P185"/>
      <c r="Q185"/>
      <c r="R185"/>
      <c r="S185"/>
      <c r="T185"/>
    </row>
    <row r="186" spans="1:20" x14ac:dyDescent="0.25">
      <c r="A186" s="1">
        <v>58343</v>
      </c>
      <c r="B186" s="1" t="s">
        <v>12</v>
      </c>
      <c r="D186" s="1">
        <v>72934</v>
      </c>
      <c r="E186" s="1" t="s">
        <v>4</v>
      </c>
      <c r="J186" s="1"/>
      <c r="K186" s="1" t="s">
        <v>28</v>
      </c>
      <c r="L186" s="1" t="s">
        <v>13</v>
      </c>
      <c r="M186"/>
      <c r="N186"/>
      <c r="O186"/>
      <c r="P186"/>
      <c r="Q186"/>
      <c r="R186"/>
      <c r="S186"/>
      <c r="T186"/>
    </row>
    <row r="187" spans="1:20" x14ac:dyDescent="0.25">
      <c r="A187" s="1">
        <v>58344</v>
      </c>
      <c r="B187" s="1" t="s">
        <v>12</v>
      </c>
      <c r="D187" s="1">
        <v>9604</v>
      </c>
      <c r="E187" s="1" t="s">
        <v>4</v>
      </c>
      <c r="J187" s="1">
        <v>37552</v>
      </c>
      <c r="K187" s="1" t="s">
        <v>15</v>
      </c>
      <c r="L187" s="36" t="s">
        <v>40</v>
      </c>
      <c r="M187"/>
      <c r="N187"/>
      <c r="O187"/>
      <c r="P187"/>
      <c r="Q187"/>
      <c r="R187"/>
      <c r="S187"/>
      <c r="T187"/>
    </row>
    <row r="188" spans="1:20" x14ac:dyDescent="0.25">
      <c r="A188" s="1">
        <v>58345</v>
      </c>
      <c r="B188" s="1" t="s">
        <v>12</v>
      </c>
      <c r="D188" s="1">
        <v>9606</v>
      </c>
      <c r="E188" s="1" t="s">
        <v>4</v>
      </c>
      <c r="J188" s="1"/>
      <c r="K188" s="1" t="s">
        <v>13</v>
      </c>
      <c r="L188" s="1" t="s">
        <v>14</v>
      </c>
      <c r="M188"/>
      <c r="N188"/>
      <c r="O188"/>
      <c r="P188"/>
      <c r="Q188"/>
      <c r="R188"/>
      <c r="S188"/>
      <c r="T188"/>
    </row>
    <row r="189" spans="1:20" x14ac:dyDescent="0.25">
      <c r="A189" s="1">
        <v>58351</v>
      </c>
      <c r="B189" s="1" t="s">
        <v>12</v>
      </c>
      <c r="D189" s="1">
        <v>9607</v>
      </c>
      <c r="E189" s="1" t="s">
        <v>4</v>
      </c>
      <c r="J189" s="1"/>
      <c r="K189" s="1" t="s">
        <v>28</v>
      </c>
      <c r="L189" s="1" t="s">
        <v>13</v>
      </c>
      <c r="M189"/>
      <c r="N189"/>
      <c r="O189"/>
      <c r="P189"/>
      <c r="Q189"/>
      <c r="R189"/>
      <c r="S189"/>
      <c r="T189"/>
    </row>
    <row r="190" spans="1:20" x14ac:dyDescent="0.25">
      <c r="A190" s="1">
        <v>58352</v>
      </c>
      <c r="B190" s="1" t="s">
        <v>12</v>
      </c>
      <c r="D190" s="1">
        <v>9608</v>
      </c>
      <c r="E190" s="1" t="s">
        <v>4</v>
      </c>
      <c r="J190" s="1">
        <v>37553</v>
      </c>
      <c r="K190" s="1" t="s">
        <v>15</v>
      </c>
      <c r="L190" s="36" t="s">
        <v>40</v>
      </c>
      <c r="M190"/>
      <c r="N190"/>
      <c r="O190"/>
      <c r="P190"/>
      <c r="Q190"/>
      <c r="R190"/>
      <c r="S190"/>
      <c r="T190"/>
    </row>
    <row r="191" spans="1:20" x14ac:dyDescent="0.25">
      <c r="A191" s="1">
        <v>58367</v>
      </c>
      <c r="B191" s="1" t="s">
        <v>12</v>
      </c>
      <c r="D191"/>
      <c r="E191"/>
      <c r="J191" s="1"/>
      <c r="K191" s="1" t="s">
        <v>13</v>
      </c>
      <c r="L191" s="1" t="s">
        <v>14</v>
      </c>
      <c r="M191"/>
      <c r="N191"/>
      <c r="O191"/>
      <c r="P191"/>
      <c r="Q191"/>
      <c r="R191"/>
      <c r="S191"/>
      <c r="T191"/>
    </row>
    <row r="192" spans="1:20" x14ac:dyDescent="0.25">
      <c r="A192" s="1">
        <v>58375</v>
      </c>
      <c r="B192" s="1" t="s">
        <v>12</v>
      </c>
      <c r="D192"/>
      <c r="E192"/>
      <c r="J192" s="1"/>
      <c r="K192" s="1" t="s">
        <v>28</v>
      </c>
      <c r="L192" s="1" t="s">
        <v>13</v>
      </c>
      <c r="M192"/>
      <c r="N192"/>
      <c r="O192"/>
      <c r="P192"/>
      <c r="Q192"/>
      <c r="R192"/>
      <c r="S192"/>
      <c r="T192"/>
    </row>
    <row r="193" spans="1:20" x14ac:dyDescent="0.25">
      <c r="A193" s="1">
        <v>58424</v>
      </c>
      <c r="B193" s="1" t="s">
        <v>12</v>
      </c>
      <c r="D193"/>
      <c r="E193"/>
      <c r="J193" s="1">
        <v>37554</v>
      </c>
      <c r="K193" s="1" t="s">
        <v>15</v>
      </c>
      <c r="L193" s="36" t="s">
        <v>40</v>
      </c>
      <c r="M193"/>
      <c r="N193"/>
      <c r="O193"/>
      <c r="P193"/>
      <c r="Q193"/>
      <c r="R193"/>
      <c r="S193"/>
      <c r="T193"/>
    </row>
    <row r="194" spans="1:20" x14ac:dyDescent="0.25">
      <c r="A194" s="1">
        <v>58515</v>
      </c>
      <c r="B194" s="1" t="s">
        <v>12</v>
      </c>
      <c r="D194"/>
      <c r="E194"/>
      <c r="J194" s="1"/>
      <c r="K194" s="1" t="s">
        <v>13</v>
      </c>
      <c r="L194" s="1" t="s">
        <v>14</v>
      </c>
      <c r="M194"/>
      <c r="N194"/>
      <c r="O194"/>
      <c r="P194"/>
      <c r="Q194"/>
      <c r="R194"/>
      <c r="S194"/>
      <c r="T194"/>
    </row>
    <row r="195" spans="1:20" x14ac:dyDescent="0.25">
      <c r="A195" s="1">
        <v>58516</v>
      </c>
      <c r="B195" s="1" t="s">
        <v>12</v>
      </c>
      <c r="D195"/>
      <c r="E195"/>
      <c r="J195" s="1"/>
      <c r="K195" s="1" t="s">
        <v>28</v>
      </c>
      <c r="L195" s="1" t="s">
        <v>13</v>
      </c>
      <c r="M195"/>
      <c r="N195"/>
      <c r="O195"/>
      <c r="P195"/>
      <c r="Q195"/>
      <c r="R195"/>
      <c r="S195"/>
      <c r="T195"/>
    </row>
    <row r="196" spans="1:20" x14ac:dyDescent="0.25">
      <c r="A196" s="1">
        <v>58517</v>
      </c>
      <c r="B196" s="1" t="s">
        <v>12</v>
      </c>
      <c r="D196"/>
      <c r="E196"/>
      <c r="J196" s="1">
        <v>37756</v>
      </c>
      <c r="K196" s="36" t="s">
        <v>13</v>
      </c>
      <c r="L196" s="36" t="s">
        <v>25</v>
      </c>
      <c r="M196"/>
      <c r="N196"/>
      <c r="O196"/>
      <c r="P196"/>
      <c r="Q196"/>
      <c r="R196"/>
      <c r="S196"/>
      <c r="T196"/>
    </row>
    <row r="197" spans="1:20" x14ac:dyDescent="0.25">
      <c r="A197" s="1">
        <v>58518</v>
      </c>
      <c r="B197" s="1" t="s">
        <v>12</v>
      </c>
      <c r="D197"/>
      <c r="E197"/>
      <c r="J197" s="1">
        <v>38114</v>
      </c>
      <c r="K197" s="1" t="s">
        <v>13</v>
      </c>
      <c r="L197" s="36" t="s">
        <v>25</v>
      </c>
      <c r="M197"/>
      <c r="N197"/>
      <c r="O197"/>
      <c r="P197"/>
      <c r="Q197"/>
      <c r="R197"/>
      <c r="S197"/>
      <c r="T197"/>
    </row>
    <row r="198" spans="1:20" x14ac:dyDescent="0.25">
      <c r="A198" s="1">
        <v>58519</v>
      </c>
      <c r="B198" s="1" t="s">
        <v>12</v>
      </c>
      <c r="D198"/>
      <c r="E198"/>
      <c r="J198" s="1">
        <v>40052</v>
      </c>
      <c r="K198" s="1" t="s">
        <v>13</v>
      </c>
      <c r="L198" s="36" t="s">
        <v>25</v>
      </c>
      <c r="M198"/>
      <c r="N198"/>
      <c r="O198"/>
      <c r="P198"/>
      <c r="Q198"/>
      <c r="R198"/>
      <c r="S198"/>
      <c r="T198"/>
    </row>
    <row r="199" spans="1:20" x14ac:dyDescent="0.25">
      <c r="A199" s="1">
        <v>58520</v>
      </c>
      <c r="B199" s="1" t="s">
        <v>12</v>
      </c>
      <c r="J199" s="1">
        <v>40053</v>
      </c>
      <c r="K199" s="1" t="s">
        <v>13</v>
      </c>
      <c r="L199" s="36" t="s">
        <v>25</v>
      </c>
      <c r="M199"/>
      <c r="N199"/>
      <c r="O199"/>
      <c r="P199"/>
      <c r="Q199"/>
      <c r="R199"/>
      <c r="S199"/>
      <c r="T199"/>
    </row>
    <row r="200" spans="1:20" x14ac:dyDescent="0.25">
      <c r="A200" s="1">
        <v>58521</v>
      </c>
      <c r="B200" s="1" t="s">
        <v>12</v>
      </c>
      <c r="J200" s="1">
        <v>40125</v>
      </c>
      <c r="K200" s="36" t="s">
        <v>15</v>
      </c>
      <c r="L200" s="36" t="s">
        <v>57</v>
      </c>
      <c r="M200"/>
      <c r="N200"/>
      <c r="O200"/>
      <c r="P200"/>
      <c r="Q200"/>
      <c r="R200"/>
      <c r="S200"/>
      <c r="T200"/>
    </row>
    <row r="201" spans="1:20" x14ac:dyDescent="0.25">
      <c r="A201" s="1">
        <v>58522</v>
      </c>
      <c r="B201" s="1" t="s">
        <v>12</v>
      </c>
      <c r="J201" s="1"/>
      <c r="K201" s="36" t="s">
        <v>16</v>
      </c>
      <c r="L201" s="41" t="s">
        <v>30</v>
      </c>
      <c r="M201"/>
      <c r="N201"/>
      <c r="O201"/>
      <c r="P201"/>
      <c r="Q201"/>
      <c r="R201"/>
      <c r="S201"/>
      <c r="T201"/>
    </row>
    <row r="202" spans="1:20" x14ac:dyDescent="0.25">
      <c r="A202" s="1">
        <v>60422</v>
      </c>
      <c r="B202" s="1" t="s">
        <v>12</v>
      </c>
      <c r="J202" s="1"/>
      <c r="K202" s="1" t="s">
        <v>28</v>
      </c>
      <c r="L202" s="1" t="s">
        <v>31</v>
      </c>
      <c r="M202"/>
      <c r="N202"/>
      <c r="O202"/>
      <c r="P202"/>
      <c r="Q202"/>
      <c r="R202"/>
      <c r="S202"/>
      <c r="T202"/>
    </row>
    <row r="203" spans="1:20" x14ac:dyDescent="0.25">
      <c r="A203" s="1">
        <v>60423</v>
      </c>
      <c r="B203" s="1" t="s">
        <v>12</v>
      </c>
      <c r="J203" s="1">
        <v>40452</v>
      </c>
      <c r="K203" s="36" t="s">
        <v>15</v>
      </c>
      <c r="L203" s="36" t="s">
        <v>25</v>
      </c>
      <c r="M203"/>
      <c r="N203"/>
      <c r="O203"/>
      <c r="P203"/>
      <c r="Q203"/>
      <c r="R203"/>
      <c r="S203"/>
      <c r="T203"/>
    </row>
    <row r="204" spans="1:20" x14ac:dyDescent="0.25">
      <c r="A204" s="1">
        <v>60424</v>
      </c>
      <c r="B204" s="1" t="s">
        <v>12</v>
      </c>
      <c r="J204" s="1">
        <v>40776</v>
      </c>
      <c r="K204" s="1" t="s">
        <v>15</v>
      </c>
      <c r="L204" s="36" t="s">
        <v>58</v>
      </c>
      <c r="M204"/>
      <c r="N204"/>
      <c r="O204"/>
      <c r="P204"/>
      <c r="Q204"/>
      <c r="R204"/>
      <c r="S204"/>
      <c r="T204"/>
    </row>
    <row r="205" spans="1:20" x14ac:dyDescent="0.25">
      <c r="A205" s="1">
        <v>60425</v>
      </c>
      <c r="B205" s="1" t="s">
        <v>12</v>
      </c>
      <c r="J205" s="1">
        <v>40855</v>
      </c>
      <c r="K205" s="36" t="s">
        <v>13</v>
      </c>
      <c r="L205" s="36" t="s">
        <v>25</v>
      </c>
      <c r="M205"/>
      <c r="N205"/>
      <c r="O205"/>
      <c r="P205"/>
      <c r="Q205"/>
      <c r="R205"/>
      <c r="S205"/>
      <c r="T205"/>
    </row>
    <row r="206" spans="1:20" x14ac:dyDescent="0.25">
      <c r="A206" s="1">
        <v>60426</v>
      </c>
      <c r="B206" s="1" t="s">
        <v>12</v>
      </c>
      <c r="J206" s="1">
        <v>42520</v>
      </c>
      <c r="K206" s="1" t="s">
        <v>13</v>
      </c>
      <c r="L206" s="36" t="s">
        <v>25</v>
      </c>
      <c r="M206"/>
      <c r="N206"/>
      <c r="O206"/>
      <c r="P206"/>
      <c r="Q206"/>
      <c r="R206"/>
      <c r="S206"/>
      <c r="T206"/>
    </row>
    <row r="207" spans="1:20" x14ac:dyDescent="0.25">
      <c r="A207" s="1">
        <v>60427</v>
      </c>
      <c r="B207" s="1" t="s">
        <v>12</v>
      </c>
      <c r="J207" s="1"/>
      <c r="K207" s="1" t="s">
        <v>28</v>
      </c>
      <c r="L207" s="1" t="s">
        <v>13</v>
      </c>
      <c r="M207"/>
      <c r="N207"/>
      <c r="O207"/>
      <c r="P207"/>
      <c r="Q207"/>
      <c r="R207"/>
      <c r="S207"/>
      <c r="T207"/>
    </row>
    <row r="208" spans="1:20" x14ac:dyDescent="0.25">
      <c r="A208" s="1">
        <v>60428</v>
      </c>
      <c r="B208" s="1" t="s">
        <v>12</v>
      </c>
      <c r="J208" s="1">
        <v>42914</v>
      </c>
      <c r="K208" s="36" t="s">
        <v>15</v>
      </c>
      <c r="L208" s="36" t="s">
        <v>39</v>
      </c>
      <c r="M208"/>
      <c r="N208"/>
      <c r="O208"/>
      <c r="P208"/>
      <c r="Q208"/>
      <c r="R208"/>
      <c r="S208"/>
      <c r="T208"/>
    </row>
    <row r="209" spans="1:20" x14ac:dyDescent="0.25">
      <c r="A209" s="1">
        <v>60429</v>
      </c>
      <c r="B209" s="1" t="s">
        <v>12</v>
      </c>
      <c r="J209" s="1">
        <v>43247</v>
      </c>
      <c r="K209" s="36" t="s">
        <v>13</v>
      </c>
      <c r="L209" s="36" t="s">
        <v>25</v>
      </c>
      <c r="M209"/>
      <c r="N209"/>
      <c r="O209"/>
      <c r="P209"/>
      <c r="Q209"/>
      <c r="R209"/>
      <c r="S209"/>
      <c r="T209"/>
    </row>
    <row r="210" spans="1:20" x14ac:dyDescent="0.25">
      <c r="A210" s="1">
        <v>60430</v>
      </c>
      <c r="B210" s="1" t="s">
        <v>12</v>
      </c>
      <c r="J210" s="1">
        <v>43780</v>
      </c>
      <c r="K210" s="36" t="s">
        <v>15</v>
      </c>
      <c r="L210" s="36" t="s">
        <v>25</v>
      </c>
      <c r="M210"/>
      <c r="N210"/>
      <c r="O210"/>
      <c r="P210"/>
      <c r="Q210"/>
      <c r="R210"/>
      <c r="S210"/>
      <c r="T210"/>
    </row>
    <row r="211" spans="1:20" x14ac:dyDescent="0.25">
      <c r="A211" s="1">
        <v>60431</v>
      </c>
      <c r="B211" s="1" t="s">
        <v>12</v>
      </c>
      <c r="J211" s="1">
        <v>43994</v>
      </c>
      <c r="K211" s="1" t="s">
        <v>16</v>
      </c>
      <c r="L211" s="43" t="s">
        <v>26</v>
      </c>
      <c r="M211"/>
      <c r="N211"/>
      <c r="O211"/>
      <c r="P211"/>
      <c r="Q211"/>
      <c r="R211"/>
      <c r="S211"/>
      <c r="T211"/>
    </row>
    <row r="212" spans="1:20" x14ac:dyDescent="0.25">
      <c r="A212" s="1">
        <v>60432</v>
      </c>
      <c r="B212" s="1" t="s">
        <v>12</v>
      </c>
      <c r="J212" s="1"/>
      <c r="K212" s="36" t="s">
        <v>13</v>
      </c>
      <c r="L212" s="36" t="s">
        <v>25</v>
      </c>
      <c r="M212"/>
      <c r="N212"/>
      <c r="O212"/>
      <c r="P212"/>
      <c r="Q212"/>
      <c r="R212"/>
      <c r="S212"/>
      <c r="T212"/>
    </row>
    <row r="213" spans="1:20" x14ac:dyDescent="0.25">
      <c r="A213" s="1">
        <v>60433</v>
      </c>
      <c r="B213" s="1" t="s">
        <v>12</v>
      </c>
      <c r="J213" s="1">
        <v>47637</v>
      </c>
      <c r="K213" s="36" t="s">
        <v>15</v>
      </c>
      <c r="L213" s="36" t="s">
        <v>25</v>
      </c>
      <c r="M213"/>
      <c r="N213"/>
      <c r="O213"/>
      <c r="P213"/>
      <c r="Q213"/>
      <c r="R213"/>
      <c r="S213"/>
      <c r="T213"/>
    </row>
    <row r="214" spans="1:20" x14ac:dyDescent="0.25">
      <c r="A214" s="1">
        <v>60434</v>
      </c>
      <c r="B214" s="1" t="s">
        <v>12</v>
      </c>
      <c r="J214" s="1">
        <v>47638</v>
      </c>
      <c r="K214" s="36" t="s">
        <v>13</v>
      </c>
      <c r="L214" s="36" t="s">
        <v>25</v>
      </c>
      <c r="M214"/>
      <c r="N214"/>
      <c r="O214"/>
      <c r="P214"/>
      <c r="Q214"/>
      <c r="R214"/>
      <c r="S214"/>
      <c r="T214"/>
    </row>
    <row r="215" spans="1:20" x14ac:dyDescent="0.25">
      <c r="A215" s="1">
        <v>60435</v>
      </c>
      <c r="B215" s="1" t="s">
        <v>12</v>
      </c>
      <c r="J215" s="1">
        <v>47639</v>
      </c>
      <c r="K215" s="1" t="s">
        <v>13</v>
      </c>
      <c r="L215" s="36" t="s">
        <v>25</v>
      </c>
      <c r="M215"/>
      <c r="N215"/>
      <c r="O215"/>
      <c r="P215"/>
      <c r="Q215"/>
      <c r="R215"/>
      <c r="S215"/>
      <c r="T215"/>
    </row>
    <row r="216" spans="1:20" x14ac:dyDescent="0.25">
      <c r="A216" s="1">
        <v>60436</v>
      </c>
      <c r="B216" s="1" t="s">
        <v>12</v>
      </c>
      <c r="J216" s="1">
        <v>47640</v>
      </c>
      <c r="K216" s="1" t="s">
        <v>13</v>
      </c>
      <c r="L216" s="36" t="s">
        <v>25</v>
      </c>
      <c r="M216"/>
      <c r="N216"/>
      <c r="O216"/>
      <c r="P216"/>
      <c r="Q216"/>
      <c r="R216"/>
      <c r="S216"/>
      <c r="T216"/>
    </row>
    <row r="217" spans="1:20" x14ac:dyDescent="0.25">
      <c r="A217" s="1">
        <v>60437</v>
      </c>
      <c r="B217" s="1" t="s">
        <v>12</v>
      </c>
      <c r="J217" s="1">
        <v>47941</v>
      </c>
      <c r="K217" s="36" t="s">
        <v>15</v>
      </c>
      <c r="L217" s="36" t="s">
        <v>22</v>
      </c>
      <c r="M217"/>
      <c r="N217"/>
      <c r="O217"/>
      <c r="P217"/>
      <c r="Q217"/>
      <c r="R217"/>
      <c r="S217"/>
      <c r="T217"/>
    </row>
    <row r="218" spans="1:20" x14ac:dyDescent="0.25">
      <c r="A218" s="1">
        <v>60438</v>
      </c>
      <c r="B218" s="1" t="s">
        <v>12</v>
      </c>
      <c r="J218" s="1"/>
      <c r="K218" s="36"/>
      <c r="L218" s="36" t="s">
        <v>53</v>
      </c>
      <c r="M218"/>
      <c r="N218"/>
      <c r="O218"/>
      <c r="P218"/>
      <c r="Q218"/>
      <c r="R218"/>
      <c r="S218"/>
      <c r="T218"/>
    </row>
    <row r="219" spans="1:20" x14ac:dyDescent="0.25">
      <c r="A219" s="1">
        <v>60439</v>
      </c>
      <c r="B219" s="1" t="s">
        <v>12</v>
      </c>
      <c r="J219" s="1"/>
      <c r="K219" s="36" t="s">
        <v>13</v>
      </c>
      <c r="L219" s="36" t="s">
        <v>25</v>
      </c>
      <c r="M219"/>
      <c r="N219"/>
      <c r="O219"/>
      <c r="P219"/>
      <c r="Q219"/>
      <c r="R219"/>
      <c r="S219"/>
      <c r="T219"/>
    </row>
    <row r="220" spans="1:20" x14ac:dyDescent="0.25">
      <c r="A220" s="1">
        <v>60440</v>
      </c>
      <c r="B220" s="1" t="s">
        <v>12</v>
      </c>
      <c r="J220" s="1">
        <v>47942</v>
      </c>
      <c r="K220" s="36" t="s">
        <v>15</v>
      </c>
      <c r="L220" s="36" t="s">
        <v>22</v>
      </c>
      <c r="M220"/>
      <c r="N220"/>
      <c r="O220"/>
      <c r="P220"/>
      <c r="Q220"/>
      <c r="R220"/>
      <c r="S220"/>
      <c r="T220"/>
    </row>
    <row r="221" spans="1:20" x14ac:dyDescent="0.25">
      <c r="A221" s="1">
        <v>60441</v>
      </c>
      <c r="B221" s="1" t="s">
        <v>12</v>
      </c>
      <c r="J221" s="1"/>
      <c r="K221" s="36"/>
      <c r="L221" s="36" t="s">
        <v>49</v>
      </c>
      <c r="M221"/>
      <c r="N221"/>
      <c r="O221"/>
      <c r="P221"/>
      <c r="Q221"/>
      <c r="R221"/>
      <c r="S221"/>
      <c r="T221"/>
    </row>
    <row r="222" spans="1:20" x14ac:dyDescent="0.25">
      <c r="A222" s="1">
        <v>60442</v>
      </c>
      <c r="B222" s="1" t="s">
        <v>12</v>
      </c>
      <c r="J222" s="1"/>
      <c r="K222" s="36"/>
      <c r="L222" s="36" t="s">
        <v>39</v>
      </c>
      <c r="M222"/>
      <c r="N222"/>
      <c r="O222"/>
      <c r="P222"/>
      <c r="Q222"/>
      <c r="R222"/>
      <c r="S222"/>
      <c r="T222"/>
    </row>
    <row r="223" spans="1:20" x14ac:dyDescent="0.25">
      <c r="A223" s="1">
        <v>60443</v>
      </c>
      <c r="B223" s="1" t="s">
        <v>12</v>
      </c>
      <c r="J223" s="1"/>
      <c r="K223" s="36" t="s">
        <v>13</v>
      </c>
      <c r="L223" s="36" t="s">
        <v>25</v>
      </c>
      <c r="M223"/>
      <c r="N223"/>
      <c r="O223"/>
      <c r="P223"/>
      <c r="Q223"/>
      <c r="R223"/>
      <c r="S223"/>
      <c r="T223"/>
    </row>
    <row r="224" spans="1:20" x14ac:dyDescent="0.25">
      <c r="A224" s="1">
        <v>60444</v>
      </c>
      <c r="B224" s="1" t="s">
        <v>12</v>
      </c>
      <c r="J224" s="1">
        <v>48347</v>
      </c>
      <c r="K224" s="1" t="s">
        <v>13</v>
      </c>
      <c r="L224" s="36" t="s">
        <v>25</v>
      </c>
      <c r="M224"/>
      <c r="N224"/>
      <c r="O224"/>
      <c r="P224"/>
      <c r="Q224"/>
      <c r="R224"/>
      <c r="S224"/>
      <c r="T224"/>
    </row>
    <row r="225" spans="1:20" x14ac:dyDescent="0.25">
      <c r="A225" s="1">
        <v>60445</v>
      </c>
      <c r="B225" s="1" t="s">
        <v>12</v>
      </c>
      <c r="J225" s="1">
        <v>48437</v>
      </c>
      <c r="K225" s="36" t="s">
        <v>15</v>
      </c>
      <c r="L225" s="36" t="s">
        <v>59</v>
      </c>
      <c r="M225"/>
      <c r="N225"/>
      <c r="O225"/>
      <c r="P225"/>
      <c r="Q225"/>
      <c r="R225"/>
      <c r="S225"/>
      <c r="T225"/>
    </row>
    <row r="226" spans="1:20" x14ac:dyDescent="0.25">
      <c r="A226" s="1">
        <v>60446</v>
      </c>
      <c r="B226" s="1" t="s">
        <v>12</v>
      </c>
      <c r="J226" s="1"/>
      <c r="K226" s="36"/>
      <c r="L226" s="36" t="s">
        <v>25</v>
      </c>
      <c r="M226"/>
      <c r="N226"/>
      <c r="O226"/>
      <c r="P226"/>
      <c r="Q226"/>
      <c r="R226"/>
      <c r="S226"/>
      <c r="T226"/>
    </row>
    <row r="227" spans="1:20" x14ac:dyDescent="0.25">
      <c r="A227" s="1">
        <v>60447</v>
      </c>
      <c r="B227" s="1" t="s">
        <v>12</v>
      </c>
      <c r="J227" s="1">
        <v>48499</v>
      </c>
      <c r="K227" s="1" t="s">
        <v>15</v>
      </c>
      <c r="L227" s="36" t="s">
        <v>19</v>
      </c>
      <c r="M227"/>
      <c r="N227"/>
      <c r="O227"/>
      <c r="P227"/>
      <c r="Q227"/>
      <c r="R227"/>
      <c r="S227"/>
      <c r="T227"/>
    </row>
    <row r="228" spans="1:20" x14ac:dyDescent="0.25">
      <c r="A228" s="1">
        <v>60448</v>
      </c>
      <c r="B228" s="1" t="s">
        <v>12</v>
      </c>
      <c r="J228" s="1"/>
      <c r="K228" s="1"/>
      <c r="L228" s="36" t="s">
        <v>22</v>
      </c>
      <c r="M228"/>
      <c r="N228"/>
      <c r="O228"/>
      <c r="P228"/>
      <c r="Q228"/>
      <c r="R228"/>
      <c r="S228"/>
      <c r="T228"/>
    </row>
    <row r="229" spans="1:20" x14ac:dyDescent="0.25">
      <c r="A229" s="1">
        <v>60449</v>
      </c>
      <c r="B229" s="1" t="s">
        <v>12</v>
      </c>
      <c r="J229" s="1"/>
      <c r="K229" s="1"/>
      <c r="L229" s="36" t="s">
        <v>60</v>
      </c>
      <c r="M229"/>
      <c r="N229"/>
      <c r="O229"/>
      <c r="P229"/>
      <c r="Q229"/>
      <c r="R229"/>
      <c r="S229"/>
      <c r="T229"/>
    </row>
    <row r="230" spans="1:20" x14ac:dyDescent="0.25">
      <c r="A230" s="1">
        <v>60450</v>
      </c>
      <c r="B230" s="1" t="s">
        <v>12</v>
      </c>
      <c r="J230" s="1"/>
      <c r="K230" s="1"/>
      <c r="L230" s="36" t="s">
        <v>25</v>
      </c>
      <c r="M230"/>
      <c r="N230"/>
      <c r="O230"/>
      <c r="P230"/>
      <c r="Q230"/>
      <c r="R230"/>
      <c r="S230"/>
      <c r="T230"/>
    </row>
    <row r="231" spans="1:20" x14ac:dyDescent="0.25">
      <c r="A231" s="1">
        <v>60451</v>
      </c>
      <c r="B231" s="1" t="s">
        <v>12</v>
      </c>
      <c r="J231" s="1"/>
      <c r="K231" s="36" t="s">
        <v>13</v>
      </c>
      <c r="L231" s="36" t="s">
        <v>25</v>
      </c>
      <c r="M231"/>
      <c r="N231"/>
      <c r="O231"/>
      <c r="P231"/>
      <c r="Q231"/>
      <c r="R231"/>
      <c r="S231"/>
      <c r="T231"/>
    </row>
    <row r="232" spans="1:20" x14ac:dyDescent="0.25">
      <c r="A232" s="1">
        <v>60452</v>
      </c>
      <c r="B232" s="1" t="s">
        <v>12</v>
      </c>
      <c r="J232" s="1">
        <v>49260</v>
      </c>
      <c r="K232" s="36" t="s">
        <v>15</v>
      </c>
      <c r="L232" s="36" t="s">
        <v>57</v>
      </c>
      <c r="M232"/>
      <c r="N232"/>
      <c r="O232"/>
      <c r="P232"/>
      <c r="Q232"/>
      <c r="R232"/>
      <c r="S232"/>
      <c r="T232"/>
    </row>
    <row r="233" spans="1:20" x14ac:dyDescent="0.25">
      <c r="A233" s="1">
        <v>60453</v>
      </c>
      <c r="B233" s="1" t="s">
        <v>12</v>
      </c>
      <c r="J233" s="1"/>
      <c r="K233" s="36" t="s">
        <v>16</v>
      </c>
      <c r="L233" s="41" t="s">
        <v>61</v>
      </c>
      <c r="M233"/>
      <c r="N233"/>
      <c r="O233"/>
      <c r="P233"/>
      <c r="Q233"/>
      <c r="R233"/>
      <c r="S233"/>
      <c r="T233"/>
    </row>
    <row r="234" spans="1:20" x14ac:dyDescent="0.25">
      <c r="A234" s="1">
        <v>64532</v>
      </c>
      <c r="B234" s="1" t="s">
        <v>12</v>
      </c>
      <c r="J234" s="1">
        <v>50102</v>
      </c>
      <c r="K234" s="36" t="s">
        <v>15</v>
      </c>
      <c r="L234" s="36" t="s">
        <v>39</v>
      </c>
      <c r="M234"/>
      <c r="N234"/>
      <c r="O234"/>
      <c r="P234"/>
      <c r="Q234"/>
      <c r="R234"/>
      <c r="S234"/>
      <c r="T234"/>
    </row>
    <row r="235" spans="1:20" x14ac:dyDescent="0.25">
      <c r="A235" s="1">
        <v>64859</v>
      </c>
      <c r="B235" s="1" t="s">
        <v>12</v>
      </c>
      <c r="J235" s="1">
        <v>50257</v>
      </c>
      <c r="K235" s="36" t="s">
        <v>13</v>
      </c>
      <c r="L235" s="36" t="s">
        <v>25</v>
      </c>
      <c r="M235"/>
      <c r="N235"/>
      <c r="O235"/>
      <c r="P235"/>
      <c r="Q235"/>
      <c r="R235"/>
      <c r="S235"/>
      <c r="T235"/>
    </row>
    <row r="236" spans="1:20" x14ac:dyDescent="0.25">
      <c r="A236" s="1">
        <v>65034</v>
      </c>
      <c r="B236" s="1" t="s">
        <v>12</v>
      </c>
      <c r="J236" s="1">
        <v>53234</v>
      </c>
      <c r="K236" s="36" t="s">
        <v>16</v>
      </c>
      <c r="L236" s="41" t="s">
        <v>26</v>
      </c>
      <c r="M236"/>
      <c r="N236"/>
      <c r="O236"/>
      <c r="P236"/>
      <c r="Q236"/>
      <c r="R236"/>
      <c r="S236"/>
      <c r="T236"/>
    </row>
    <row r="237" spans="1:20" x14ac:dyDescent="0.25">
      <c r="A237" s="1">
        <v>71808</v>
      </c>
      <c r="B237" s="1" t="s">
        <v>12</v>
      </c>
      <c r="J237" s="1"/>
      <c r="K237" s="36" t="s">
        <v>21</v>
      </c>
      <c r="L237" s="36" t="s">
        <v>25</v>
      </c>
      <c r="M237"/>
      <c r="N237"/>
      <c r="O237"/>
      <c r="P237"/>
      <c r="Q237"/>
      <c r="R237"/>
      <c r="S237"/>
      <c r="T237"/>
    </row>
    <row r="238" spans="1:20" x14ac:dyDescent="0.25">
      <c r="A238" s="1">
        <v>76459</v>
      </c>
      <c r="B238" s="1" t="s">
        <v>12</v>
      </c>
      <c r="J238" s="1">
        <v>53434</v>
      </c>
      <c r="K238" s="36" t="s">
        <v>13</v>
      </c>
      <c r="L238" s="36" t="s">
        <v>25</v>
      </c>
      <c r="M238"/>
      <c r="N238"/>
      <c r="O238"/>
      <c r="P238"/>
      <c r="Q238"/>
      <c r="R238"/>
      <c r="S238"/>
      <c r="T238"/>
    </row>
    <row r="239" spans="1:20" x14ac:dyDescent="0.25">
      <c r="A239" s="1">
        <v>91682</v>
      </c>
      <c r="B239" s="1" t="s">
        <v>12</v>
      </c>
      <c r="J239" s="1">
        <v>54581</v>
      </c>
      <c r="K239" s="36" t="s">
        <v>15</v>
      </c>
      <c r="L239" s="36" t="s">
        <v>25</v>
      </c>
      <c r="M239"/>
      <c r="N239"/>
      <c r="O239"/>
      <c r="P239"/>
      <c r="Q239"/>
      <c r="R239"/>
      <c r="S239"/>
      <c r="T239"/>
    </row>
    <row r="240" spans="1:20" x14ac:dyDescent="0.25">
      <c r="A240" s="1">
        <v>91683</v>
      </c>
      <c r="B240" s="1" t="s">
        <v>12</v>
      </c>
      <c r="J240" s="1">
        <v>55045</v>
      </c>
      <c r="K240" s="1" t="s">
        <v>15</v>
      </c>
      <c r="L240" s="36" t="s">
        <v>62</v>
      </c>
      <c r="M240"/>
      <c r="N240"/>
      <c r="O240"/>
      <c r="P240"/>
      <c r="Q240"/>
      <c r="R240"/>
      <c r="S240"/>
      <c r="T240"/>
    </row>
    <row r="241" spans="1:20" x14ac:dyDescent="0.25">
      <c r="A241" s="1">
        <v>91684</v>
      </c>
      <c r="B241" s="1" t="s">
        <v>12</v>
      </c>
      <c r="J241" s="1">
        <v>56135</v>
      </c>
      <c r="K241" s="36" t="s">
        <v>13</v>
      </c>
      <c r="L241" s="1" t="s">
        <v>14</v>
      </c>
      <c r="M241"/>
      <c r="N241"/>
      <c r="O241"/>
      <c r="P241"/>
      <c r="Q241"/>
      <c r="R241"/>
      <c r="S241"/>
      <c r="T241"/>
    </row>
    <row r="242" spans="1:20" x14ac:dyDescent="0.25">
      <c r="A242" s="1">
        <v>91685</v>
      </c>
      <c r="B242" s="1" t="s">
        <v>12</v>
      </c>
      <c r="J242" s="1"/>
      <c r="K242" s="36"/>
      <c r="L242" s="36" t="s">
        <v>25</v>
      </c>
      <c r="M242"/>
      <c r="N242"/>
      <c r="O242"/>
      <c r="P242"/>
      <c r="Q242"/>
      <c r="R242"/>
      <c r="S242"/>
      <c r="T242"/>
    </row>
    <row r="243" spans="1:20" x14ac:dyDescent="0.25">
      <c r="A243" s="1">
        <v>91686</v>
      </c>
      <c r="B243" s="1" t="s">
        <v>12</v>
      </c>
      <c r="D243"/>
      <c r="E243"/>
      <c r="G243"/>
      <c r="H243"/>
      <c r="J243" s="1"/>
      <c r="K243" s="1" t="s">
        <v>28</v>
      </c>
      <c r="L243" s="1" t="s">
        <v>13</v>
      </c>
      <c r="M243"/>
      <c r="N243"/>
      <c r="O243"/>
      <c r="P243"/>
      <c r="Q243"/>
      <c r="R243"/>
      <c r="S243"/>
      <c r="T243"/>
    </row>
    <row r="244" spans="1:20" x14ac:dyDescent="0.25">
      <c r="A244" s="1">
        <v>91687</v>
      </c>
      <c r="B244" s="1" t="s">
        <v>12</v>
      </c>
      <c r="E244"/>
      <c r="H244"/>
      <c r="J244" s="1">
        <v>56646</v>
      </c>
      <c r="K244" s="36" t="s">
        <v>21</v>
      </c>
      <c r="L244" s="36" t="s">
        <v>25</v>
      </c>
      <c r="M244"/>
      <c r="N244"/>
      <c r="O244"/>
      <c r="P244"/>
      <c r="Q244"/>
      <c r="R244"/>
      <c r="S244"/>
      <c r="T244"/>
    </row>
    <row r="245" spans="1:20" x14ac:dyDescent="0.25">
      <c r="A245" s="1">
        <v>91688</v>
      </c>
      <c r="B245" s="1" t="s">
        <v>12</v>
      </c>
      <c r="E245"/>
      <c r="H245"/>
      <c r="J245" s="1">
        <v>56647</v>
      </c>
      <c r="K245" s="1" t="s">
        <v>21</v>
      </c>
      <c r="L245" s="36" t="s">
        <v>25</v>
      </c>
      <c r="M245"/>
      <c r="N245"/>
      <c r="O245"/>
      <c r="P245"/>
      <c r="Q245"/>
      <c r="R245"/>
      <c r="S245"/>
      <c r="T245"/>
    </row>
    <row r="246" spans="1:20" x14ac:dyDescent="0.25">
      <c r="A246" s="1">
        <v>91689</v>
      </c>
      <c r="B246" s="1" t="s">
        <v>12</v>
      </c>
      <c r="E246"/>
      <c r="H246"/>
      <c r="J246" s="1">
        <v>56648</v>
      </c>
      <c r="K246" s="1" t="s">
        <v>21</v>
      </c>
      <c r="L246" s="36" t="s">
        <v>25</v>
      </c>
      <c r="M246"/>
      <c r="N246"/>
      <c r="O246"/>
      <c r="P246"/>
      <c r="Q246"/>
      <c r="R246"/>
      <c r="S246"/>
      <c r="T246"/>
    </row>
    <row r="247" spans="1:20" x14ac:dyDescent="0.25">
      <c r="A247" s="1">
        <v>103702</v>
      </c>
      <c r="B247" s="1" t="s">
        <v>12</v>
      </c>
      <c r="E247"/>
      <c r="H247"/>
      <c r="J247" s="1">
        <v>56649</v>
      </c>
      <c r="K247" s="1" t="s">
        <v>21</v>
      </c>
      <c r="L247" s="36" t="s">
        <v>25</v>
      </c>
      <c r="M247"/>
      <c r="N247"/>
      <c r="O247"/>
      <c r="P247"/>
      <c r="Q247"/>
      <c r="R247"/>
      <c r="S247"/>
      <c r="T247"/>
    </row>
    <row r="248" spans="1:20" x14ac:dyDescent="0.25">
      <c r="A248" s="1">
        <v>111187</v>
      </c>
      <c r="B248" s="1" t="s">
        <v>12</v>
      </c>
      <c r="E248"/>
      <c r="H248"/>
      <c r="J248" s="1">
        <v>56650</v>
      </c>
      <c r="K248" s="1" t="s">
        <v>21</v>
      </c>
      <c r="L248" s="36" t="s">
        <v>25</v>
      </c>
      <c r="M248"/>
      <c r="N248"/>
      <c r="O248"/>
      <c r="P248"/>
      <c r="Q248"/>
      <c r="R248"/>
      <c r="S248"/>
      <c r="T248"/>
    </row>
    <row r="249" spans="1:20" x14ac:dyDescent="0.25">
      <c r="A249" s="1">
        <v>118649</v>
      </c>
      <c r="B249" s="1" t="s">
        <v>12</v>
      </c>
      <c r="E249"/>
      <c r="H249"/>
      <c r="J249" s="1">
        <v>56667</v>
      </c>
      <c r="K249" s="1" t="s">
        <v>21</v>
      </c>
      <c r="L249" s="36" t="s">
        <v>25</v>
      </c>
      <c r="M249"/>
      <c r="N249"/>
      <c r="O249"/>
      <c r="P249"/>
      <c r="Q249"/>
      <c r="R249"/>
      <c r="S249"/>
      <c r="T249"/>
    </row>
    <row r="250" spans="1:20" x14ac:dyDescent="0.25">
      <c r="A250" s="1">
        <v>118963</v>
      </c>
      <c r="B250" s="1" t="s">
        <v>12</v>
      </c>
      <c r="E250"/>
      <c r="H250"/>
      <c r="J250" s="1">
        <v>56915</v>
      </c>
      <c r="K250" s="36" t="s">
        <v>13</v>
      </c>
      <c r="L250" s="36" t="s">
        <v>25</v>
      </c>
      <c r="M250"/>
      <c r="N250"/>
      <c r="O250"/>
      <c r="P250"/>
      <c r="Q250"/>
      <c r="R250"/>
      <c r="S250"/>
      <c r="T250"/>
    </row>
    <row r="251" spans="1:20" x14ac:dyDescent="0.25">
      <c r="A251" s="1">
        <v>129886</v>
      </c>
      <c r="B251" s="1" t="s">
        <v>12</v>
      </c>
      <c r="E251"/>
      <c r="H251"/>
      <c r="J251" s="1">
        <v>56956</v>
      </c>
      <c r="K251" s="36" t="s">
        <v>15</v>
      </c>
      <c r="L251" s="36" t="s">
        <v>63</v>
      </c>
      <c r="M251"/>
      <c r="N251"/>
      <c r="O251"/>
      <c r="P251"/>
      <c r="Q251"/>
      <c r="R251"/>
      <c r="S251"/>
      <c r="T251"/>
    </row>
    <row r="252" spans="1:20" x14ac:dyDescent="0.25">
      <c r="A252" s="1">
        <v>129887</v>
      </c>
      <c r="B252" s="1" t="s">
        <v>12</v>
      </c>
      <c r="E252"/>
      <c r="H252"/>
      <c r="J252" s="1"/>
      <c r="K252" s="36" t="s">
        <v>13</v>
      </c>
      <c r="L252" s="36" t="s">
        <v>25</v>
      </c>
      <c r="M252"/>
      <c r="N252"/>
      <c r="O252"/>
      <c r="P252"/>
      <c r="Q252"/>
      <c r="R252"/>
      <c r="S252"/>
      <c r="T252"/>
    </row>
    <row r="253" spans="1:20" x14ac:dyDescent="0.25">
      <c r="A253" s="1">
        <v>129888</v>
      </c>
      <c r="B253" s="1" t="s">
        <v>12</v>
      </c>
      <c r="E253"/>
      <c r="H253"/>
      <c r="J253" s="1">
        <v>57065</v>
      </c>
      <c r="K253" s="1" t="s">
        <v>13</v>
      </c>
      <c r="L253" s="1" t="s">
        <v>14</v>
      </c>
      <c r="M253"/>
      <c r="N253"/>
      <c r="O253"/>
      <c r="P253"/>
      <c r="Q253"/>
      <c r="R253"/>
      <c r="S253"/>
      <c r="T253"/>
    </row>
    <row r="254" spans="1:20" x14ac:dyDescent="0.25">
      <c r="A254" s="1">
        <v>129889</v>
      </c>
      <c r="B254" s="1" t="s">
        <v>12</v>
      </c>
      <c r="E254"/>
      <c r="H254"/>
      <c r="J254" s="1"/>
      <c r="K254" s="1"/>
      <c r="L254" s="36" t="s">
        <v>25</v>
      </c>
      <c r="M254"/>
      <c r="N254"/>
      <c r="O254"/>
      <c r="P254"/>
      <c r="Q254"/>
      <c r="R254"/>
      <c r="S254"/>
      <c r="T254"/>
    </row>
    <row r="255" spans="1:20" x14ac:dyDescent="0.25">
      <c r="A255" s="1">
        <v>195794</v>
      </c>
      <c r="B255" s="1" t="s">
        <v>12</v>
      </c>
      <c r="E255"/>
      <c r="H255"/>
      <c r="J255" s="1"/>
      <c r="K255" s="1" t="s">
        <v>28</v>
      </c>
      <c r="L255" s="1" t="s">
        <v>13</v>
      </c>
      <c r="M255"/>
      <c r="N255"/>
      <c r="O255"/>
      <c r="P255"/>
      <c r="Q255"/>
      <c r="R255"/>
      <c r="S255"/>
      <c r="T255"/>
    </row>
    <row r="256" spans="1:20" x14ac:dyDescent="0.25">
      <c r="B256"/>
      <c r="E256"/>
      <c r="H256"/>
      <c r="J256" s="1">
        <v>58018</v>
      </c>
      <c r="K256" s="36" t="s">
        <v>16</v>
      </c>
      <c r="L256" s="41" t="s">
        <v>26</v>
      </c>
      <c r="M256"/>
      <c r="N256"/>
      <c r="O256"/>
      <c r="P256"/>
      <c r="Q256"/>
      <c r="R256"/>
      <c r="S256"/>
      <c r="T256"/>
    </row>
    <row r="257" spans="2:20" x14ac:dyDescent="0.25">
      <c r="B257"/>
      <c r="E257"/>
      <c r="H257"/>
      <c r="J257" s="1">
        <v>60210</v>
      </c>
      <c r="K257" s="36" t="s">
        <v>15</v>
      </c>
      <c r="L257" s="36" t="s">
        <v>62</v>
      </c>
      <c r="M257"/>
      <c r="N257"/>
      <c r="O257"/>
      <c r="P257"/>
      <c r="Q257"/>
      <c r="R257"/>
      <c r="S257"/>
      <c r="T257"/>
    </row>
    <row r="258" spans="2:20" x14ac:dyDescent="0.25">
      <c r="B258"/>
      <c r="E258"/>
      <c r="H258"/>
      <c r="J258" s="1">
        <v>60830</v>
      </c>
      <c r="K258" s="1" t="s">
        <v>15</v>
      </c>
      <c r="L258" s="36" t="s">
        <v>62</v>
      </c>
      <c r="M258"/>
      <c r="N258"/>
      <c r="O258"/>
      <c r="P258"/>
      <c r="Q258"/>
      <c r="R258"/>
      <c r="S258"/>
      <c r="T258"/>
    </row>
    <row r="259" spans="2:20" x14ac:dyDescent="0.25">
      <c r="B259"/>
      <c r="E259"/>
      <c r="H259"/>
      <c r="J259" s="1">
        <v>61893</v>
      </c>
      <c r="K259" s="1" t="s">
        <v>15</v>
      </c>
      <c r="L259" s="36" t="s">
        <v>22</v>
      </c>
      <c r="M259"/>
      <c r="N259"/>
      <c r="O259"/>
      <c r="P259"/>
      <c r="Q259"/>
      <c r="R259"/>
      <c r="S259"/>
      <c r="T259"/>
    </row>
    <row r="260" spans="2:20" x14ac:dyDescent="0.25">
      <c r="B260"/>
      <c r="E260"/>
      <c r="H260"/>
      <c r="J260" s="1"/>
      <c r="K260" s="1"/>
      <c r="L260" s="36" t="s">
        <v>25</v>
      </c>
      <c r="M260"/>
      <c r="N260"/>
      <c r="O260"/>
      <c r="P260"/>
      <c r="Q260"/>
      <c r="R260"/>
      <c r="S260"/>
      <c r="T260"/>
    </row>
    <row r="261" spans="2:20" x14ac:dyDescent="0.25">
      <c r="B261"/>
      <c r="E261"/>
      <c r="H261"/>
      <c r="J261" s="1">
        <v>63654</v>
      </c>
      <c r="K261" s="1" t="s">
        <v>15</v>
      </c>
      <c r="L261" s="36" t="s">
        <v>19</v>
      </c>
      <c r="M261"/>
      <c r="N261"/>
      <c r="O261"/>
      <c r="P261"/>
      <c r="Q261"/>
      <c r="R261"/>
      <c r="S261"/>
      <c r="T261"/>
    </row>
    <row r="262" spans="2:20" x14ac:dyDescent="0.25">
      <c r="B262"/>
      <c r="E262"/>
      <c r="H262"/>
      <c r="J262" s="1"/>
      <c r="K262" s="1"/>
      <c r="L262" s="36" t="s">
        <v>20</v>
      </c>
      <c r="M262"/>
      <c r="N262"/>
      <c r="O262"/>
      <c r="P262"/>
      <c r="Q262"/>
      <c r="R262"/>
      <c r="S262"/>
      <c r="T262"/>
    </row>
    <row r="263" spans="2:20" x14ac:dyDescent="0.25">
      <c r="B263"/>
      <c r="E263"/>
      <c r="H263"/>
      <c r="J263" s="1"/>
      <c r="K263" s="1"/>
      <c r="L263" s="36" t="s">
        <v>22</v>
      </c>
      <c r="M263"/>
      <c r="N263"/>
      <c r="O263"/>
      <c r="P263"/>
      <c r="Q263"/>
      <c r="R263"/>
      <c r="S263"/>
      <c r="T263"/>
    </row>
    <row r="264" spans="2:20" x14ac:dyDescent="0.25">
      <c r="B264"/>
      <c r="E264"/>
      <c r="H264"/>
      <c r="J264" s="1"/>
      <c r="K264" s="1"/>
      <c r="L264" s="36" t="s">
        <v>34</v>
      </c>
      <c r="M264"/>
      <c r="N264"/>
      <c r="O264"/>
      <c r="P264"/>
      <c r="Q264"/>
      <c r="R264"/>
      <c r="S264"/>
      <c r="T264"/>
    </row>
    <row r="265" spans="2:20" x14ac:dyDescent="0.25">
      <c r="B265"/>
      <c r="E265"/>
      <c r="H265"/>
      <c r="J265" s="1"/>
      <c r="K265" s="36" t="s">
        <v>13</v>
      </c>
      <c r="L265" s="36" t="s">
        <v>34</v>
      </c>
      <c r="M265"/>
      <c r="N265"/>
      <c r="O265"/>
      <c r="P265"/>
      <c r="Q265"/>
      <c r="R265"/>
      <c r="S265"/>
      <c r="T265"/>
    </row>
    <row r="266" spans="2:20" x14ac:dyDescent="0.25">
      <c r="B266"/>
      <c r="E266"/>
      <c r="H266"/>
      <c r="J266" s="1">
        <v>63984</v>
      </c>
      <c r="K266" s="36" t="s">
        <v>15</v>
      </c>
      <c r="L266" s="36" t="s">
        <v>19</v>
      </c>
      <c r="M266"/>
      <c r="N266"/>
      <c r="O266"/>
      <c r="P266"/>
      <c r="Q266"/>
      <c r="R266"/>
      <c r="S266"/>
      <c r="T266"/>
    </row>
    <row r="267" spans="2:20" x14ac:dyDescent="0.25">
      <c r="B267"/>
      <c r="E267"/>
      <c r="H267"/>
      <c r="J267" s="1"/>
      <c r="K267" s="36"/>
      <c r="L267" s="36" t="s">
        <v>22</v>
      </c>
      <c r="M267"/>
      <c r="N267"/>
      <c r="O267"/>
      <c r="P267"/>
      <c r="Q267"/>
      <c r="R267"/>
      <c r="S267"/>
      <c r="T267"/>
    </row>
    <row r="268" spans="2:20" x14ac:dyDescent="0.25">
      <c r="B268"/>
      <c r="E268"/>
      <c r="H268"/>
      <c r="J268" s="1"/>
      <c r="K268" s="36"/>
      <c r="L268" s="36" t="s">
        <v>34</v>
      </c>
      <c r="M268"/>
      <c r="N268"/>
      <c r="O268"/>
      <c r="P268"/>
      <c r="Q268"/>
      <c r="R268"/>
      <c r="S268"/>
      <c r="T268"/>
    </row>
    <row r="269" spans="2:20" x14ac:dyDescent="0.25">
      <c r="B269"/>
      <c r="E269"/>
      <c r="H269"/>
      <c r="J269" s="1">
        <v>65913</v>
      </c>
      <c r="K269" s="1" t="s">
        <v>15</v>
      </c>
      <c r="L269" s="36" t="s">
        <v>22</v>
      </c>
      <c r="M269"/>
      <c r="N269"/>
      <c r="O269"/>
      <c r="P269"/>
      <c r="Q269"/>
      <c r="R269"/>
      <c r="S269"/>
      <c r="T269"/>
    </row>
    <row r="270" spans="2:20" x14ac:dyDescent="0.25">
      <c r="B270"/>
      <c r="E270"/>
      <c r="H270"/>
      <c r="J270" s="1"/>
      <c r="K270" s="1"/>
      <c r="L270" s="36" t="s">
        <v>49</v>
      </c>
      <c r="M270"/>
      <c r="N270"/>
      <c r="O270"/>
      <c r="P270"/>
      <c r="Q270"/>
      <c r="R270"/>
      <c r="S270"/>
      <c r="T270"/>
    </row>
    <row r="271" spans="2:20" x14ac:dyDescent="0.25">
      <c r="B271"/>
      <c r="E271"/>
      <c r="H271"/>
      <c r="J271" s="1"/>
      <c r="K271" s="36" t="s">
        <v>13</v>
      </c>
      <c r="L271" s="1" t="s">
        <v>23</v>
      </c>
      <c r="M271"/>
      <c r="N271"/>
      <c r="O271"/>
      <c r="P271"/>
      <c r="Q271"/>
      <c r="R271"/>
      <c r="S271"/>
      <c r="T271"/>
    </row>
    <row r="272" spans="2:20" x14ac:dyDescent="0.25">
      <c r="B272"/>
      <c r="E272"/>
      <c r="H272"/>
      <c r="J272" s="1">
        <v>66220</v>
      </c>
      <c r="K272" s="36" t="s">
        <v>16</v>
      </c>
      <c r="L272" s="41" t="s">
        <v>64</v>
      </c>
      <c r="M272"/>
      <c r="N272"/>
      <c r="O272"/>
      <c r="P272"/>
      <c r="Q272"/>
      <c r="R272"/>
      <c r="S272"/>
      <c r="T272"/>
    </row>
    <row r="273" spans="2:20" x14ac:dyDescent="0.25">
      <c r="B273"/>
      <c r="E273"/>
      <c r="H273"/>
      <c r="J273" s="1"/>
      <c r="K273" s="36" t="s">
        <v>13</v>
      </c>
      <c r="L273" s="36" t="s">
        <v>25</v>
      </c>
      <c r="M273"/>
      <c r="N273"/>
      <c r="O273"/>
      <c r="P273"/>
      <c r="Q273"/>
      <c r="R273"/>
      <c r="S273"/>
      <c r="T273"/>
    </row>
    <row r="274" spans="2:20" x14ac:dyDescent="0.25">
      <c r="B274"/>
      <c r="E274"/>
      <c r="H274"/>
      <c r="J274" s="1">
        <v>67927</v>
      </c>
      <c r="K274" s="1" t="s">
        <v>13</v>
      </c>
      <c r="L274" s="36" t="s">
        <v>25</v>
      </c>
      <c r="M274"/>
      <c r="N274"/>
      <c r="O274"/>
      <c r="P274"/>
      <c r="Q274"/>
      <c r="R274"/>
      <c r="S274"/>
      <c r="T274"/>
    </row>
    <row r="275" spans="2:20" x14ac:dyDescent="0.25">
      <c r="B275"/>
      <c r="E275"/>
      <c r="H275"/>
      <c r="J275" s="1">
        <v>68804</v>
      </c>
      <c r="K275" s="36" t="s">
        <v>15</v>
      </c>
      <c r="L275" s="36" t="s">
        <v>22</v>
      </c>
      <c r="M275"/>
      <c r="N275"/>
      <c r="O275"/>
      <c r="P275"/>
      <c r="Q275"/>
      <c r="R275"/>
      <c r="S275"/>
      <c r="T275"/>
    </row>
    <row r="276" spans="2:20" x14ac:dyDescent="0.25">
      <c r="B276"/>
      <c r="E276"/>
      <c r="H276"/>
      <c r="J276" s="1"/>
      <c r="K276" s="36"/>
      <c r="L276" s="36" t="s">
        <v>25</v>
      </c>
      <c r="M276"/>
      <c r="N276"/>
      <c r="O276"/>
      <c r="P276"/>
      <c r="Q276"/>
      <c r="R276"/>
      <c r="S276"/>
      <c r="T276"/>
    </row>
    <row r="277" spans="2:20" x14ac:dyDescent="0.25">
      <c r="B277"/>
      <c r="E277"/>
      <c r="H277"/>
      <c r="J277" s="1">
        <v>68805</v>
      </c>
      <c r="K277" s="1" t="s">
        <v>15</v>
      </c>
      <c r="L277" s="36" t="s">
        <v>14</v>
      </c>
      <c r="M277"/>
      <c r="N277"/>
      <c r="O277"/>
      <c r="P277"/>
      <c r="Q277"/>
      <c r="R277"/>
      <c r="S277"/>
      <c r="T277"/>
    </row>
    <row r="278" spans="2:20" x14ac:dyDescent="0.25">
      <c r="B278"/>
      <c r="E278"/>
      <c r="H278"/>
      <c r="J278" s="1"/>
      <c r="K278" s="36" t="s">
        <v>13</v>
      </c>
      <c r="L278" s="36" t="s">
        <v>25</v>
      </c>
      <c r="M278"/>
      <c r="N278"/>
      <c r="O278"/>
      <c r="P278"/>
      <c r="Q278"/>
      <c r="R278"/>
      <c r="S278"/>
      <c r="T278"/>
    </row>
    <row r="279" spans="2:20" x14ac:dyDescent="0.25">
      <c r="B279"/>
      <c r="E279"/>
      <c r="H279"/>
      <c r="J279" s="1">
        <v>70940</v>
      </c>
      <c r="K279" s="36" t="s">
        <v>15</v>
      </c>
      <c r="L279" s="36" t="s">
        <v>62</v>
      </c>
      <c r="M279"/>
      <c r="N279"/>
      <c r="O279"/>
      <c r="P279"/>
      <c r="Q279"/>
      <c r="R279"/>
      <c r="S279"/>
      <c r="T279"/>
    </row>
    <row r="280" spans="2:20" x14ac:dyDescent="0.25">
      <c r="B280"/>
      <c r="E280"/>
      <c r="H280"/>
      <c r="J280" s="1">
        <v>72536</v>
      </c>
      <c r="K280" s="36" t="s">
        <v>13</v>
      </c>
      <c r="L280" s="36" t="s">
        <v>25</v>
      </c>
      <c r="M280"/>
      <c r="N280"/>
      <c r="O280"/>
      <c r="P280"/>
      <c r="Q280"/>
      <c r="R280"/>
      <c r="S280"/>
      <c r="T280"/>
    </row>
    <row r="281" spans="2:20" x14ac:dyDescent="0.25">
      <c r="B281"/>
      <c r="E281"/>
      <c r="H281"/>
      <c r="J281" s="1">
        <v>78230</v>
      </c>
      <c r="K281" s="36" t="s">
        <v>16</v>
      </c>
      <c r="L281" s="41" t="s">
        <v>65</v>
      </c>
    </row>
    <row r="282" spans="2:20" x14ac:dyDescent="0.25">
      <c r="B282"/>
      <c r="E282"/>
      <c r="H282"/>
      <c r="J282" s="1"/>
      <c r="K282" s="36" t="s">
        <v>13</v>
      </c>
      <c r="L282" s="36" t="s">
        <v>25</v>
      </c>
    </row>
    <row r="283" spans="2:20" x14ac:dyDescent="0.25">
      <c r="B283"/>
      <c r="E283"/>
      <c r="H283"/>
      <c r="J283" s="1">
        <v>78599</v>
      </c>
      <c r="K283" s="1" t="s">
        <v>13</v>
      </c>
      <c r="L283" s="36" t="s">
        <v>25</v>
      </c>
    </row>
    <row r="284" spans="2:20" x14ac:dyDescent="0.25">
      <c r="B284"/>
      <c r="E284"/>
      <c r="H284"/>
      <c r="J284" s="1">
        <v>78933</v>
      </c>
      <c r="K284" s="1" t="s">
        <v>13</v>
      </c>
      <c r="L284" s="36" t="s">
        <v>25</v>
      </c>
    </row>
    <row r="285" spans="2:20" x14ac:dyDescent="0.25">
      <c r="B285"/>
      <c r="E285"/>
      <c r="H285"/>
      <c r="J285" s="1">
        <v>89394</v>
      </c>
      <c r="K285" s="1" t="s">
        <v>16</v>
      </c>
      <c r="L285" s="43" t="s">
        <v>26</v>
      </c>
    </row>
    <row r="286" spans="2:20" x14ac:dyDescent="0.25">
      <c r="B286"/>
      <c r="E286"/>
      <c r="H286"/>
      <c r="J286" s="1"/>
      <c r="K286" s="36" t="s">
        <v>13</v>
      </c>
      <c r="L286" s="36" t="s">
        <v>25</v>
      </c>
    </row>
    <row r="287" spans="2:20" x14ac:dyDescent="0.25">
      <c r="B287"/>
      <c r="E287"/>
      <c r="H287"/>
      <c r="J287" s="1">
        <v>91617</v>
      </c>
      <c r="K287" s="1" t="s">
        <v>13</v>
      </c>
      <c r="L287" s="36" t="s">
        <v>25</v>
      </c>
    </row>
    <row r="288" spans="2:20" x14ac:dyDescent="0.25">
      <c r="B288"/>
      <c r="E288"/>
      <c r="H288"/>
      <c r="J288" s="1">
        <v>96536</v>
      </c>
      <c r="K288" s="36" t="s">
        <v>15</v>
      </c>
      <c r="L288" s="36" t="s">
        <v>33</v>
      </c>
    </row>
    <row r="289" spans="2:12" x14ac:dyDescent="0.25">
      <c r="B289"/>
      <c r="E289"/>
      <c r="H289"/>
      <c r="J289" s="1">
        <v>106982</v>
      </c>
      <c r="K289" s="36" t="s">
        <v>13</v>
      </c>
      <c r="L289" s="36" t="s">
        <v>25</v>
      </c>
    </row>
    <row r="290" spans="2:12" x14ac:dyDescent="0.25">
      <c r="B290"/>
      <c r="E290"/>
      <c r="H290"/>
      <c r="J290" s="1">
        <v>167236</v>
      </c>
      <c r="K290" s="36" t="s">
        <v>15</v>
      </c>
      <c r="L290" s="36" t="s">
        <v>52</v>
      </c>
    </row>
    <row r="291" spans="2:12" x14ac:dyDescent="0.25">
      <c r="B291"/>
      <c r="E291"/>
      <c r="H291"/>
      <c r="J291" s="1"/>
      <c r="K291" s="36" t="s">
        <v>21</v>
      </c>
      <c r="L291" s="36" t="s">
        <v>25</v>
      </c>
    </row>
    <row r="292" spans="2:12" x14ac:dyDescent="0.25">
      <c r="B292"/>
      <c r="E292"/>
      <c r="H292"/>
      <c r="J292" s="1">
        <v>169306</v>
      </c>
      <c r="K292" s="36" t="s">
        <v>13</v>
      </c>
      <c r="L292" s="36" t="s">
        <v>25</v>
      </c>
    </row>
    <row r="293" spans="2:12" x14ac:dyDescent="0.25">
      <c r="B293"/>
      <c r="E293"/>
      <c r="H293"/>
      <c r="J293" s="1">
        <v>178667</v>
      </c>
      <c r="K293" s="36" t="s">
        <v>15</v>
      </c>
      <c r="L293" s="36" t="s">
        <v>25</v>
      </c>
    </row>
    <row r="294" spans="2:12" x14ac:dyDescent="0.25">
      <c r="B294"/>
      <c r="E294"/>
      <c r="H294"/>
      <c r="J294" s="1">
        <v>346579</v>
      </c>
      <c r="K294" s="36" t="s">
        <v>13</v>
      </c>
      <c r="L294" s="36" t="s">
        <v>25</v>
      </c>
    </row>
    <row r="295" spans="2:12" x14ac:dyDescent="0.25">
      <c r="B295"/>
      <c r="E295"/>
      <c r="H295"/>
      <c r="J295" s="1" t="s">
        <v>56</v>
      </c>
      <c r="K295" s="36" t="s">
        <v>15</v>
      </c>
      <c r="L295" s="36" t="s">
        <v>29</v>
      </c>
    </row>
    <row r="296" spans="2:12" x14ac:dyDescent="0.25">
      <c r="B296"/>
      <c r="E296"/>
      <c r="H296"/>
      <c r="J296" s="1">
        <v>72934</v>
      </c>
      <c r="K296" s="1" t="s">
        <v>28</v>
      </c>
      <c r="L296" s="1" t="s">
        <v>21</v>
      </c>
    </row>
    <row r="297" spans="2:12" x14ac:dyDescent="0.25">
      <c r="B297"/>
      <c r="E297"/>
      <c r="H297"/>
      <c r="J297" s="1">
        <v>9604</v>
      </c>
      <c r="K297" s="1" t="s">
        <v>28</v>
      </c>
      <c r="L297" s="1" t="s">
        <v>21</v>
      </c>
    </row>
    <row r="298" spans="2:12" x14ac:dyDescent="0.25">
      <c r="B298"/>
      <c r="E298"/>
      <c r="H298"/>
      <c r="J298" s="1">
        <v>9606</v>
      </c>
      <c r="K298" s="1" t="s">
        <v>28</v>
      </c>
      <c r="L298" s="1" t="s">
        <v>21</v>
      </c>
    </row>
    <row r="299" spans="2:12" x14ac:dyDescent="0.25">
      <c r="B299"/>
      <c r="E299"/>
      <c r="H299"/>
      <c r="J299" s="1">
        <v>9607</v>
      </c>
      <c r="K299" s="1" t="s">
        <v>28</v>
      </c>
      <c r="L299" s="1" t="s">
        <v>21</v>
      </c>
    </row>
    <row r="300" spans="2:12" x14ac:dyDescent="0.25">
      <c r="B300"/>
      <c r="E300"/>
      <c r="H300"/>
      <c r="J300" s="1">
        <v>9608</v>
      </c>
      <c r="K300" s="1" t="s">
        <v>28</v>
      </c>
      <c r="L300" s="1" t="s">
        <v>21</v>
      </c>
    </row>
    <row r="301" spans="2:12" x14ac:dyDescent="0.25">
      <c r="B301"/>
      <c r="E301"/>
      <c r="H301"/>
    </row>
    <row r="302" spans="2:12" x14ac:dyDescent="0.25">
      <c r="B302"/>
      <c r="E302"/>
      <c r="H302"/>
    </row>
    <row r="303" spans="2:12" x14ac:dyDescent="0.25">
      <c r="B303"/>
      <c r="E303"/>
      <c r="H303"/>
    </row>
    <row r="304" spans="2:12" x14ac:dyDescent="0.25">
      <c r="B304"/>
      <c r="E304"/>
      <c r="H304"/>
    </row>
    <row r="305" spans="2:8" x14ac:dyDescent="0.25">
      <c r="B305"/>
      <c r="E305"/>
      <c r="H305"/>
    </row>
    <row r="306" spans="2:8" x14ac:dyDescent="0.25">
      <c r="B306"/>
      <c r="E306"/>
      <c r="H306"/>
    </row>
    <row r="307" spans="2:8" x14ac:dyDescent="0.25">
      <c r="B307"/>
      <c r="E307"/>
      <c r="H307"/>
    </row>
    <row r="308" spans="2:8" x14ac:dyDescent="0.25">
      <c r="B308"/>
      <c r="E308"/>
      <c r="H308"/>
    </row>
    <row r="309" spans="2:8" x14ac:dyDescent="0.25">
      <c r="B309"/>
      <c r="E309"/>
      <c r="H309"/>
    </row>
    <row r="310" spans="2:8" x14ac:dyDescent="0.25">
      <c r="B310"/>
      <c r="E310"/>
      <c r="H310"/>
    </row>
    <row r="311" spans="2:8" x14ac:dyDescent="0.25">
      <c r="B311"/>
      <c r="E311"/>
      <c r="H311"/>
    </row>
    <row r="312" spans="2:8" x14ac:dyDescent="0.25">
      <c r="B312"/>
      <c r="E312"/>
      <c r="H312"/>
    </row>
    <row r="313" spans="2:8" x14ac:dyDescent="0.25">
      <c r="B313"/>
      <c r="E313"/>
      <c r="H313"/>
    </row>
    <row r="314" spans="2:8" x14ac:dyDescent="0.25">
      <c r="B314"/>
      <c r="E314"/>
      <c r="H314"/>
    </row>
    <row r="315" spans="2:8" x14ac:dyDescent="0.25">
      <c r="B315"/>
      <c r="E315"/>
      <c r="H315"/>
    </row>
    <row r="316" spans="2:8" x14ac:dyDescent="0.25">
      <c r="B316"/>
      <c r="E316"/>
      <c r="H316"/>
    </row>
    <row r="317" spans="2:8" x14ac:dyDescent="0.25">
      <c r="B317"/>
      <c r="E317"/>
      <c r="H317"/>
    </row>
    <row r="318" spans="2:8" x14ac:dyDescent="0.25">
      <c r="B318"/>
      <c r="E318"/>
      <c r="H318"/>
    </row>
    <row r="319" spans="2:8" x14ac:dyDescent="0.25">
      <c r="B319"/>
      <c r="E319"/>
      <c r="H319"/>
    </row>
    <row r="320" spans="2:8" x14ac:dyDescent="0.25">
      <c r="B320"/>
      <c r="E320"/>
      <c r="H320"/>
    </row>
    <row r="321" spans="2:8" x14ac:dyDescent="0.25">
      <c r="B321"/>
      <c r="E321"/>
      <c r="H321"/>
    </row>
    <row r="322" spans="2:8" x14ac:dyDescent="0.25">
      <c r="B322"/>
      <c r="E322"/>
      <c r="H322"/>
    </row>
    <row r="323" spans="2:8" x14ac:dyDescent="0.25">
      <c r="B323"/>
      <c r="E323"/>
      <c r="H323"/>
    </row>
    <row r="324" spans="2:8" x14ac:dyDescent="0.25">
      <c r="B324"/>
      <c r="E324"/>
      <c r="H324"/>
    </row>
    <row r="325" spans="2:8" x14ac:dyDescent="0.25">
      <c r="B325"/>
      <c r="E325"/>
      <c r="H325"/>
    </row>
    <row r="326" spans="2:8" x14ac:dyDescent="0.25">
      <c r="B326"/>
      <c r="E326"/>
      <c r="H326"/>
    </row>
    <row r="327" spans="2:8" x14ac:dyDescent="0.25">
      <c r="B327"/>
      <c r="E327"/>
      <c r="H327"/>
    </row>
    <row r="328" spans="2:8" x14ac:dyDescent="0.25">
      <c r="B328"/>
      <c r="E328"/>
      <c r="H328"/>
    </row>
    <row r="329" spans="2:8" x14ac:dyDescent="0.25">
      <c r="B329"/>
      <c r="E329"/>
      <c r="H329"/>
    </row>
    <row r="330" spans="2:8" x14ac:dyDescent="0.25">
      <c r="B330"/>
      <c r="E330"/>
      <c r="H330"/>
    </row>
    <row r="331" spans="2:8" x14ac:dyDescent="0.25">
      <c r="B331"/>
      <c r="E331"/>
      <c r="H331"/>
    </row>
    <row r="332" spans="2:8" x14ac:dyDescent="0.25">
      <c r="B332"/>
      <c r="E332"/>
      <c r="H332"/>
    </row>
    <row r="333" spans="2:8" x14ac:dyDescent="0.25">
      <c r="B333"/>
      <c r="E333"/>
      <c r="H333"/>
    </row>
    <row r="334" spans="2:8" x14ac:dyDescent="0.25">
      <c r="B334"/>
      <c r="E334"/>
      <c r="H334"/>
    </row>
    <row r="335" spans="2:8" x14ac:dyDescent="0.25">
      <c r="B335"/>
      <c r="E335"/>
      <c r="H335"/>
    </row>
    <row r="336" spans="2:8" x14ac:dyDescent="0.25">
      <c r="B336"/>
      <c r="E336"/>
      <c r="H336"/>
    </row>
    <row r="337" spans="2:8" x14ac:dyDescent="0.25">
      <c r="B337"/>
      <c r="E337"/>
      <c r="H337"/>
    </row>
    <row r="338" spans="2:8" x14ac:dyDescent="0.25">
      <c r="B338"/>
      <c r="E338"/>
      <c r="H338"/>
    </row>
    <row r="339" spans="2:8" x14ac:dyDescent="0.25">
      <c r="B339"/>
      <c r="E339"/>
      <c r="H339"/>
    </row>
    <row r="340" spans="2:8" x14ac:dyDescent="0.25">
      <c r="B340"/>
      <c r="E340"/>
      <c r="H340"/>
    </row>
    <row r="341" spans="2:8" x14ac:dyDescent="0.25">
      <c r="B341"/>
      <c r="E341"/>
      <c r="H341"/>
    </row>
    <row r="342" spans="2:8" x14ac:dyDescent="0.25">
      <c r="B342"/>
      <c r="E342"/>
      <c r="H342"/>
    </row>
    <row r="343" spans="2:8" x14ac:dyDescent="0.25">
      <c r="B343"/>
      <c r="E343"/>
      <c r="H343"/>
    </row>
    <row r="344" spans="2:8" x14ac:dyDescent="0.25">
      <c r="B344"/>
      <c r="E344"/>
      <c r="H344"/>
    </row>
    <row r="345" spans="2:8" x14ac:dyDescent="0.25">
      <c r="B345"/>
      <c r="E345"/>
      <c r="H345"/>
    </row>
    <row r="346" spans="2:8" x14ac:dyDescent="0.25">
      <c r="B346"/>
      <c r="E346"/>
      <c r="H346"/>
    </row>
    <row r="347" spans="2:8" x14ac:dyDescent="0.25">
      <c r="B347"/>
      <c r="E347"/>
      <c r="H347"/>
    </row>
    <row r="348" spans="2:8" x14ac:dyDescent="0.25">
      <c r="B348"/>
      <c r="E348"/>
      <c r="H348"/>
    </row>
    <row r="349" spans="2:8" x14ac:dyDescent="0.25">
      <c r="B349"/>
      <c r="E349"/>
      <c r="H349"/>
    </row>
    <row r="350" spans="2:8" x14ac:dyDescent="0.25">
      <c r="B350"/>
      <c r="E350"/>
      <c r="H350"/>
    </row>
    <row r="351" spans="2:8" x14ac:dyDescent="0.25">
      <c r="B351"/>
      <c r="E351"/>
      <c r="H351"/>
    </row>
    <row r="352" spans="2:8" x14ac:dyDescent="0.25">
      <c r="B352"/>
      <c r="E352"/>
      <c r="H352"/>
    </row>
    <row r="353" spans="2:8" x14ac:dyDescent="0.25">
      <c r="B353"/>
      <c r="E353"/>
      <c r="H353"/>
    </row>
    <row r="354" spans="2:8" x14ac:dyDescent="0.25">
      <c r="B354"/>
      <c r="E354"/>
      <c r="H354"/>
    </row>
    <row r="355" spans="2:8" x14ac:dyDescent="0.25">
      <c r="B355"/>
      <c r="E355"/>
      <c r="H355"/>
    </row>
    <row r="356" spans="2:8" x14ac:dyDescent="0.25">
      <c r="B356"/>
      <c r="E356"/>
      <c r="H356"/>
    </row>
    <row r="357" spans="2:8" x14ac:dyDescent="0.25">
      <c r="B357"/>
      <c r="E357"/>
      <c r="H357"/>
    </row>
    <row r="358" spans="2:8" x14ac:dyDescent="0.25">
      <c r="B358"/>
      <c r="E358"/>
      <c r="H358"/>
    </row>
    <row r="359" spans="2:8" x14ac:dyDescent="0.25">
      <c r="B359"/>
      <c r="E359"/>
      <c r="H359"/>
    </row>
    <row r="360" spans="2:8" x14ac:dyDescent="0.25">
      <c r="B360"/>
      <c r="E360"/>
      <c r="H360"/>
    </row>
    <row r="361" spans="2:8" x14ac:dyDescent="0.25">
      <c r="B361"/>
      <c r="E361"/>
      <c r="H361"/>
    </row>
    <row r="362" spans="2:8" x14ac:dyDescent="0.25">
      <c r="B362"/>
      <c r="E362"/>
      <c r="H362"/>
    </row>
    <row r="363" spans="2:8" x14ac:dyDescent="0.25">
      <c r="B363"/>
      <c r="E363"/>
      <c r="H363"/>
    </row>
    <row r="364" spans="2:8" x14ac:dyDescent="0.25">
      <c r="B364"/>
      <c r="E364"/>
      <c r="H364"/>
    </row>
    <row r="365" spans="2:8" x14ac:dyDescent="0.25">
      <c r="B365"/>
      <c r="E365"/>
      <c r="H365"/>
    </row>
    <row r="366" spans="2:8" x14ac:dyDescent="0.25">
      <c r="B366"/>
      <c r="E366"/>
      <c r="H366"/>
    </row>
    <row r="367" spans="2:8" x14ac:dyDescent="0.25">
      <c r="B367"/>
      <c r="E367"/>
      <c r="H367"/>
    </row>
    <row r="368" spans="2:8" x14ac:dyDescent="0.25">
      <c r="B368"/>
      <c r="E368"/>
      <c r="H368"/>
    </row>
    <row r="369" spans="2:8" x14ac:dyDescent="0.25">
      <c r="B369"/>
      <c r="E369"/>
      <c r="H369"/>
    </row>
    <row r="370" spans="2:8" x14ac:dyDescent="0.25">
      <c r="B370"/>
      <c r="E370"/>
      <c r="H370"/>
    </row>
    <row r="371" spans="2:8" x14ac:dyDescent="0.25">
      <c r="B371"/>
      <c r="E371"/>
      <c r="H371"/>
    </row>
    <row r="372" spans="2:8" x14ac:dyDescent="0.25">
      <c r="B372"/>
      <c r="E372"/>
      <c r="H372"/>
    </row>
    <row r="373" spans="2:8" x14ac:dyDescent="0.25">
      <c r="B373"/>
      <c r="E373"/>
      <c r="H373"/>
    </row>
    <row r="374" spans="2:8" x14ac:dyDescent="0.25">
      <c r="B374"/>
      <c r="E374"/>
      <c r="H374"/>
    </row>
    <row r="375" spans="2:8" x14ac:dyDescent="0.25">
      <c r="B375"/>
      <c r="E375"/>
      <c r="H375"/>
    </row>
    <row r="376" spans="2:8" x14ac:dyDescent="0.25">
      <c r="B376"/>
      <c r="E376"/>
      <c r="H376"/>
    </row>
    <row r="377" spans="2:8" x14ac:dyDescent="0.25">
      <c r="B377"/>
      <c r="E377"/>
      <c r="H377"/>
    </row>
    <row r="378" spans="2:8" x14ac:dyDescent="0.25">
      <c r="B378"/>
      <c r="E378"/>
      <c r="H378"/>
    </row>
    <row r="379" spans="2:8" x14ac:dyDescent="0.25">
      <c r="B379"/>
      <c r="E379"/>
      <c r="H379"/>
    </row>
    <row r="380" spans="2:8" x14ac:dyDescent="0.25">
      <c r="B380"/>
      <c r="E380"/>
      <c r="H380"/>
    </row>
    <row r="381" spans="2:8" x14ac:dyDescent="0.25">
      <c r="B381"/>
      <c r="E381"/>
      <c r="H381"/>
    </row>
    <row r="382" spans="2:8" x14ac:dyDescent="0.25">
      <c r="B382"/>
      <c r="E382"/>
      <c r="H382"/>
    </row>
    <row r="383" spans="2:8" x14ac:dyDescent="0.25">
      <c r="B383"/>
      <c r="E383"/>
      <c r="H383"/>
    </row>
    <row r="384" spans="2:8" x14ac:dyDescent="0.25">
      <c r="B384"/>
      <c r="E384"/>
      <c r="H384"/>
    </row>
    <row r="385" spans="2:8" x14ac:dyDescent="0.25">
      <c r="B385"/>
      <c r="E385"/>
      <c r="H385"/>
    </row>
    <row r="386" spans="2:8" x14ac:dyDescent="0.25">
      <c r="B386"/>
      <c r="E386"/>
      <c r="H386"/>
    </row>
    <row r="387" spans="2:8" x14ac:dyDescent="0.25">
      <c r="B387"/>
      <c r="E387"/>
      <c r="H387"/>
    </row>
    <row r="388" spans="2:8" x14ac:dyDescent="0.25">
      <c r="B388"/>
      <c r="E388"/>
      <c r="H388"/>
    </row>
    <row r="389" spans="2:8" x14ac:dyDescent="0.25">
      <c r="B389"/>
      <c r="E389"/>
      <c r="H389"/>
    </row>
    <row r="390" spans="2:8" x14ac:dyDescent="0.25">
      <c r="B390"/>
      <c r="E390"/>
      <c r="H390"/>
    </row>
    <row r="391" spans="2:8" x14ac:dyDescent="0.25">
      <c r="B391"/>
      <c r="E391"/>
      <c r="H391"/>
    </row>
    <row r="392" spans="2:8" x14ac:dyDescent="0.25">
      <c r="B392"/>
      <c r="E392"/>
      <c r="H392"/>
    </row>
    <row r="393" spans="2:8" x14ac:dyDescent="0.25">
      <c r="B393"/>
      <c r="E393"/>
      <c r="H393"/>
    </row>
    <row r="394" spans="2:8" x14ac:dyDescent="0.25">
      <c r="B394"/>
      <c r="E394"/>
      <c r="H394"/>
    </row>
    <row r="395" spans="2:8" x14ac:dyDescent="0.25">
      <c r="B395"/>
      <c r="E395"/>
      <c r="H395"/>
    </row>
    <row r="396" spans="2:8" x14ac:dyDescent="0.25">
      <c r="B396"/>
      <c r="E396"/>
      <c r="H396"/>
    </row>
    <row r="397" spans="2:8" x14ac:dyDescent="0.25">
      <c r="B397"/>
      <c r="E397"/>
      <c r="H397"/>
    </row>
    <row r="398" spans="2:8" x14ac:dyDescent="0.25">
      <c r="B398"/>
      <c r="E398"/>
      <c r="H398"/>
    </row>
    <row r="399" spans="2:8" x14ac:dyDescent="0.25">
      <c r="B399"/>
      <c r="E399"/>
      <c r="H399"/>
    </row>
    <row r="400" spans="2:8" x14ac:dyDescent="0.25">
      <c r="B400"/>
      <c r="E400"/>
      <c r="H400"/>
    </row>
    <row r="401" spans="2:8" x14ac:dyDescent="0.25">
      <c r="B401"/>
      <c r="E401"/>
      <c r="H401"/>
    </row>
    <row r="402" spans="2:8" x14ac:dyDescent="0.25">
      <c r="B402"/>
      <c r="E402"/>
      <c r="H402"/>
    </row>
    <row r="403" spans="2:8" x14ac:dyDescent="0.25">
      <c r="B403"/>
      <c r="E403"/>
      <c r="H403"/>
    </row>
    <row r="404" spans="2:8" x14ac:dyDescent="0.25">
      <c r="B404"/>
      <c r="E404"/>
      <c r="H404"/>
    </row>
    <row r="405" spans="2:8" x14ac:dyDescent="0.25">
      <c r="B405"/>
      <c r="E405"/>
      <c r="H405"/>
    </row>
    <row r="406" spans="2:8" x14ac:dyDescent="0.25">
      <c r="B406"/>
      <c r="E406"/>
      <c r="H406"/>
    </row>
    <row r="407" spans="2:8" x14ac:dyDescent="0.25">
      <c r="B407"/>
      <c r="E407"/>
      <c r="H407"/>
    </row>
    <row r="408" spans="2:8" x14ac:dyDescent="0.25">
      <c r="B408"/>
      <c r="E408"/>
      <c r="H408"/>
    </row>
    <row r="409" spans="2:8" x14ac:dyDescent="0.25">
      <c r="B409"/>
      <c r="E409"/>
      <c r="H409"/>
    </row>
    <row r="410" spans="2:8" x14ac:dyDescent="0.25">
      <c r="B410"/>
      <c r="E410"/>
      <c r="H410"/>
    </row>
    <row r="411" spans="2:8" x14ac:dyDescent="0.25">
      <c r="B411"/>
      <c r="E411"/>
      <c r="H411"/>
    </row>
    <row r="412" spans="2:8" x14ac:dyDescent="0.25">
      <c r="B412"/>
      <c r="E412"/>
      <c r="H412"/>
    </row>
    <row r="413" spans="2:8" x14ac:dyDescent="0.25">
      <c r="B413"/>
      <c r="E413"/>
      <c r="H413"/>
    </row>
    <row r="414" spans="2:8" x14ac:dyDescent="0.25">
      <c r="B414"/>
      <c r="E414"/>
      <c r="H414"/>
    </row>
    <row r="415" spans="2:8" x14ac:dyDescent="0.25">
      <c r="B415"/>
      <c r="E415"/>
      <c r="H415"/>
    </row>
    <row r="416" spans="2:8" x14ac:dyDescent="0.25">
      <c r="B416"/>
      <c r="E416"/>
      <c r="H416"/>
    </row>
    <row r="417" spans="2:8" x14ac:dyDescent="0.25">
      <c r="B417"/>
      <c r="E417"/>
      <c r="H417"/>
    </row>
    <row r="418" spans="2:8" x14ac:dyDescent="0.25">
      <c r="B418"/>
      <c r="E418"/>
      <c r="H418"/>
    </row>
    <row r="419" spans="2:8" x14ac:dyDescent="0.25">
      <c r="B419"/>
      <c r="E419"/>
      <c r="H419"/>
    </row>
    <row r="420" spans="2:8" x14ac:dyDescent="0.25">
      <c r="B420"/>
      <c r="E420"/>
      <c r="H420"/>
    </row>
    <row r="421" spans="2:8" x14ac:dyDescent="0.25">
      <c r="B421"/>
      <c r="E421"/>
      <c r="H421"/>
    </row>
    <row r="422" spans="2:8" x14ac:dyDescent="0.25">
      <c r="B422"/>
      <c r="E422"/>
      <c r="H422"/>
    </row>
    <row r="423" spans="2:8" x14ac:dyDescent="0.25">
      <c r="B423"/>
      <c r="E423"/>
      <c r="H423"/>
    </row>
    <row r="424" spans="2:8" x14ac:dyDescent="0.25">
      <c r="B424"/>
      <c r="E424"/>
      <c r="H424"/>
    </row>
    <row r="425" spans="2:8" x14ac:dyDescent="0.25">
      <c r="B425"/>
      <c r="E425"/>
      <c r="H425"/>
    </row>
    <row r="426" spans="2:8" x14ac:dyDescent="0.25">
      <c r="B426"/>
      <c r="E426"/>
      <c r="H426"/>
    </row>
    <row r="427" spans="2:8" x14ac:dyDescent="0.25">
      <c r="B427"/>
      <c r="E427"/>
      <c r="H427"/>
    </row>
    <row r="428" spans="2:8" x14ac:dyDescent="0.25">
      <c r="B428"/>
      <c r="E428"/>
      <c r="H428"/>
    </row>
    <row r="429" spans="2:8" x14ac:dyDescent="0.25">
      <c r="B429"/>
      <c r="E429"/>
      <c r="H429"/>
    </row>
    <row r="430" spans="2:8" x14ac:dyDescent="0.25">
      <c r="B430"/>
      <c r="E430"/>
      <c r="H430"/>
    </row>
    <row r="431" spans="2:8" x14ac:dyDescent="0.25">
      <c r="B431"/>
      <c r="E431"/>
      <c r="H431"/>
    </row>
    <row r="432" spans="2:8" x14ac:dyDescent="0.25">
      <c r="B432"/>
      <c r="E432"/>
      <c r="H432"/>
    </row>
    <row r="433" spans="2:8" x14ac:dyDescent="0.25">
      <c r="B433"/>
      <c r="E433"/>
      <c r="H433"/>
    </row>
    <row r="434" spans="2:8" x14ac:dyDescent="0.25">
      <c r="B434"/>
      <c r="E434"/>
      <c r="H434"/>
    </row>
    <row r="435" spans="2:8" x14ac:dyDescent="0.25">
      <c r="B435"/>
      <c r="E435"/>
      <c r="H435"/>
    </row>
    <row r="436" spans="2:8" x14ac:dyDescent="0.25">
      <c r="B436"/>
      <c r="E436"/>
      <c r="H436"/>
    </row>
    <row r="437" spans="2:8" x14ac:dyDescent="0.25">
      <c r="B437"/>
      <c r="E437"/>
      <c r="H437"/>
    </row>
  </sheetData>
  <mergeCells count="3">
    <mergeCell ref="G3:H3"/>
    <mergeCell ref="N3:O3"/>
    <mergeCell ref="G2:H2"/>
  </mergeCells>
  <pageMargins left="0.511811024" right="0.511811024" top="0.78740157499999996" bottom="0.78740157499999996" header="0.31496062000000002" footer="0.31496062000000002"/>
  <pageSetup paperSize="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2F5B6-7D42-4E1C-A869-1A7134B40121}">
  <dimension ref="A1:AI1141"/>
  <sheetViews>
    <sheetView tabSelected="1" topLeftCell="E1" zoomScale="99" zoomScaleNormal="99" workbookViewId="0">
      <pane ySplit="1" topLeftCell="A2" activePane="bottomLeft" state="frozen"/>
      <selection pane="bottomLeft" activeCell="J398" sqref="J398"/>
    </sheetView>
  </sheetViews>
  <sheetFormatPr defaultColWidth="9.8984375" defaultRowHeight="11.5" x14ac:dyDescent="0.3"/>
  <cols>
    <col min="1" max="1" width="13.09765625" style="28" customWidth="1"/>
    <col min="2" max="2" width="11.19921875" style="28" customWidth="1"/>
    <col min="3" max="3" width="35.5" style="31" bestFit="1" customWidth="1"/>
    <col min="4" max="4" width="10" style="28" customWidth="1"/>
    <col min="5" max="5" width="16.19921875" style="28" customWidth="1"/>
    <col min="6" max="6" width="20.69921875" style="28" bestFit="1" customWidth="1"/>
    <col min="7" max="8" width="17.3984375" style="28" bestFit="1" customWidth="1"/>
    <col min="9" max="9" width="8" style="29" bestFit="1" customWidth="1"/>
    <col min="10" max="10" width="41.3984375" style="90" bestFit="1" customWidth="1"/>
    <col min="11" max="11" width="41.3984375" style="30" bestFit="1" customWidth="1"/>
    <col min="12" max="12" width="18.3984375" style="30" bestFit="1" customWidth="1"/>
    <col min="13" max="13" width="40.796875" style="31" customWidth="1"/>
    <col min="14" max="14" width="18.3984375" style="70" bestFit="1" customWidth="1"/>
    <col min="15" max="15" width="18.5" style="68" bestFit="1" customWidth="1"/>
    <col min="16" max="16" width="21.59765625" style="28" customWidth="1"/>
    <col min="17" max="17" width="15.69921875" style="28" customWidth="1"/>
    <col min="18" max="18" width="22.8984375" style="28" bestFit="1" customWidth="1"/>
    <col min="19" max="19" width="27.5" style="40" customWidth="1"/>
    <col min="20" max="20" width="19.8984375" style="40" bestFit="1" customWidth="1"/>
    <col min="21" max="21" width="24.09765625" style="28" bestFit="1" customWidth="1"/>
    <col min="22" max="22" width="43" style="40" customWidth="1"/>
    <col min="23" max="23" width="18.3984375" style="32" bestFit="1" customWidth="1"/>
    <col min="24" max="24" width="15.5" style="28" bestFit="1" customWidth="1"/>
    <col min="25" max="25" width="23" style="32" bestFit="1" customWidth="1"/>
    <col min="26" max="26" width="28.59765625" style="33" bestFit="1" customWidth="1"/>
    <col min="27" max="27" width="8.69921875" style="26" customWidth="1"/>
    <col min="28" max="28" width="8.69921875" style="24" customWidth="1"/>
    <col min="29" max="29" width="8.69921875" style="26" customWidth="1"/>
    <col min="30" max="35" width="8.69921875" style="27" customWidth="1"/>
    <col min="36" max="16384" width="9.8984375" style="24"/>
  </cols>
  <sheetData>
    <row r="1" spans="1:27" s="22" customFormat="1" x14ac:dyDescent="0.25">
      <c r="A1" s="6" t="s">
        <v>66</v>
      </c>
      <c r="B1" s="6" t="s">
        <v>67</v>
      </c>
      <c r="C1" s="45" t="s">
        <v>68</v>
      </c>
      <c r="D1" s="6" t="s">
        <v>0</v>
      </c>
      <c r="E1" s="6" t="s">
        <v>1178</v>
      </c>
      <c r="F1" s="7" t="s">
        <v>69</v>
      </c>
      <c r="G1" s="7" t="s">
        <v>70</v>
      </c>
      <c r="H1" s="7" t="s">
        <v>71</v>
      </c>
      <c r="I1" s="7" t="s">
        <v>72</v>
      </c>
      <c r="J1" s="87" t="s">
        <v>1230</v>
      </c>
      <c r="K1" s="8" t="s">
        <v>73</v>
      </c>
      <c r="L1" s="8" t="s">
        <v>1193</v>
      </c>
      <c r="M1" s="7" t="s">
        <v>74</v>
      </c>
      <c r="N1" s="69" t="s">
        <v>75</v>
      </c>
      <c r="O1" s="69" t="s">
        <v>76</v>
      </c>
      <c r="P1" s="7" t="s">
        <v>77</v>
      </c>
      <c r="Q1" s="7" t="s">
        <v>3</v>
      </c>
      <c r="R1" s="7" t="s">
        <v>10</v>
      </c>
      <c r="S1" s="7" t="s">
        <v>11</v>
      </c>
      <c r="T1" s="7" t="s">
        <v>78</v>
      </c>
      <c r="U1" s="9" t="s">
        <v>79</v>
      </c>
      <c r="V1" s="9" t="s">
        <v>80</v>
      </c>
      <c r="W1" s="9" t="s">
        <v>81</v>
      </c>
      <c r="X1" s="7" t="s">
        <v>82</v>
      </c>
      <c r="Y1" s="10" t="s">
        <v>83</v>
      </c>
      <c r="Z1" s="76" t="s">
        <v>84</v>
      </c>
      <c r="AA1" s="23"/>
    </row>
    <row r="2" spans="1:27" s="20" customFormat="1" hidden="1" x14ac:dyDescent="0.3">
      <c r="A2" s="12" t="s">
        <v>85</v>
      </c>
      <c r="B2" s="12">
        <v>378</v>
      </c>
      <c r="C2" s="11" t="s">
        <v>86</v>
      </c>
      <c r="D2" s="12" t="s">
        <v>1</v>
      </c>
      <c r="E2" s="12" t="s">
        <v>1185</v>
      </c>
      <c r="F2" s="12" t="s">
        <v>87</v>
      </c>
      <c r="G2" s="12" t="s">
        <v>113</v>
      </c>
      <c r="H2" s="12" t="s">
        <v>88</v>
      </c>
      <c r="I2" s="12" t="s">
        <v>89</v>
      </c>
      <c r="J2" s="11" t="s">
        <v>1243</v>
      </c>
      <c r="K2" s="11" t="s">
        <v>1243</v>
      </c>
      <c r="L2" s="11" t="s">
        <v>1199</v>
      </c>
      <c r="M2" s="11" t="s">
        <v>90</v>
      </c>
      <c r="N2" s="58">
        <v>195601</v>
      </c>
      <c r="O2" s="58">
        <v>666.5</v>
      </c>
      <c r="P2" s="12" t="s">
        <v>91</v>
      </c>
      <c r="Q2" s="12" t="s">
        <v>4</v>
      </c>
      <c r="R2" s="12" t="s">
        <v>15</v>
      </c>
      <c r="S2" s="12" t="s">
        <v>92</v>
      </c>
      <c r="T2" s="12">
        <v>1</v>
      </c>
      <c r="U2" s="13"/>
      <c r="V2" s="12" t="s">
        <v>1171</v>
      </c>
      <c r="W2" s="12" t="s">
        <v>92</v>
      </c>
      <c r="X2" s="12" t="s">
        <v>93</v>
      </c>
      <c r="Y2" s="13">
        <v>43647</v>
      </c>
      <c r="Z2" s="75"/>
    </row>
    <row r="3" spans="1:27" s="20" customFormat="1" hidden="1" x14ac:dyDescent="0.3">
      <c r="A3" s="12" t="s">
        <v>85</v>
      </c>
      <c r="B3" s="12">
        <v>378</v>
      </c>
      <c r="C3" s="11" t="s">
        <v>86</v>
      </c>
      <c r="D3" s="12" t="s">
        <v>1</v>
      </c>
      <c r="E3" s="12" t="s">
        <v>1185</v>
      </c>
      <c r="F3" s="12" t="s">
        <v>87</v>
      </c>
      <c r="G3" s="12" t="s">
        <v>113</v>
      </c>
      <c r="H3" s="12" t="s">
        <v>88</v>
      </c>
      <c r="I3" s="12" t="s">
        <v>89</v>
      </c>
      <c r="J3" s="11" t="s">
        <v>1243</v>
      </c>
      <c r="K3" s="11" t="s">
        <v>1243</v>
      </c>
      <c r="L3" s="11" t="s">
        <v>1199</v>
      </c>
      <c r="M3" s="11" t="s">
        <v>90</v>
      </c>
      <c r="N3" s="58">
        <v>195601</v>
      </c>
      <c r="O3" s="58">
        <v>666.5</v>
      </c>
      <c r="P3" s="12" t="s">
        <v>91</v>
      </c>
      <c r="Q3" s="12" t="s">
        <v>4</v>
      </c>
      <c r="R3" s="12" t="s">
        <v>13</v>
      </c>
      <c r="S3" s="12" t="s">
        <v>14</v>
      </c>
      <c r="T3" s="12">
        <v>1</v>
      </c>
      <c r="U3" s="13">
        <v>44028</v>
      </c>
      <c r="V3" s="12" t="s">
        <v>94</v>
      </c>
      <c r="W3" s="12" t="s">
        <v>92</v>
      </c>
      <c r="X3" s="12" t="s">
        <v>93</v>
      </c>
      <c r="Y3" s="13"/>
      <c r="Z3" s="75"/>
    </row>
    <row r="4" spans="1:27" s="20" customFormat="1" hidden="1" x14ac:dyDescent="0.3">
      <c r="A4" s="12" t="s">
        <v>85</v>
      </c>
      <c r="B4" s="12">
        <v>379</v>
      </c>
      <c r="C4" s="11" t="s">
        <v>86</v>
      </c>
      <c r="D4" s="12" t="s">
        <v>1</v>
      </c>
      <c r="E4" s="12" t="s">
        <v>1185</v>
      </c>
      <c r="F4" s="12" t="s">
        <v>87</v>
      </c>
      <c r="G4" s="12" t="s">
        <v>113</v>
      </c>
      <c r="H4" s="12" t="s">
        <v>88</v>
      </c>
      <c r="I4" s="12" t="s">
        <v>89</v>
      </c>
      <c r="J4" s="11" t="s">
        <v>1243</v>
      </c>
      <c r="K4" s="11" t="s">
        <v>1243</v>
      </c>
      <c r="L4" s="11" t="s">
        <v>1199</v>
      </c>
      <c r="M4" s="11" t="s">
        <v>90</v>
      </c>
      <c r="N4" s="58">
        <v>12375</v>
      </c>
      <c r="O4" s="58">
        <v>4800</v>
      </c>
      <c r="P4" s="12" t="s">
        <v>91</v>
      </c>
      <c r="Q4" s="12" t="s">
        <v>4</v>
      </c>
      <c r="R4" s="12" t="s">
        <v>15</v>
      </c>
      <c r="S4" s="12" t="s">
        <v>92</v>
      </c>
      <c r="T4" s="12">
        <v>1</v>
      </c>
      <c r="U4" s="13"/>
      <c r="V4" s="12" t="s">
        <v>1171</v>
      </c>
      <c r="W4" s="12" t="s">
        <v>92</v>
      </c>
      <c r="X4" s="12" t="s">
        <v>93</v>
      </c>
      <c r="Y4" s="13">
        <v>43647</v>
      </c>
      <c r="Z4" s="75"/>
    </row>
    <row r="5" spans="1:27" s="20" customFormat="1" hidden="1" x14ac:dyDescent="0.3">
      <c r="A5" s="12" t="s">
        <v>85</v>
      </c>
      <c r="B5" s="12">
        <v>379</v>
      </c>
      <c r="C5" s="11" t="s">
        <v>86</v>
      </c>
      <c r="D5" s="12" t="s">
        <v>1</v>
      </c>
      <c r="E5" s="12" t="s">
        <v>1185</v>
      </c>
      <c r="F5" s="12" t="s">
        <v>87</v>
      </c>
      <c r="G5" s="12" t="s">
        <v>113</v>
      </c>
      <c r="H5" s="12" t="s">
        <v>88</v>
      </c>
      <c r="I5" s="12" t="s">
        <v>89</v>
      </c>
      <c r="J5" s="11" t="s">
        <v>1243</v>
      </c>
      <c r="K5" s="11" t="s">
        <v>1243</v>
      </c>
      <c r="L5" s="11" t="s">
        <v>1199</v>
      </c>
      <c r="M5" s="11" t="s">
        <v>90</v>
      </c>
      <c r="N5" s="58">
        <v>12375</v>
      </c>
      <c r="O5" s="58">
        <v>4800</v>
      </c>
      <c r="P5" s="12" t="s">
        <v>91</v>
      </c>
      <c r="Q5" s="12" t="s">
        <v>4</v>
      </c>
      <c r="R5" s="12" t="s">
        <v>13</v>
      </c>
      <c r="S5" s="12" t="s">
        <v>14</v>
      </c>
      <c r="T5" s="12">
        <v>1</v>
      </c>
      <c r="U5" s="13">
        <v>44028</v>
      </c>
      <c r="V5" s="12" t="s">
        <v>94</v>
      </c>
      <c r="W5" s="12" t="s">
        <v>92</v>
      </c>
      <c r="X5" s="12" t="s">
        <v>93</v>
      </c>
      <c r="Y5" s="13"/>
      <c r="Z5" s="75"/>
    </row>
    <row r="6" spans="1:27" s="20" customFormat="1" hidden="1" x14ac:dyDescent="0.3">
      <c r="A6" s="12" t="s">
        <v>85</v>
      </c>
      <c r="B6" s="12">
        <v>380</v>
      </c>
      <c r="C6" s="11" t="s">
        <v>86</v>
      </c>
      <c r="D6" s="12" t="s">
        <v>1</v>
      </c>
      <c r="E6" s="12" t="s">
        <v>1185</v>
      </c>
      <c r="F6" s="12" t="s">
        <v>87</v>
      </c>
      <c r="G6" s="12" t="s">
        <v>113</v>
      </c>
      <c r="H6" s="12" t="s">
        <v>88</v>
      </c>
      <c r="I6" s="12" t="s">
        <v>89</v>
      </c>
      <c r="J6" s="11" t="s">
        <v>1243</v>
      </c>
      <c r="K6" s="11" t="s">
        <v>1243</v>
      </c>
      <c r="L6" s="11" t="s">
        <v>1199</v>
      </c>
      <c r="M6" s="11" t="s">
        <v>90</v>
      </c>
      <c r="N6" s="59">
        <v>0</v>
      </c>
      <c r="O6" s="58">
        <v>90</v>
      </c>
      <c r="P6" s="12" t="s">
        <v>91</v>
      </c>
      <c r="Q6" s="12" t="s">
        <v>4</v>
      </c>
      <c r="R6" s="12" t="s">
        <v>15</v>
      </c>
      <c r="S6" s="12" t="s">
        <v>92</v>
      </c>
      <c r="T6" s="12">
        <v>1</v>
      </c>
      <c r="U6" s="13"/>
      <c r="V6" s="12" t="s">
        <v>1171</v>
      </c>
      <c r="W6" s="12" t="s">
        <v>92</v>
      </c>
      <c r="X6" s="12" t="s">
        <v>93</v>
      </c>
      <c r="Y6" s="13">
        <v>43647</v>
      </c>
      <c r="Z6" s="75"/>
    </row>
    <row r="7" spans="1:27" s="20" customFormat="1" hidden="1" x14ac:dyDescent="0.3">
      <c r="A7" s="12" t="s">
        <v>85</v>
      </c>
      <c r="B7" s="12">
        <v>380</v>
      </c>
      <c r="C7" s="11" t="s">
        <v>86</v>
      </c>
      <c r="D7" s="12" t="s">
        <v>1</v>
      </c>
      <c r="E7" s="12" t="s">
        <v>1185</v>
      </c>
      <c r="F7" s="12" t="s">
        <v>87</v>
      </c>
      <c r="G7" s="12" t="s">
        <v>113</v>
      </c>
      <c r="H7" s="12" t="s">
        <v>88</v>
      </c>
      <c r="I7" s="12" t="s">
        <v>89</v>
      </c>
      <c r="J7" s="11" t="s">
        <v>1243</v>
      </c>
      <c r="K7" s="11" t="s">
        <v>1243</v>
      </c>
      <c r="L7" s="11" t="s">
        <v>1199</v>
      </c>
      <c r="M7" s="11" t="s">
        <v>90</v>
      </c>
      <c r="N7" s="59">
        <v>0</v>
      </c>
      <c r="O7" s="58">
        <v>90</v>
      </c>
      <c r="P7" s="12" t="s">
        <v>91</v>
      </c>
      <c r="Q7" s="12" t="s">
        <v>4</v>
      </c>
      <c r="R7" s="12" t="s">
        <v>13</v>
      </c>
      <c r="S7" s="12" t="s">
        <v>14</v>
      </c>
      <c r="T7" s="12">
        <v>1</v>
      </c>
      <c r="U7" s="13">
        <v>44028</v>
      </c>
      <c r="V7" s="12" t="s">
        <v>94</v>
      </c>
      <c r="W7" s="12" t="s">
        <v>92</v>
      </c>
      <c r="X7" s="12" t="s">
        <v>93</v>
      </c>
      <c r="Y7" s="13"/>
      <c r="Z7" s="75"/>
    </row>
    <row r="8" spans="1:27" s="20" customFormat="1" hidden="1" x14ac:dyDescent="0.3">
      <c r="A8" s="12" t="s">
        <v>85</v>
      </c>
      <c r="B8" s="12">
        <v>470</v>
      </c>
      <c r="C8" s="11" t="s">
        <v>95</v>
      </c>
      <c r="D8" s="12" t="s">
        <v>1</v>
      </c>
      <c r="E8" s="12" t="s">
        <v>1185</v>
      </c>
      <c r="F8" s="12" t="s">
        <v>87</v>
      </c>
      <c r="G8" s="12" t="s">
        <v>87</v>
      </c>
      <c r="H8" s="12" t="s">
        <v>96</v>
      </c>
      <c r="I8" s="12" t="s">
        <v>89</v>
      </c>
      <c r="J8" s="11" t="s">
        <v>1264</v>
      </c>
      <c r="K8" s="11" t="s">
        <v>1196</v>
      </c>
      <c r="L8" s="11" t="s">
        <v>1195</v>
      </c>
      <c r="M8" s="11" t="s">
        <v>97</v>
      </c>
      <c r="N8" s="58">
        <v>489.5</v>
      </c>
      <c r="O8" s="59"/>
      <c r="P8" s="12" t="s">
        <v>98</v>
      </c>
      <c r="Q8" s="12" t="s">
        <v>12</v>
      </c>
      <c r="R8" s="12" t="s">
        <v>99</v>
      </c>
      <c r="S8" s="12" t="s">
        <v>99</v>
      </c>
      <c r="T8" s="12">
        <v>0</v>
      </c>
      <c r="U8" s="13"/>
      <c r="V8" s="12" t="s">
        <v>92</v>
      </c>
      <c r="W8" s="12" t="s">
        <v>92</v>
      </c>
      <c r="X8" s="12" t="s">
        <v>93</v>
      </c>
      <c r="Y8" s="13">
        <v>43617</v>
      </c>
      <c r="Z8" s="75"/>
    </row>
    <row r="9" spans="1:27" s="20" customFormat="1" hidden="1" x14ac:dyDescent="0.3">
      <c r="A9" s="12" t="s">
        <v>85</v>
      </c>
      <c r="B9" s="12">
        <v>645</v>
      </c>
      <c r="C9" s="11" t="s">
        <v>100</v>
      </c>
      <c r="D9" s="12" t="s">
        <v>1</v>
      </c>
      <c r="E9" s="12" t="s">
        <v>1185</v>
      </c>
      <c r="F9" s="12" t="s">
        <v>87</v>
      </c>
      <c r="G9" s="12" t="s">
        <v>113</v>
      </c>
      <c r="H9" s="12" t="s">
        <v>101</v>
      </c>
      <c r="I9" s="12" t="s">
        <v>89</v>
      </c>
      <c r="J9" s="11" t="s">
        <v>102</v>
      </c>
      <c r="K9" s="11" t="s">
        <v>102</v>
      </c>
      <c r="L9" s="11" t="s">
        <v>1219</v>
      </c>
      <c r="M9" s="11" t="s">
        <v>103</v>
      </c>
      <c r="N9" s="57">
        <v>552371.55000000005</v>
      </c>
      <c r="O9" s="59"/>
      <c r="P9" s="12">
        <v>0</v>
      </c>
      <c r="Q9" s="12" t="s">
        <v>4</v>
      </c>
      <c r="R9" s="12" t="s">
        <v>15</v>
      </c>
      <c r="S9" s="12" t="s">
        <v>20</v>
      </c>
      <c r="T9" s="12">
        <v>1</v>
      </c>
      <c r="U9" s="13">
        <v>43738</v>
      </c>
      <c r="V9" s="12" t="s">
        <v>104</v>
      </c>
      <c r="W9" s="12" t="s">
        <v>92</v>
      </c>
      <c r="X9" s="12" t="s">
        <v>105</v>
      </c>
      <c r="Y9" s="13"/>
      <c r="Z9" s="75"/>
    </row>
    <row r="10" spans="1:27" s="20" customFormat="1" hidden="1" x14ac:dyDescent="0.3">
      <c r="A10" s="12" t="s">
        <v>85</v>
      </c>
      <c r="B10" s="12">
        <v>645</v>
      </c>
      <c r="C10" s="11" t="s">
        <v>100</v>
      </c>
      <c r="D10" s="12" t="s">
        <v>1</v>
      </c>
      <c r="E10" s="12" t="s">
        <v>1185</v>
      </c>
      <c r="F10" s="12" t="s">
        <v>87</v>
      </c>
      <c r="G10" s="12" t="s">
        <v>113</v>
      </c>
      <c r="H10" s="12" t="s">
        <v>101</v>
      </c>
      <c r="I10" s="12" t="s">
        <v>89</v>
      </c>
      <c r="J10" s="11" t="s">
        <v>102</v>
      </c>
      <c r="K10" s="11" t="s">
        <v>102</v>
      </c>
      <c r="L10" s="11" t="s">
        <v>1219</v>
      </c>
      <c r="M10" s="11" t="s">
        <v>103</v>
      </c>
      <c r="N10" s="57">
        <v>552371.55000000005</v>
      </c>
      <c r="O10" s="59"/>
      <c r="P10" s="12">
        <v>0</v>
      </c>
      <c r="Q10" s="12" t="s">
        <v>4</v>
      </c>
      <c r="R10" s="12" t="s">
        <v>15</v>
      </c>
      <c r="S10" s="12" t="s">
        <v>20</v>
      </c>
      <c r="T10" s="12">
        <v>1</v>
      </c>
      <c r="U10" s="13">
        <v>43843</v>
      </c>
      <c r="V10" s="12" t="s">
        <v>106</v>
      </c>
      <c r="W10" s="12" t="s">
        <v>92</v>
      </c>
      <c r="X10" s="12" t="s">
        <v>105</v>
      </c>
      <c r="Y10" s="13"/>
      <c r="Z10" s="75"/>
    </row>
    <row r="11" spans="1:27" s="20" customFormat="1" hidden="1" x14ac:dyDescent="0.3">
      <c r="A11" s="12" t="s">
        <v>85</v>
      </c>
      <c r="B11" s="12">
        <v>645</v>
      </c>
      <c r="C11" s="11" t="s">
        <v>100</v>
      </c>
      <c r="D11" s="12" t="s">
        <v>1</v>
      </c>
      <c r="E11" s="12" t="s">
        <v>1185</v>
      </c>
      <c r="F11" s="12" t="s">
        <v>87</v>
      </c>
      <c r="G11" s="12" t="s">
        <v>113</v>
      </c>
      <c r="H11" s="12" t="s">
        <v>101</v>
      </c>
      <c r="I11" s="12" t="s">
        <v>89</v>
      </c>
      <c r="J11" s="11" t="s">
        <v>102</v>
      </c>
      <c r="K11" s="11" t="s">
        <v>102</v>
      </c>
      <c r="L11" s="11" t="s">
        <v>1219</v>
      </c>
      <c r="M11" s="11" t="s">
        <v>103</v>
      </c>
      <c r="N11" s="57">
        <v>552371.55000000005</v>
      </c>
      <c r="O11" s="59"/>
      <c r="P11" s="12">
        <v>0</v>
      </c>
      <c r="Q11" s="12" t="s">
        <v>12</v>
      </c>
      <c r="R11" s="12" t="s">
        <v>13</v>
      </c>
      <c r="S11" s="12" t="s">
        <v>107</v>
      </c>
      <c r="T11" s="12">
        <v>0</v>
      </c>
      <c r="U11" s="13"/>
      <c r="V11" s="12"/>
      <c r="W11" s="12" t="s">
        <v>92</v>
      </c>
      <c r="X11" s="12" t="s">
        <v>93</v>
      </c>
      <c r="Y11" s="13">
        <v>44097</v>
      </c>
      <c r="Z11" s="75"/>
    </row>
    <row r="12" spans="1:27" s="20" customFormat="1" hidden="1" x14ac:dyDescent="0.3">
      <c r="A12" s="12" t="s">
        <v>85</v>
      </c>
      <c r="B12" s="12">
        <v>645</v>
      </c>
      <c r="C12" s="11" t="s">
        <v>100</v>
      </c>
      <c r="D12" s="12" t="s">
        <v>1</v>
      </c>
      <c r="E12" s="12" t="s">
        <v>1185</v>
      </c>
      <c r="F12" s="12" t="s">
        <v>87</v>
      </c>
      <c r="G12" s="12" t="s">
        <v>113</v>
      </c>
      <c r="H12" s="12" t="s">
        <v>101</v>
      </c>
      <c r="I12" s="12" t="s">
        <v>89</v>
      </c>
      <c r="J12" s="11" t="s">
        <v>102</v>
      </c>
      <c r="K12" s="11" t="s">
        <v>102</v>
      </c>
      <c r="L12" s="11" t="s">
        <v>1219</v>
      </c>
      <c r="M12" s="11" t="s">
        <v>103</v>
      </c>
      <c r="N12" s="57">
        <v>552371.55000000005</v>
      </c>
      <c r="O12" s="59"/>
      <c r="P12" s="12">
        <v>0</v>
      </c>
      <c r="Q12" s="12" t="s">
        <v>4</v>
      </c>
      <c r="R12" s="12" t="s">
        <v>15</v>
      </c>
      <c r="S12" s="12" t="s">
        <v>19</v>
      </c>
      <c r="T12" s="12">
        <v>0</v>
      </c>
      <c r="U12" s="13">
        <v>44362</v>
      </c>
      <c r="V12" s="12" t="s">
        <v>1189</v>
      </c>
      <c r="W12" s="12" t="s">
        <v>92</v>
      </c>
      <c r="X12" s="12" t="s">
        <v>108</v>
      </c>
      <c r="Y12" s="13">
        <v>44362</v>
      </c>
      <c r="Z12" s="75"/>
    </row>
    <row r="13" spans="1:27" s="20" customFormat="1" hidden="1" x14ac:dyDescent="0.3">
      <c r="A13" s="12" t="s">
        <v>85</v>
      </c>
      <c r="B13" s="12">
        <v>645</v>
      </c>
      <c r="C13" s="11" t="s">
        <v>100</v>
      </c>
      <c r="D13" s="12" t="s">
        <v>1</v>
      </c>
      <c r="E13" s="12" t="s">
        <v>1185</v>
      </c>
      <c r="F13" s="12" t="s">
        <v>87</v>
      </c>
      <c r="G13" s="12" t="s">
        <v>113</v>
      </c>
      <c r="H13" s="12" t="s">
        <v>101</v>
      </c>
      <c r="I13" s="12" t="s">
        <v>89</v>
      </c>
      <c r="J13" s="11" t="s">
        <v>102</v>
      </c>
      <c r="K13" s="11" t="s">
        <v>102</v>
      </c>
      <c r="L13" s="11" t="s">
        <v>1219</v>
      </c>
      <c r="M13" s="11" t="s">
        <v>103</v>
      </c>
      <c r="N13" s="57">
        <v>552371.55000000005</v>
      </c>
      <c r="O13" s="59"/>
      <c r="P13" s="12">
        <v>0</v>
      </c>
      <c r="Q13" s="12" t="s">
        <v>4</v>
      </c>
      <c r="R13" s="12" t="s">
        <v>15</v>
      </c>
      <c r="S13" s="12" t="s">
        <v>20</v>
      </c>
      <c r="T13" s="12">
        <v>1</v>
      </c>
      <c r="U13" s="13">
        <v>43879</v>
      </c>
      <c r="V13" s="12" t="s">
        <v>109</v>
      </c>
      <c r="W13" s="12" t="s">
        <v>92</v>
      </c>
      <c r="X13" s="12" t="s">
        <v>105</v>
      </c>
      <c r="Y13" s="13"/>
      <c r="Z13" s="75"/>
    </row>
    <row r="14" spans="1:27" s="20" customFormat="1" hidden="1" x14ac:dyDescent="0.3">
      <c r="A14" s="12" t="s">
        <v>85</v>
      </c>
      <c r="B14" s="12">
        <v>645</v>
      </c>
      <c r="C14" s="11" t="s">
        <v>100</v>
      </c>
      <c r="D14" s="12" t="s">
        <v>1</v>
      </c>
      <c r="E14" s="12" t="s">
        <v>1185</v>
      </c>
      <c r="F14" s="12" t="s">
        <v>87</v>
      </c>
      <c r="G14" s="12" t="s">
        <v>113</v>
      </c>
      <c r="H14" s="12" t="s">
        <v>101</v>
      </c>
      <c r="I14" s="12" t="s">
        <v>89</v>
      </c>
      <c r="J14" s="11" t="s">
        <v>102</v>
      </c>
      <c r="K14" s="11" t="s">
        <v>102</v>
      </c>
      <c r="L14" s="11" t="s">
        <v>1219</v>
      </c>
      <c r="M14" s="11" t="s">
        <v>103</v>
      </c>
      <c r="N14" s="57">
        <v>552371.55000000005</v>
      </c>
      <c r="O14" s="59"/>
      <c r="P14" s="12">
        <v>0</v>
      </c>
      <c r="Q14" s="12" t="s">
        <v>4</v>
      </c>
      <c r="R14" s="12" t="s">
        <v>15</v>
      </c>
      <c r="S14" s="12" t="s">
        <v>20</v>
      </c>
      <c r="T14" s="12">
        <v>1</v>
      </c>
      <c r="U14" s="13">
        <v>43906</v>
      </c>
      <c r="V14" s="12" t="s">
        <v>109</v>
      </c>
      <c r="W14" s="12" t="s">
        <v>92</v>
      </c>
      <c r="X14" s="12" t="s">
        <v>105</v>
      </c>
      <c r="Y14" s="13"/>
      <c r="Z14" s="75"/>
    </row>
    <row r="15" spans="1:27" s="20" customFormat="1" hidden="1" x14ac:dyDescent="0.3">
      <c r="A15" s="12" t="s">
        <v>85</v>
      </c>
      <c r="B15" s="12">
        <v>645</v>
      </c>
      <c r="C15" s="11" t="s">
        <v>100</v>
      </c>
      <c r="D15" s="12" t="s">
        <v>1</v>
      </c>
      <c r="E15" s="12" t="s">
        <v>1185</v>
      </c>
      <c r="F15" s="12" t="s">
        <v>87</v>
      </c>
      <c r="G15" s="12" t="s">
        <v>113</v>
      </c>
      <c r="H15" s="12" t="s">
        <v>101</v>
      </c>
      <c r="I15" s="12" t="s">
        <v>89</v>
      </c>
      <c r="J15" s="11" t="s">
        <v>102</v>
      </c>
      <c r="K15" s="11" t="s">
        <v>102</v>
      </c>
      <c r="L15" s="11" t="s">
        <v>1219</v>
      </c>
      <c r="M15" s="11" t="s">
        <v>103</v>
      </c>
      <c r="N15" s="57">
        <v>552371.55000000005</v>
      </c>
      <c r="O15" s="59"/>
      <c r="P15" s="12">
        <v>0</v>
      </c>
      <c r="Q15" s="12" t="s">
        <v>4</v>
      </c>
      <c r="R15" s="12" t="s">
        <v>15</v>
      </c>
      <c r="S15" s="12" t="s">
        <v>20</v>
      </c>
      <c r="T15" s="12">
        <v>1</v>
      </c>
      <c r="U15" s="13">
        <v>43962</v>
      </c>
      <c r="V15" s="12" t="s">
        <v>109</v>
      </c>
      <c r="W15" s="12" t="s">
        <v>92</v>
      </c>
      <c r="X15" s="12" t="s">
        <v>105</v>
      </c>
      <c r="Y15" s="13"/>
      <c r="Z15" s="75"/>
    </row>
    <row r="16" spans="1:27" s="20" customFormat="1" hidden="1" x14ac:dyDescent="0.3">
      <c r="A16" s="12" t="s">
        <v>85</v>
      </c>
      <c r="B16" s="12">
        <v>645</v>
      </c>
      <c r="C16" s="11" t="s">
        <v>100</v>
      </c>
      <c r="D16" s="12" t="s">
        <v>1</v>
      </c>
      <c r="E16" s="12" t="s">
        <v>1185</v>
      </c>
      <c r="F16" s="12" t="s">
        <v>87</v>
      </c>
      <c r="G16" s="12" t="s">
        <v>113</v>
      </c>
      <c r="H16" s="12" t="s">
        <v>101</v>
      </c>
      <c r="I16" s="12" t="s">
        <v>89</v>
      </c>
      <c r="J16" s="11" t="s">
        <v>102</v>
      </c>
      <c r="K16" s="11" t="s">
        <v>102</v>
      </c>
      <c r="L16" s="11" t="s">
        <v>1219</v>
      </c>
      <c r="M16" s="11" t="s">
        <v>103</v>
      </c>
      <c r="N16" s="57">
        <v>552371.55000000005</v>
      </c>
      <c r="O16" s="59"/>
      <c r="P16" s="12">
        <v>0</v>
      </c>
      <c r="Q16" s="12" t="s">
        <v>4</v>
      </c>
      <c r="R16" s="12" t="s">
        <v>15</v>
      </c>
      <c r="S16" s="12" t="s">
        <v>22</v>
      </c>
      <c r="T16" s="12">
        <v>1</v>
      </c>
      <c r="U16" s="13">
        <v>43997</v>
      </c>
      <c r="V16" s="12" t="s">
        <v>110</v>
      </c>
      <c r="W16" s="12" t="s">
        <v>92</v>
      </c>
      <c r="X16" s="12" t="s">
        <v>105</v>
      </c>
      <c r="Y16" s="13"/>
      <c r="Z16" s="75"/>
    </row>
    <row r="17" spans="1:26" s="20" customFormat="1" hidden="1" x14ac:dyDescent="0.3">
      <c r="A17" s="12" t="s">
        <v>85</v>
      </c>
      <c r="B17" s="12">
        <v>645</v>
      </c>
      <c r="C17" s="11" t="s">
        <v>100</v>
      </c>
      <c r="D17" s="12" t="s">
        <v>1</v>
      </c>
      <c r="E17" s="12" t="s">
        <v>1185</v>
      </c>
      <c r="F17" s="12" t="s">
        <v>87</v>
      </c>
      <c r="G17" s="12" t="s">
        <v>113</v>
      </c>
      <c r="H17" s="12" t="s">
        <v>101</v>
      </c>
      <c r="I17" s="12" t="s">
        <v>89</v>
      </c>
      <c r="J17" s="11" t="s">
        <v>102</v>
      </c>
      <c r="K17" s="11" t="s">
        <v>102</v>
      </c>
      <c r="L17" s="11" t="s">
        <v>1219</v>
      </c>
      <c r="M17" s="11" t="s">
        <v>103</v>
      </c>
      <c r="N17" s="57">
        <v>552371.55000000005</v>
      </c>
      <c r="O17" s="59"/>
      <c r="P17" s="12">
        <v>0</v>
      </c>
      <c r="Q17" s="12" t="s">
        <v>4</v>
      </c>
      <c r="R17" s="12" t="s">
        <v>15</v>
      </c>
      <c r="S17" s="12" t="s">
        <v>20</v>
      </c>
      <c r="T17" s="12">
        <v>1</v>
      </c>
      <c r="U17" s="13">
        <v>43997</v>
      </c>
      <c r="V17" s="12" t="s">
        <v>110</v>
      </c>
      <c r="W17" s="12" t="s">
        <v>92</v>
      </c>
      <c r="X17" s="12" t="s">
        <v>105</v>
      </c>
      <c r="Y17" s="13"/>
      <c r="Z17" s="75"/>
    </row>
    <row r="18" spans="1:26" s="20" customFormat="1" hidden="1" x14ac:dyDescent="0.3">
      <c r="A18" s="12" t="s">
        <v>85</v>
      </c>
      <c r="B18" s="12">
        <v>645</v>
      </c>
      <c r="C18" s="11" t="s">
        <v>100</v>
      </c>
      <c r="D18" s="12" t="s">
        <v>1</v>
      </c>
      <c r="E18" s="12" t="s">
        <v>1185</v>
      </c>
      <c r="F18" s="12" t="s">
        <v>87</v>
      </c>
      <c r="G18" s="12" t="s">
        <v>113</v>
      </c>
      <c r="H18" s="12" t="s">
        <v>101</v>
      </c>
      <c r="I18" s="12" t="s">
        <v>89</v>
      </c>
      <c r="J18" s="11" t="s">
        <v>102</v>
      </c>
      <c r="K18" s="11" t="s">
        <v>102</v>
      </c>
      <c r="L18" s="11" t="s">
        <v>1219</v>
      </c>
      <c r="M18" s="11" t="s">
        <v>103</v>
      </c>
      <c r="N18" s="57">
        <v>552371.55000000005</v>
      </c>
      <c r="O18" s="59"/>
      <c r="P18" s="12">
        <v>0</v>
      </c>
      <c r="Q18" s="12" t="s">
        <v>4</v>
      </c>
      <c r="R18" s="12" t="s">
        <v>15</v>
      </c>
      <c r="S18" s="12" t="s">
        <v>20</v>
      </c>
      <c r="T18" s="12">
        <v>1</v>
      </c>
      <c r="U18" s="13">
        <v>44027</v>
      </c>
      <c r="V18" s="12" t="s">
        <v>110</v>
      </c>
      <c r="W18" s="12" t="s">
        <v>92</v>
      </c>
      <c r="X18" s="12" t="s">
        <v>105</v>
      </c>
      <c r="Y18" s="13"/>
      <c r="Z18" s="75"/>
    </row>
    <row r="19" spans="1:26" s="20" customFormat="1" hidden="1" x14ac:dyDescent="0.3">
      <c r="A19" s="12" t="s">
        <v>85</v>
      </c>
      <c r="B19" s="12">
        <v>645</v>
      </c>
      <c r="C19" s="11" t="s">
        <v>100</v>
      </c>
      <c r="D19" s="12" t="s">
        <v>1</v>
      </c>
      <c r="E19" s="12" t="s">
        <v>1185</v>
      </c>
      <c r="F19" s="12" t="s">
        <v>87</v>
      </c>
      <c r="G19" s="12" t="s">
        <v>113</v>
      </c>
      <c r="H19" s="12" t="s">
        <v>101</v>
      </c>
      <c r="I19" s="12" t="s">
        <v>89</v>
      </c>
      <c r="J19" s="11" t="s">
        <v>102</v>
      </c>
      <c r="K19" s="11" t="s">
        <v>102</v>
      </c>
      <c r="L19" s="11" t="s">
        <v>1219</v>
      </c>
      <c r="M19" s="11" t="s">
        <v>103</v>
      </c>
      <c r="N19" s="57">
        <v>552371.55000000005</v>
      </c>
      <c r="O19" s="59"/>
      <c r="P19" s="12">
        <v>0</v>
      </c>
      <c r="Q19" s="12" t="s">
        <v>4</v>
      </c>
      <c r="R19" s="12" t="s">
        <v>15</v>
      </c>
      <c r="S19" s="12" t="s">
        <v>22</v>
      </c>
      <c r="T19" s="12">
        <v>1</v>
      </c>
      <c r="U19" s="13">
        <v>44027</v>
      </c>
      <c r="V19" s="12" t="s">
        <v>111</v>
      </c>
      <c r="W19" s="12" t="s">
        <v>92</v>
      </c>
      <c r="X19" s="12" t="s">
        <v>105</v>
      </c>
      <c r="Y19" s="13"/>
      <c r="Z19" s="75"/>
    </row>
    <row r="20" spans="1:26" s="20" customFormat="1" hidden="1" x14ac:dyDescent="0.3">
      <c r="A20" s="12" t="s">
        <v>85</v>
      </c>
      <c r="B20" s="12">
        <v>645</v>
      </c>
      <c r="C20" s="11" t="s">
        <v>100</v>
      </c>
      <c r="D20" s="12" t="s">
        <v>1</v>
      </c>
      <c r="E20" s="12" t="s">
        <v>1185</v>
      </c>
      <c r="F20" s="12" t="s">
        <v>87</v>
      </c>
      <c r="G20" s="12" t="s">
        <v>113</v>
      </c>
      <c r="H20" s="12" t="s">
        <v>101</v>
      </c>
      <c r="I20" s="12" t="s">
        <v>89</v>
      </c>
      <c r="J20" s="11" t="s">
        <v>102</v>
      </c>
      <c r="K20" s="11" t="s">
        <v>102</v>
      </c>
      <c r="L20" s="11" t="s">
        <v>1219</v>
      </c>
      <c r="M20" s="11" t="s">
        <v>103</v>
      </c>
      <c r="N20" s="57">
        <v>552371.55000000005</v>
      </c>
      <c r="O20" s="59"/>
      <c r="P20" s="12">
        <v>0</v>
      </c>
      <c r="Q20" s="12" t="s">
        <v>4</v>
      </c>
      <c r="R20" s="12" t="s">
        <v>13</v>
      </c>
      <c r="S20" s="12" t="s">
        <v>23</v>
      </c>
      <c r="T20" s="12">
        <v>1</v>
      </c>
      <c r="U20" s="13">
        <v>44028</v>
      </c>
      <c r="V20" s="12" t="s">
        <v>94</v>
      </c>
      <c r="W20" s="12" t="s">
        <v>92</v>
      </c>
      <c r="X20" s="12" t="s">
        <v>93</v>
      </c>
      <c r="Y20" s="13"/>
      <c r="Z20" s="75"/>
    </row>
    <row r="21" spans="1:26" s="20" customFormat="1" hidden="1" x14ac:dyDescent="0.3">
      <c r="A21" s="12" t="s">
        <v>85</v>
      </c>
      <c r="B21" s="12">
        <v>646</v>
      </c>
      <c r="C21" s="11" t="s">
        <v>100</v>
      </c>
      <c r="D21" s="12" t="s">
        <v>1</v>
      </c>
      <c r="E21" s="12" t="s">
        <v>1185</v>
      </c>
      <c r="F21" s="12" t="s">
        <v>87</v>
      </c>
      <c r="G21" s="12" t="s">
        <v>113</v>
      </c>
      <c r="H21" s="12" t="s">
        <v>101</v>
      </c>
      <c r="I21" s="12" t="s">
        <v>89</v>
      </c>
      <c r="J21" s="11" t="s">
        <v>102</v>
      </c>
      <c r="K21" s="11" t="s">
        <v>102</v>
      </c>
      <c r="L21" s="11" t="s">
        <v>1219</v>
      </c>
      <c r="M21" s="11" t="s">
        <v>103</v>
      </c>
      <c r="N21" s="57">
        <v>591078.44999999995</v>
      </c>
      <c r="O21" s="59"/>
      <c r="P21" s="12">
        <v>0</v>
      </c>
      <c r="Q21" s="12" t="s">
        <v>4</v>
      </c>
      <c r="R21" s="12" t="s">
        <v>15</v>
      </c>
      <c r="S21" s="12" t="s">
        <v>20</v>
      </c>
      <c r="T21" s="12">
        <v>1</v>
      </c>
      <c r="U21" s="13">
        <v>43738</v>
      </c>
      <c r="V21" s="12" t="s">
        <v>104</v>
      </c>
      <c r="W21" s="12" t="s">
        <v>92</v>
      </c>
      <c r="X21" s="12" t="s">
        <v>105</v>
      </c>
      <c r="Y21" s="13"/>
      <c r="Z21" s="75"/>
    </row>
    <row r="22" spans="1:26" s="20" customFormat="1" hidden="1" x14ac:dyDescent="0.3">
      <c r="A22" s="12" t="s">
        <v>85</v>
      </c>
      <c r="B22" s="12">
        <v>646</v>
      </c>
      <c r="C22" s="11" t="s">
        <v>100</v>
      </c>
      <c r="D22" s="12" t="s">
        <v>1</v>
      </c>
      <c r="E22" s="12" t="s">
        <v>1185</v>
      </c>
      <c r="F22" s="12" t="s">
        <v>87</v>
      </c>
      <c r="G22" s="12" t="s">
        <v>113</v>
      </c>
      <c r="H22" s="12" t="s">
        <v>101</v>
      </c>
      <c r="I22" s="12" t="s">
        <v>89</v>
      </c>
      <c r="J22" s="11" t="s">
        <v>102</v>
      </c>
      <c r="K22" s="11" t="s">
        <v>102</v>
      </c>
      <c r="L22" s="11" t="s">
        <v>1219</v>
      </c>
      <c r="M22" s="11" t="s">
        <v>103</v>
      </c>
      <c r="N22" s="57">
        <v>591078.44999999995</v>
      </c>
      <c r="O22" s="59"/>
      <c r="P22" s="12">
        <v>0</v>
      </c>
      <c r="Q22" s="12" t="s">
        <v>4</v>
      </c>
      <c r="R22" s="12" t="s">
        <v>15</v>
      </c>
      <c r="S22" s="12" t="s">
        <v>20</v>
      </c>
      <c r="T22" s="12">
        <v>1</v>
      </c>
      <c r="U22" s="13">
        <v>43843</v>
      </c>
      <c r="V22" s="12" t="s">
        <v>106</v>
      </c>
      <c r="W22" s="12" t="s">
        <v>92</v>
      </c>
      <c r="X22" s="12" t="s">
        <v>105</v>
      </c>
      <c r="Y22" s="13"/>
      <c r="Z22" s="75"/>
    </row>
    <row r="23" spans="1:26" s="20" customFormat="1" hidden="1" x14ac:dyDescent="0.3">
      <c r="A23" s="12" t="s">
        <v>85</v>
      </c>
      <c r="B23" s="12">
        <v>646</v>
      </c>
      <c r="C23" s="11" t="s">
        <v>100</v>
      </c>
      <c r="D23" s="12" t="s">
        <v>1</v>
      </c>
      <c r="E23" s="12" t="s">
        <v>1185</v>
      </c>
      <c r="F23" s="12" t="s">
        <v>87</v>
      </c>
      <c r="G23" s="12" t="s">
        <v>113</v>
      </c>
      <c r="H23" s="12" t="s">
        <v>101</v>
      </c>
      <c r="I23" s="12" t="s">
        <v>89</v>
      </c>
      <c r="J23" s="11" t="s">
        <v>102</v>
      </c>
      <c r="K23" s="11" t="s">
        <v>102</v>
      </c>
      <c r="L23" s="11" t="s">
        <v>1219</v>
      </c>
      <c r="M23" s="11" t="s">
        <v>103</v>
      </c>
      <c r="N23" s="57">
        <v>591078.44999999995</v>
      </c>
      <c r="O23" s="59"/>
      <c r="P23" s="12">
        <v>0</v>
      </c>
      <c r="Q23" s="12" t="s">
        <v>12</v>
      </c>
      <c r="R23" s="12" t="s">
        <v>15</v>
      </c>
      <c r="S23" s="12" t="s">
        <v>92</v>
      </c>
      <c r="T23" s="12">
        <v>0</v>
      </c>
      <c r="U23" s="13"/>
      <c r="V23" s="12"/>
      <c r="W23" s="12" t="s">
        <v>92</v>
      </c>
      <c r="X23" s="12" t="s">
        <v>93</v>
      </c>
      <c r="Y23" s="13">
        <v>44097</v>
      </c>
      <c r="Z23" s="75"/>
    </row>
    <row r="24" spans="1:26" s="21" customFormat="1" hidden="1" x14ac:dyDescent="0.3">
      <c r="A24" s="12" t="s">
        <v>85</v>
      </c>
      <c r="B24" s="12">
        <v>646</v>
      </c>
      <c r="C24" s="11" t="s">
        <v>100</v>
      </c>
      <c r="D24" s="12" t="s">
        <v>1</v>
      </c>
      <c r="E24" s="12" t="s">
        <v>1185</v>
      </c>
      <c r="F24" s="12" t="s">
        <v>87</v>
      </c>
      <c r="G24" s="12" t="s">
        <v>113</v>
      </c>
      <c r="H24" s="12" t="s">
        <v>101</v>
      </c>
      <c r="I24" s="12" t="s">
        <v>89</v>
      </c>
      <c r="J24" s="11" t="s">
        <v>102</v>
      </c>
      <c r="K24" s="11" t="s">
        <v>102</v>
      </c>
      <c r="L24" s="11" t="s">
        <v>1219</v>
      </c>
      <c r="M24" s="11" t="s">
        <v>103</v>
      </c>
      <c r="N24" s="57">
        <v>591078.44999999995</v>
      </c>
      <c r="O24" s="59"/>
      <c r="P24" s="12">
        <v>0</v>
      </c>
      <c r="Q24" s="12" t="s">
        <v>4</v>
      </c>
      <c r="R24" s="12" t="s">
        <v>15</v>
      </c>
      <c r="S24" s="12" t="s">
        <v>19</v>
      </c>
      <c r="T24" s="12">
        <v>0</v>
      </c>
      <c r="U24" s="13">
        <v>44362</v>
      </c>
      <c r="V24" s="12" t="s">
        <v>1189</v>
      </c>
      <c r="W24" s="12" t="s">
        <v>92</v>
      </c>
      <c r="X24" s="12" t="s">
        <v>108</v>
      </c>
      <c r="Y24" s="13">
        <v>44362</v>
      </c>
      <c r="Z24" s="75"/>
    </row>
    <row r="25" spans="1:26" s="21" customFormat="1" hidden="1" x14ac:dyDescent="0.3">
      <c r="A25" s="12" t="s">
        <v>85</v>
      </c>
      <c r="B25" s="12">
        <v>646</v>
      </c>
      <c r="C25" s="11" t="s">
        <v>100</v>
      </c>
      <c r="D25" s="12" t="s">
        <v>1</v>
      </c>
      <c r="E25" s="12" t="s">
        <v>1185</v>
      </c>
      <c r="F25" s="12" t="s">
        <v>87</v>
      </c>
      <c r="G25" s="12" t="s">
        <v>113</v>
      </c>
      <c r="H25" s="12" t="s">
        <v>101</v>
      </c>
      <c r="I25" s="12" t="s">
        <v>89</v>
      </c>
      <c r="J25" s="11" t="s">
        <v>102</v>
      </c>
      <c r="K25" s="11" t="s">
        <v>102</v>
      </c>
      <c r="L25" s="11" t="s">
        <v>1219</v>
      </c>
      <c r="M25" s="11" t="s">
        <v>103</v>
      </c>
      <c r="N25" s="57">
        <v>591078.44999999995</v>
      </c>
      <c r="O25" s="59"/>
      <c r="P25" s="12">
        <v>0</v>
      </c>
      <c r="Q25" s="12" t="s">
        <v>4</v>
      </c>
      <c r="R25" s="12" t="s">
        <v>15</v>
      </c>
      <c r="S25" s="12" t="s">
        <v>20</v>
      </c>
      <c r="T25" s="12">
        <v>1</v>
      </c>
      <c r="U25" s="13">
        <v>43879</v>
      </c>
      <c r="V25" s="12" t="s">
        <v>109</v>
      </c>
      <c r="W25" s="12" t="s">
        <v>92</v>
      </c>
      <c r="X25" s="12" t="s">
        <v>105</v>
      </c>
      <c r="Y25" s="13"/>
      <c r="Z25" s="75"/>
    </row>
    <row r="26" spans="1:26" s="20" customFormat="1" hidden="1" x14ac:dyDescent="0.3">
      <c r="A26" s="12" t="s">
        <v>85</v>
      </c>
      <c r="B26" s="12">
        <v>646</v>
      </c>
      <c r="C26" s="11" t="s">
        <v>100</v>
      </c>
      <c r="D26" s="12" t="s">
        <v>1</v>
      </c>
      <c r="E26" s="12" t="s">
        <v>1185</v>
      </c>
      <c r="F26" s="12" t="s">
        <v>87</v>
      </c>
      <c r="G26" s="12" t="s">
        <v>113</v>
      </c>
      <c r="H26" s="12" t="s">
        <v>101</v>
      </c>
      <c r="I26" s="12" t="s">
        <v>89</v>
      </c>
      <c r="J26" s="11" t="s">
        <v>102</v>
      </c>
      <c r="K26" s="11" t="s">
        <v>102</v>
      </c>
      <c r="L26" s="11" t="s">
        <v>1219</v>
      </c>
      <c r="M26" s="11" t="s">
        <v>103</v>
      </c>
      <c r="N26" s="57">
        <v>591078.44999999995</v>
      </c>
      <c r="O26" s="59"/>
      <c r="P26" s="12">
        <v>0</v>
      </c>
      <c r="Q26" s="12" t="s">
        <v>4</v>
      </c>
      <c r="R26" s="12" t="s">
        <v>15</v>
      </c>
      <c r="S26" s="12" t="s">
        <v>20</v>
      </c>
      <c r="T26" s="12">
        <v>1</v>
      </c>
      <c r="U26" s="13">
        <v>43906</v>
      </c>
      <c r="V26" s="12" t="s">
        <v>109</v>
      </c>
      <c r="W26" s="12" t="s">
        <v>92</v>
      </c>
      <c r="X26" s="12" t="s">
        <v>105</v>
      </c>
      <c r="Y26" s="13"/>
      <c r="Z26" s="75"/>
    </row>
    <row r="27" spans="1:26" s="20" customFormat="1" hidden="1" x14ac:dyDescent="0.3">
      <c r="A27" s="12" t="s">
        <v>85</v>
      </c>
      <c r="B27" s="12">
        <v>646</v>
      </c>
      <c r="C27" s="11" t="s">
        <v>100</v>
      </c>
      <c r="D27" s="12" t="s">
        <v>1</v>
      </c>
      <c r="E27" s="12" t="s">
        <v>1185</v>
      </c>
      <c r="F27" s="12" t="s">
        <v>87</v>
      </c>
      <c r="G27" s="12" t="s">
        <v>113</v>
      </c>
      <c r="H27" s="12" t="s">
        <v>101</v>
      </c>
      <c r="I27" s="12" t="s">
        <v>89</v>
      </c>
      <c r="J27" s="11" t="s">
        <v>102</v>
      </c>
      <c r="K27" s="11" t="s">
        <v>102</v>
      </c>
      <c r="L27" s="11" t="s">
        <v>1219</v>
      </c>
      <c r="M27" s="11" t="s">
        <v>103</v>
      </c>
      <c r="N27" s="57">
        <v>591078.44999999995</v>
      </c>
      <c r="O27" s="59"/>
      <c r="P27" s="12">
        <v>0</v>
      </c>
      <c r="Q27" s="12" t="s">
        <v>4</v>
      </c>
      <c r="R27" s="12" t="s">
        <v>15</v>
      </c>
      <c r="S27" s="12" t="s">
        <v>20</v>
      </c>
      <c r="T27" s="12">
        <v>1</v>
      </c>
      <c r="U27" s="13">
        <v>43962</v>
      </c>
      <c r="V27" s="12" t="s">
        <v>109</v>
      </c>
      <c r="W27" s="12" t="s">
        <v>92</v>
      </c>
      <c r="X27" s="12" t="s">
        <v>105</v>
      </c>
      <c r="Y27" s="13"/>
      <c r="Z27" s="75"/>
    </row>
    <row r="28" spans="1:26" s="20" customFormat="1" hidden="1" x14ac:dyDescent="0.3">
      <c r="A28" s="12" t="s">
        <v>85</v>
      </c>
      <c r="B28" s="12">
        <v>646</v>
      </c>
      <c r="C28" s="11" t="s">
        <v>100</v>
      </c>
      <c r="D28" s="12" t="s">
        <v>1</v>
      </c>
      <c r="E28" s="12" t="s">
        <v>1185</v>
      </c>
      <c r="F28" s="12" t="s">
        <v>87</v>
      </c>
      <c r="G28" s="12" t="s">
        <v>113</v>
      </c>
      <c r="H28" s="12" t="s">
        <v>101</v>
      </c>
      <c r="I28" s="12" t="s">
        <v>89</v>
      </c>
      <c r="J28" s="11" t="s">
        <v>102</v>
      </c>
      <c r="K28" s="11" t="s">
        <v>102</v>
      </c>
      <c r="L28" s="11" t="s">
        <v>1219</v>
      </c>
      <c r="M28" s="11" t="s">
        <v>103</v>
      </c>
      <c r="N28" s="57">
        <v>591078.44999999995</v>
      </c>
      <c r="O28" s="59"/>
      <c r="P28" s="12">
        <v>0</v>
      </c>
      <c r="Q28" s="12" t="s">
        <v>4</v>
      </c>
      <c r="R28" s="12" t="s">
        <v>15</v>
      </c>
      <c r="S28" s="12" t="s">
        <v>22</v>
      </c>
      <c r="T28" s="12">
        <v>1</v>
      </c>
      <c r="U28" s="13">
        <v>43997</v>
      </c>
      <c r="V28" s="12" t="s">
        <v>110</v>
      </c>
      <c r="W28" s="12" t="s">
        <v>92</v>
      </c>
      <c r="X28" s="12" t="s">
        <v>105</v>
      </c>
      <c r="Y28" s="13"/>
      <c r="Z28" s="75"/>
    </row>
    <row r="29" spans="1:26" s="20" customFormat="1" hidden="1" x14ac:dyDescent="0.3">
      <c r="A29" s="12" t="s">
        <v>85</v>
      </c>
      <c r="B29" s="12">
        <v>646</v>
      </c>
      <c r="C29" s="11" t="s">
        <v>100</v>
      </c>
      <c r="D29" s="12" t="s">
        <v>1</v>
      </c>
      <c r="E29" s="12" t="s">
        <v>1185</v>
      </c>
      <c r="F29" s="12" t="s">
        <v>87</v>
      </c>
      <c r="G29" s="12" t="s">
        <v>113</v>
      </c>
      <c r="H29" s="12" t="s">
        <v>101</v>
      </c>
      <c r="I29" s="12" t="s">
        <v>89</v>
      </c>
      <c r="J29" s="11" t="s">
        <v>102</v>
      </c>
      <c r="K29" s="11" t="s">
        <v>102</v>
      </c>
      <c r="L29" s="11" t="s">
        <v>1219</v>
      </c>
      <c r="M29" s="11" t="s">
        <v>103</v>
      </c>
      <c r="N29" s="57">
        <v>591078.44999999995</v>
      </c>
      <c r="O29" s="59"/>
      <c r="P29" s="12">
        <v>0</v>
      </c>
      <c r="Q29" s="12" t="s">
        <v>4</v>
      </c>
      <c r="R29" s="12" t="s">
        <v>15</v>
      </c>
      <c r="S29" s="12" t="s">
        <v>20</v>
      </c>
      <c r="T29" s="12">
        <v>1</v>
      </c>
      <c r="U29" s="13">
        <v>43997</v>
      </c>
      <c r="V29" s="12" t="s">
        <v>110</v>
      </c>
      <c r="W29" s="12" t="s">
        <v>92</v>
      </c>
      <c r="X29" s="12" t="s">
        <v>105</v>
      </c>
      <c r="Y29" s="13"/>
      <c r="Z29" s="75"/>
    </row>
    <row r="30" spans="1:26" s="20" customFormat="1" hidden="1" x14ac:dyDescent="0.3">
      <c r="A30" s="12" t="s">
        <v>85</v>
      </c>
      <c r="B30" s="12">
        <v>646</v>
      </c>
      <c r="C30" s="11" t="s">
        <v>100</v>
      </c>
      <c r="D30" s="12" t="s">
        <v>1</v>
      </c>
      <c r="E30" s="12" t="s">
        <v>1185</v>
      </c>
      <c r="F30" s="12" t="s">
        <v>87</v>
      </c>
      <c r="G30" s="12" t="s">
        <v>113</v>
      </c>
      <c r="H30" s="12" t="s">
        <v>101</v>
      </c>
      <c r="I30" s="12" t="s">
        <v>89</v>
      </c>
      <c r="J30" s="11" t="s">
        <v>102</v>
      </c>
      <c r="K30" s="11" t="s">
        <v>102</v>
      </c>
      <c r="L30" s="11" t="s">
        <v>1219</v>
      </c>
      <c r="M30" s="11" t="s">
        <v>103</v>
      </c>
      <c r="N30" s="57">
        <v>591078.44999999995</v>
      </c>
      <c r="O30" s="59"/>
      <c r="P30" s="12">
        <v>0</v>
      </c>
      <c r="Q30" s="12" t="s">
        <v>4</v>
      </c>
      <c r="R30" s="12" t="s">
        <v>15</v>
      </c>
      <c r="S30" s="12" t="s">
        <v>20</v>
      </c>
      <c r="T30" s="12">
        <v>1</v>
      </c>
      <c r="U30" s="13">
        <v>44027</v>
      </c>
      <c r="V30" s="12" t="s">
        <v>110</v>
      </c>
      <c r="W30" s="12" t="s">
        <v>92</v>
      </c>
      <c r="X30" s="12" t="s">
        <v>105</v>
      </c>
      <c r="Y30" s="13"/>
      <c r="Z30" s="75"/>
    </row>
    <row r="31" spans="1:26" s="20" customFormat="1" hidden="1" x14ac:dyDescent="0.3">
      <c r="A31" s="12" t="s">
        <v>85</v>
      </c>
      <c r="B31" s="12">
        <v>646</v>
      </c>
      <c r="C31" s="11" t="s">
        <v>100</v>
      </c>
      <c r="D31" s="12" t="s">
        <v>1</v>
      </c>
      <c r="E31" s="12" t="s">
        <v>1185</v>
      </c>
      <c r="F31" s="12" t="s">
        <v>87</v>
      </c>
      <c r="G31" s="12" t="s">
        <v>113</v>
      </c>
      <c r="H31" s="12" t="s">
        <v>101</v>
      </c>
      <c r="I31" s="12" t="s">
        <v>89</v>
      </c>
      <c r="J31" s="11" t="s">
        <v>102</v>
      </c>
      <c r="K31" s="11" t="s">
        <v>102</v>
      </c>
      <c r="L31" s="11" t="s">
        <v>1219</v>
      </c>
      <c r="M31" s="11" t="s">
        <v>103</v>
      </c>
      <c r="N31" s="57">
        <v>591078.44999999995</v>
      </c>
      <c r="O31" s="59"/>
      <c r="P31" s="12">
        <v>0</v>
      </c>
      <c r="Q31" s="12" t="s">
        <v>4</v>
      </c>
      <c r="R31" s="12" t="s">
        <v>15</v>
      </c>
      <c r="S31" s="12" t="s">
        <v>22</v>
      </c>
      <c r="T31" s="12">
        <v>1</v>
      </c>
      <c r="U31" s="13">
        <v>44027</v>
      </c>
      <c r="V31" s="12" t="s">
        <v>111</v>
      </c>
      <c r="W31" s="12" t="s">
        <v>92</v>
      </c>
      <c r="X31" s="12" t="s">
        <v>105</v>
      </c>
      <c r="Y31" s="13"/>
      <c r="Z31" s="75"/>
    </row>
    <row r="32" spans="1:26" s="20" customFormat="1" hidden="1" x14ac:dyDescent="0.3">
      <c r="A32" s="12" t="s">
        <v>85</v>
      </c>
      <c r="B32" s="12">
        <v>646</v>
      </c>
      <c r="C32" s="11" t="s">
        <v>100</v>
      </c>
      <c r="D32" s="12" t="s">
        <v>1</v>
      </c>
      <c r="E32" s="12" t="s">
        <v>1185</v>
      </c>
      <c r="F32" s="12" t="s">
        <v>87</v>
      </c>
      <c r="G32" s="12" t="s">
        <v>113</v>
      </c>
      <c r="H32" s="12" t="s">
        <v>101</v>
      </c>
      <c r="I32" s="12" t="s">
        <v>89</v>
      </c>
      <c r="J32" s="11" t="s">
        <v>102</v>
      </c>
      <c r="K32" s="11" t="s">
        <v>102</v>
      </c>
      <c r="L32" s="11" t="s">
        <v>1219</v>
      </c>
      <c r="M32" s="11" t="s">
        <v>103</v>
      </c>
      <c r="N32" s="57">
        <v>591078.44999999995</v>
      </c>
      <c r="O32" s="59"/>
      <c r="P32" s="12">
        <v>0</v>
      </c>
      <c r="Q32" s="12" t="s">
        <v>4</v>
      </c>
      <c r="R32" s="12" t="s">
        <v>13</v>
      </c>
      <c r="S32" s="12" t="s">
        <v>23</v>
      </c>
      <c r="T32" s="12">
        <v>1</v>
      </c>
      <c r="U32" s="13">
        <v>44028</v>
      </c>
      <c r="V32" s="12" t="s">
        <v>94</v>
      </c>
      <c r="W32" s="12" t="s">
        <v>92</v>
      </c>
      <c r="X32" s="12" t="s">
        <v>93</v>
      </c>
      <c r="Y32" s="13"/>
      <c r="Z32" s="75"/>
    </row>
    <row r="33" spans="1:26" s="20" customFormat="1" x14ac:dyDescent="0.3">
      <c r="A33" s="12" t="s">
        <v>85</v>
      </c>
      <c r="B33" s="12">
        <v>697</v>
      </c>
      <c r="C33" s="11" t="s">
        <v>112</v>
      </c>
      <c r="D33" s="12" t="s">
        <v>1</v>
      </c>
      <c r="E33" s="12" t="s">
        <v>1185</v>
      </c>
      <c r="F33" s="12" t="s">
        <v>113</v>
      </c>
      <c r="G33" s="12" t="s">
        <v>113</v>
      </c>
      <c r="H33" s="12" t="s">
        <v>114</v>
      </c>
      <c r="I33" s="12" t="s">
        <v>115</v>
      </c>
      <c r="J33" s="11" t="s">
        <v>1244</v>
      </c>
      <c r="K33" s="11" t="s">
        <v>1244</v>
      </c>
      <c r="L33" s="11" t="s">
        <v>1194</v>
      </c>
      <c r="M33" s="11" t="s">
        <v>92</v>
      </c>
      <c r="N33" s="57">
        <v>3000</v>
      </c>
      <c r="O33" s="59"/>
      <c r="P33" s="12" t="s">
        <v>91</v>
      </c>
      <c r="Q33" s="12" t="s">
        <v>4</v>
      </c>
      <c r="R33" s="12" t="s">
        <v>16</v>
      </c>
      <c r="S33" s="12" t="s">
        <v>24</v>
      </c>
      <c r="T33" s="12">
        <v>1</v>
      </c>
      <c r="U33" s="12"/>
      <c r="V33" s="12" t="s">
        <v>116</v>
      </c>
      <c r="W33" s="12" t="s">
        <v>92</v>
      </c>
      <c r="X33" s="12" t="s">
        <v>93</v>
      </c>
      <c r="Y33" s="13"/>
      <c r="Z33" s="75"/>
    </row>
    <row r="34" spans="1:26" s="20" customFormat="1" hidden="1" x14ac:dyDescent="0.3">
      <c r="A34" s="12" t="s">
        <v>85</v>
      </c>
      <c r="B34" s="12">
        <v>1249</v>
      </c>
      <c r="C34" s="11" t="s">
        <v>117</v>
      </c>
      <c r="D34" s="12" t="s">
        <v>1</v>
      </c>
      <c r="E34" s="12" t="s">
        <v>1185</v>
      </c>
      <c r="F34" s="12" t="s">
        <v>87</v>
      </c>
      <c r="G34" s="12" t="s">
        <v>113</v>
      </c>
      <c r="H34" s="12" t="s">
        <v>118</v>
      </c>
      <c r="I34" s="12" t="s">
        <v>119</v>
      </c>
      <c r="J34" s="11" t="s">
        <v>1267</v>
      </c>
      <c r="K34" s="11" t="s">
        <v>1238</v>
      </c>
      <c r="L34" s="11" t="s">
        <v>1212</v>
      </c>
      <c r="M34" s="11" t="s">
        <v>120</v>
      </c>
      <c r="N34" s="57">
        <v>22500</v>
      </c>
      <c r="O34" s="57">
        <v>2761.7</v>
      </c>
      <c r="P34" s="12" t="s">
        <v>121</v>
      </c>
      <c r="Q34" s="12" t="s">
        <v>4</v>
      </c>
      <c r="R34" s="12" t="s">
        <v>13</v>
      </c>
      <c r="S34" s="12" t="s">
        <v>25</v>
      </c>
      <c r="T34" s="12">
        <v>1</v>
      </c>
      <c r="U34" s="13">
        <v>44028</v>
      </c>
      <c r="V34" s="12" t="s">
        <v>94</v>
      </c>
      <c r="W34" s="12" t="s">
        <v>92</v>
      </c>
      <c r="X34" s="12" t="s">
        <v>93</v>
      </c>
      <c r="Y34" s="13"/>
      <c r="Z34" s="75"/>
    </row>
    <row r="35" spans="1:26" s="20" customFormat="1" ht="14" hidden="1" x14ac:dyDescent="0.3">
      <c r="A35" s="12" t="s">
        <v>122</v>
      </c>
      <c r="B35" s="12">
        <v>1308</v>
      </c>
      <c r="C35" s="11" t="s">
        <v>123</v>
      </c>
      <c r="D35" s="12" t="s">
        <v>1</v>
      </c>
      <c r="E35" s="12" t="s">
        <v>1185</v>
      </c>
      <c r="F35" s="12" t="s">
        <v>87</v>
      </c>
      <c r="G35" s="12" t="s">
        <v>113</v>
      </c>
      <c r="H35" s="12" t="s">
        <v>124</v>
      </c>
      <c r="I35" s="12" t="s">
        <v>125</v>
      </c>
      <c r="J35" s="11" t="s">
        <v>126</v>
      </c>
      <c r="K35" s="11" t="s">
        <v>126</v>
      </c>
      <c r="L35" s="11" t="s">
        <v>1199</v>
      </c>
      <c r="M35" s="11" t="s">
        <v>127</v>
      </c>
      <c r="N35" s="57">
        <v>179465</v>
      </c>
      <c r="O35" s="88"/>
      <c r="P35" s="56">
        <v>524500002000</v>
      </c>
      <c r="Q35" s="12" t="s">
        <v>4</v>
      </c>
      <c r="R35" s="12" t="s">
        <v>16</v>
      </c>
      <c r="S35" s="12" t="s">
        <v>26</v>
      </c>
      <c r="T35" s="12">
        <v>1</v>
      </c>
      <c r="U35" s="13"/>
      <c r="V35" s="12" t="s">
        <v>128</v>
      </c>
      <c r="W35" s="12">
        <v>4310</v>
      </c>
      <c r="X35" s="12" t="s">
        <v>105</v>
      </c>
      <c r="Y35" s="13"/>
      <c r="Z35" s="75"/>
    </row>
    <row r="36" spans="1:26" s="20" customFormat="1" hidden="1" x14ac:dyDescent="0.3">
      <c r="A36" s="12" t="s">
        <v>122</v>
      </c>
      <c r="B36" s="12">
        <v>1308</v>
      </c>
      <c r="C36" s="11" t="s">
        <v>123</v>
      </c>
      <c r="D36" s="12" t="s">
        <v>1</v>
      </c>
      <c r="E36" s="12" t="s">
        <v>1185</v>
      </c>
      <c r="F36" s="12" t="s">
        <v>87</v>
      </c>
      <c r="G36" s="12" t="s">
        <v>113</v>
      </c>
      <c r="H36" s="12" t="s">
        <v>124</v>
      </c>
      <c r="I36" s="12" t="s">
        <v>125</v>
      </c>
      <c r="J36" s="11" t="s">
        <v>126</v>
      </c>
      <c r="K36" s="11" t="s">
        <v>126</v>
      </c>
      <c r="L36" s="11" t="s">
        <v>1199</v>
      </c>
      <c r="M36" s="11" t="s">
        <v>127</v>
      </c>
      <c r="N36" s="57">
        <v>179465</v>
      </c>
      <c r="O36" s="59"/>
      <c r="P36" s="56">
        <v>524500002000</v>
      </c>
      <c r="Q36" s="12" t="s">
        <v>4</v>
      </c>
      <c r="R36" s="12" t="s">
        <v>13</v>
      </c>
      <c r="S36" s="12" t="s">
        <v>25</v>
      </c>
      <c r="T36" s="12">
        <v>1</v>
      </c>
      <c r="U36" s="13">
        <v>44028</v>
      </c>
      <c r="V36" s="12" t="s">
        <v>94</v>
      </c>
      <c r="W36" s="12" t="s">
        <v>92</v>
      </c>
      <c r="X36" s="12" t="s">
        <v>93</v>
      </c>
      <c r="Y36" s="13"/>
      <c r="Z36" s="75"/>
    </row>
    <row r="37" spans="1:26" s="20" customFormat="1" hidden="1" x14ac:dyDescent="0.3">
      <c r="A37" s="12" t="s">
        <v>122</v>
      </c>
      <c r="B37" s="12">
        <v>1308</v>
      </c>
      <c r="C37" s="11" t="s">
        <v>123</v>
      </c>
      <c r="D37" s="12" t="s">
        <v>1</v>
      </c>
      <c r="E37" s="12" t="s">
        <v>1185</v>
      </c>
      <c r="F37" s="12" t="s">
        <v>87</v>
      </c>
      <c r="G37" s="12" t="s">
        <v>113</v>
      </c>
      <c r="H37" s="12" t="s">
        <v>124</v>
      </c>
      <c r="I37" s="12" t="s">
        <v>125</v>
      </c>
      <c r="J37" s="11" t="s">
        <v>126</v>
      </c>
      <c r="K37" s="11" t="s">
        <v>126</v>
      </c>
      <c r="L37" s="11" t="s">
        <v>1199</v>
      </c>
      <c r="M37" s="11" t="s">
        <v>127</v>
      </c>
      <c r="N37" s="57">
        <v>179465</v>
      </c>
      <c r="O37" s="59"/>
      <c r="P37" s="56">
        <v>524500002000</v>
      </c>
      <c r="Q37" s="12" t="s">
        <v>4</v>
      </c>
      <c r="R37" s="12" t="s">
        <v>16</v>
      </c>
      <c r="S37" s="12" t="s">
        <v>26</v>
      </c>
      <c r="T37" s="12">
        <v>1</v>
      </c>
      <c r="U37" s="13">
        <v>43994</v>
      </c>
      <c r="V37" s="12" t="s">
        <v>129</v>
      </c>
      <c r="W37" s="12" t="s">
        <v>92</v>
      </c>
      <c r="X37" s="12" t="s">
        <v>105</v>
      </c>
      <c r="Y37" s="13"/>
      <c r="Z37" s="75"/>
    </row>
    <row r="38" spans="1:26" s="20" customFormat="1" hidden="1" x14ac:dyDescent="0.3">
      <c r="A38" s="12" t="s">
        <v>85</v>
      </c>
      <c r="B38" s="12">
        <v>1639</v>
      </c>
      <c r="C38" s="11" t="s">
        <v>130</v>
      </c>
      <c r="D38" s="12" t="s">
        <v>1</v>
      </c>
      <c r="E38" s="12" t="s">
        <v>1185</v>
      </c>
      <c r="F38" s="12" t="s">
        <v>131</v>
      </c>
      <c r="G38" s="12" t="s">
        <v>132</v>
      </c>
      <c r="H38" s="12" t="s">
        <v>96</v>
      </c>
      <c r="I38" s="12" t="s">
        <v>89</v>
      </c>
      <c r="J38" s="11" t="s">
        <v>1241</v>
      </c>
      <c r="K38" s="11" t="s">
        <v>133</v>
      </c>
      <c r="L38" s="11" t="s">
        <v>1194</v>
      </c>
      <c r="M38" s="11" t="s">
        <v>134</v>
      </c>
      <c r="N38" s="58">
        <v>805.2</v>
      </c>
      <c r="O38" s="59"/>
      <c r="P38" s="12">
        <v>0</v>
      </c>
      <c r="Q38" s="12" t="s">
        <v>12</v>
      </c>
      <c r="R38" s="12" t="s">
        <v>99</v>
      </c>
      <c r="S38" s="12" t="s">
        <v>99</v>
      </c>
      <c r="T38" s="12">
        <v>0</v>
      </c>
      <c r="U38" s="13"/>
      <c r="V38" s="12" t="s">
        <v>92</v>
      </c>
      <c r="W38" s="12" t="s">
        <v>92</v>
      </c>
      <c r="X38" s="12" t="s">
        <v>135</v>
      </c>
      <c r="Y38" s="13"/>
      <c r="Z38" s="75"/>
    </row>
    <row r="39" spans="1:26" s="20" customFormat="1" hidden="1" x14ac:dyDescent="0.3">
      <c r="A39" s="12" t="s">
        <v>85</v>
      </c>
      <c r="B39" s="12">
        <v>1699</v>
      </c>
      <c r="C39" s="11" t="s">
        <v>136</v>
      </c>
      <c r="D39" s="12" t="s">
        <v>1</v>
      </c>
      <c r="E39" s="12" t="s">
        <v>1185</v>
      </c>
      <c r="F39" s="12" t="s">
        <v>87</v>
      </c>
      <c r="G39" s="12" t="s">
        <v>113</v>
      </c>
      <c r="H39" s="12" t="s">
        <v>137</v>
      </c>
      <c r="I39" s="12" t="s">
        <v>89</v>
      </c>
      <c r="J39" s="11" t="s">
        <v>138</v>
      </c>
      <c r="K39" s="11" t="s">
        <v>138</v>
      </c>
      <c r="L39" s="11" t="s">
        <v>1195</v>
      </c>
      <c r="M39" s="11" t="s">
        <v>139</v>
      </c>
      <c r="N39" s="57">
        <v>110125.75</v>
      </c>
      <c r="O39" s="59"/>
      <c r="P39" s="12">
        <v>0</v>
      </c>
      <c r="Q39" s="12" t="s">
        <v>4</v>
      </c>
      <c r="R39" s="12" t="s">
        <v>13</v>
      </c>
      <c r="S39" s="12" t="s">
        <v>14</v>
      </c>
      <c r="T39" s="12">
        <v>0</v>
      </c>
      <c r="U39" s="13"/>
      <c r="V39" s="12" t="s">
        <v>92</v>
      </c>
      <c r="W39" s="12" t="s">
        <v>92</v>
      </c>
      <c r="X39" s="12" t="s">
        <v>93</v>
      </c>
      <c r="Y39" s="13"/>
      <c r="Z39" s="75"/>
    </row>
    <row r="40" spans="1:26" s="20" customFormat="1" hidden="1" x14ac:dyDescent="0.3">
      <c r="A40" s="12" t="s">
        <v>85</v>
      </c>
      <c r="B40" s="12">
        <v>1699</v>
      </c>
      <c r="C40" s="11" t="s">
        <v>136</v>
      </c>
      <c r="D40" s="12" t="s">
        <v>1</v>
      </c>
      <c r="E40" s="12" t="s">
        <v>1185</v>
      </c>
      <c r="F40" s="12" t="s">
        <v>87</v>
      </c>
      <c r="G40" s="12" t="s">
        <v>113</v>
      </c>
      <c r="H40" s="12" t="s">
        <v>137</v>
      </c>
      <c r="I40" s="12" t="s">
        <v>89</v>
      </c>
      <c r="J40" s="11" t="s">
        <v>138</v>
      </c>
      <c r="K40" s="11" t="s">
        <v>138</v>
      </c>
      <c r="L40" s="11" t="s">
        <v>1195</v>
      </c>
      <c r="M40" s="11" t="s">
        <v>139</v>
      </c>
      <c r="N40" s="57">
        <v>110125.75</v>
      </c>
      <c r="O40" s="59"/>
      <c r="P40" s="12">
        <v>0</v>
      </c>
      <c r="Q40" s="12" t="s">
        <v>4</v>
      </c>
      <c r="R40" s="12" t="s">
        <v>15</v>
      </c>
      <c r="S40" s="12" t="s">
        <v>27</v>
      </c>
      <c r="T40" s="12">
        <v>1</v>
      </c>
      <c r="U40" s="12"/>
      <c r="V40" s="12" t="s">
        <v>140</v>
      </c>
      <c r="W40" s="12" t="s">
        <v>92</v>
      </c>
      <c r="X40" s="12" t="s">
        <v>105</v>
      </c>
      <c r="Y40" s="13"/>
      <c r="Z40" s="75"/>
    </row>
    <row r="41" spans="1:26" s="20" customFormat="1" hidden="1" x14ac:dyDescent="0.3">
      <c r="A41" s="12" t="s">
        <v>85</v>
      </c>
      <c r="B41" s="12">
        <v>1699</v>
      </c>
      <c r="C41" s="11" t="s">
        <v>136</v>
      </c>
      <c r="D41" s="12" t="s">
        <v>1</v>
      </c>
      <c r="E41" s="12" t="s">
        <v>1185</v>
      </c>
      <c r="F41" s="12" t="s">
        <v>87</v>
      </c>
      <c r="G41" s="12" t="s">
        <v>113</v>
      </c>
      <c r="H41" s="12" t="s">
        <v>137</v>
      </c>
      <c r="I41" s="12" t="s">
        <v>89</v>
      </c>
      <c r="J41" s="11" t="s">
        <v>138</v>
      </c>
      <c r="K41" s="11" t="s">
        <v>138</v>
      </c>
      <c r="L41" s="11" t="s">
        <v>1195</v>
      </c>
      <c r="M41" s="11" t="s">
        <v>139</v>
      </c>
      <c r="N41" s="57">
        <v>110125.75</v>
      </c>
      <c r="O41" s="59"/>
      <c r="P41" s="12">
        <v>0</v>
      </c>
      <c r="Q41" s="12" t="s">
        <v>4</v>
      </c>
      <c r="R41" s="12" t="s">
        <v>15</v>
      </c>
      <c r="S41" s="12" t="s">
        <v>27</v>
      </c>
      <c r="T41" s="12">
        <v>1</v>
      </c>
      <c r="U41" s="13">
        <v>43774</v>
      </c>
      <c r="V41" s="12" t="s">
        <v>141</v>
      </c>
      <c r="W41" s="12" t="s">
        <v>92</v>
      </c>
      <c r="X41" s="12" t="s">
        <v>105</v>
      </c>
      <c r="Y41" s="13"/>
      <c r="Z41" s="75"/>
    </row>
    <row r="42" spans="1:26" s="20" customFormat="1" hidden="1" x14ac:dyDescent="0.3">
      <c r="A42" s="12" t="s">
        <v>85</v>
      </c>
      <c r="B42" s="12">
        <v>1699</v>
      </c>
      <c r="C42" s="11" t="s">
        <v>136</v>
      </c>
      <c r="D42" s="12" t="s">
        <v>1</v>
      </c>
      <c r="E42" s="12" t="s">
        <v>1185</v>
      </c>
      <c r="F42" s="12" t="s">
        <v>87</v>
      </c>
      <c r="G42" s="12" t="s">
        <v>113</v>
      </c>
      <c r="H42" s="12" t="s">
        <v>137</v>
      </c>
      <c r="I42" s="12" t="s">
        <v>89</v>
      </c>
      <c r="J42" s="11" t="s">
        <v>138</v>
      </c>
      <c r="K42" s="11" t="s">
        <v>138</v>
      </c>
      <c r="L42" s="11" t="s">
        <v>1195</v>
      </c>
      <c r="M42" s="11" t="s">
        <v>139</v>
      </c>
      <c r="N42" s="57">
        <v>110125.75</v>
      </c>
      <c r="O42" s="59"/>
      <c r="P42" s="12">
        <v>0</v>
      </c>
      <c r="Q42" s="12" t="s">
        <v>4</v>
      </c>
      <c r="R42" s="12" t="s">
        <v>15</v>
      </c>
      <c r="S42" s="12" t="s">
        <v>14</v>
      </c>
      <c r="T42" s="12">
        <v>1</v>
      </c>
      <c r="U42" s="12"/>
      <c r="V42" s="12" t="s">
        <v>142</v>
      </c>
      <c r="W42" s="12" t="s">
        <v>92</v>
      </c>
      <c r="X42" s="12" t="s">
        <v>105</v>
      </c>
      <c r="Y42" s="13"/>
      <c r="Z42" s="75"/>
    </row>
    <row r="43" spans="1:26" s="20" customFormat="1" hidden="1" x14ac:dyDescent="0.3">
      <c r="A43" s="12" t="s">
        <v>85</v>
      </c>
      <c r="B43" s="12">
        <v>1699</v>
      </c>
      <c r="C43" s="11" t="s">
        <v>136</v>
      </c>
      <c r="D43" s="12" t="s">
        <v>1</v>
      </c>
      <c r="E43" s="12" t="s">
        <v>1185</v>
      </c>
      <c r="F43" s="12" t="s">
        <v>87</v>
      </c>
      <c r="G43" s="12" t="s">
        <v>113</v>
      </c>
      <c r="H43" s="12" t="s">
        <v>137</v>
      </c>
      <c r="I43" s="12" t="s">
        <v>89</v>
      </c>
      <c r="J43" s="11" t="s">
        <v>138</v>
      </c>
      <c r="K43" s="11" t="s">
        <v>138</v>
      </c>
      <c r="L43" s="11" t="s">
        <v>1195</v>
      </c>
      <c r="M43" s="11" t="s">
        <v>139</v>
      </c>
      <c r="N43" s="57">
        <v>110125.75</v>
      </c>
      <c r="O43" s="59"/>
      <c r="P43" s="12">
        <v>0</v>
      </c>
      <c r="Q43" s="12" t="s">
        <v>4</v>
      </c>
      <c r="R43" s="12" t="s">
        <v>15</v>
      </c>
      <c r="S43" s="12" t="s">
        <v>14</v>
      </c>
      <c r="T43" s="12">
        <v>1</v>
      </c>
      <c r="U43" s="13">
        <v>43962</v>
      </c>
      <c r="V43" s="12" t="s">
        <v>143</v>
      </c>
      <c r="W43" s="12" t="s">
        <v>92</v>
      </c>
      <c r="X43" s="12" t="s">
        <v>105</v>
      </c>
      <c r="Y43" s="13"/>
      <c r="Z43" s="75"/>
    </row>
    <row r="44" spans="1:26" s="20" customFormat="1" hidden="1" x14ac:dyDescent="0.3">
      <c r="A44" s="12" t="s">
        <v>85</v>
      </c>
      <c r="B44" s="12">
        <v>1699</v>
      </c>
      <c r="C44" s="11" t="s">
        <v>136</v>
      </c>
      <c r="D44" s="12" t="s">
        <v>1</v>
      </c>
      <c r="E44" s="12" t="s">
        <v>1185</v>
      </c>
      <c r="F44" s="12" t="s">
        <v>87</v>
      </c>
      <c r="G44" s="12" t="s">
        <v>113</v>
      </c>
      <c r="H44" s="12" t="s">
        <v>137</v>
      </c>
      <c r="I44" s="12" t="s">
        <v>89</v>
      </c>
      <c r="J44" s="11" t="s">
        <v>138</v>
      </c>
      <c r="K44" s="11" t="s">
        <v>138</v>
      </c>
      <c r="L44" s="11" t="s">
        <v>1195</v>
      </c>
      <c r="M44" s="11" t="s">
        <v>92</v>
      </c>
      <c r="N44" s="57">
        <v>110125.75</v>
      </c>
      <c r="O44" s="59"/>
      <c r="P44" s="12">
        <v>0</v>
      </c>
      <c r="Q44" s="12" t="s">
        <v>4</v>
      </c>
      <c r="R44" s="12" t="s">
        <v>15</v>
      </c>
      <c r="S44" s="12" t="s">
        <v>14</v>
      </c>
      <c r="T44" s="12">
        <v>1</v>
      </c>
      <c r="U44" s="13">
        <v>43994</v>
      </c>
      <c r="V44" s="12" t="s">
        <v>144</v>
      </c>
      <c r="W44" s="12" t="s">
        <v>92</v>
      </c>
      <c r="X44" s="12" t="s">
        <v>105</v>
      </c>
      <c r="Y44" s="13"/>
      <c r="Z44" s="75"/>
    </row>
    <row r="45" spans="1:26" s="20" customFormat="1" hidden="1" x14ac:dyDescent="0.3">
      <c r="A45" s="12" t="s">
        <v>85</v>
      </c>
      <c r="B45" s="12">
        <v>1699</v>
      </c>
      <c r="C45" s="11" t="s">
        <v>136</v>
      </c>
      <c r="D45" s="12" t="s">
        <v>1</v>
      </c>
      <c r="E45" s="12" t="s">
        <v>1185</v>
      </c>
      <c r="F45" s="12" t="s">
        <v>87</v>
      </c>
      <c r="G45" s="12" t="s">
        <v>113</v>
      </c>
      <c r="H45" s="12" t="s">
        <v>137</v>
      </c>
      <c r="I45" s="12" t="s">
        <v>89</v>
      </c>
      <c r="J45" s="11" t="s">
        <v>138</v>
      </c>
      <c r="K45" s="11" t="s">
        <v>138</v>
      </c>
      <c r="L45" s="11" t="s">
        <v>1195</v>
      </c>
      <c r="M45" s="11" t="s">
        <v>92</v>
      </c>
      <c r="N45" s="57">
        <v>110125.75</v>
      </c>
      <c r="O45" s="59"/>
      <c r="P45" s="12">
        <v>0</v>
      </c>
      <c r="Q45" s="12" t="s">
        <v>4</v>
      </c>
      <c r="R45" s="12" t="s">
        <v>15</v>
      </c>
      <c r="S45" s="12" t="s">
        <v>22</v>
      </c>
      <c r="T45" s="12">
        <v>1</v>
      </c>
      <c r="U45" s="13">
        <v>43997</v>
      </c>
      <c r="V45" s="12" t="s">
        <v>110</v>
      </c>
      <c r="W45" s="12" t="s">
        <v>92</v>
      </c>
      <c r="X45" s="12" t="s">
        <v>105</v>
      </c>
      <c r="Y45" s="13"/>
      <c r="Z45" s="75"/>
    </row>
    <row r="46" spans="1:26" s="20" customFormat="1" hidden="1" x14ac:dyDescent="0.3">
      <c r="A46" s="12" t="s">
        <v>85</v>
      </c>
      <c r="B46" s="12">
        <v>1699</v>
      </c>
      <c r="C46" s="11" t="s">
        <v>136</v>
      </c>
      <c r="D46" s="12" t="s">
        <v>1</v>
      </c>
      <c r="E46" s="12" t="s">
        <v>1185</v>
      </c>
      <c r="F46" s="12" t="s">
        <v>87</v>
      </c>
      <c r="G46" s="12" t="s">
        <v>113</v>
      </c>
      <c r="H46" s="12" t="s">
        <v>137</v>
      </c>
      <c r="I46" s="12" t="s">
        <v>89</v>
      </c>
      <c r="J46" s="11" t="s">
        <v>138</v>
      </c>
      <c r="K46" s="11" t="s">
        <v>138</v>
      </c>
      <c r="L46" s="11" t="s">
        <v>1195</v>
      </c>
      <c r="M46" s="11" t="s">
        <v>92</v>
      </c>
      <c r="N46" s="57">
        <v>110125.75</v>
      </c>
      <c r="O46" s="59"/>
      <c r="P46" s="12">
        <v>0</v>
      </c>
      <c r="Q46" s="12" t="s">
        <v>4</v>
      </c>
      <c r="R46" s="12" t="s">
        <v>15</v>
      </c>
      <c r="S46" s="12" t="s">
        <v>14</v>
      </c>
      <c r="T46" s="12">
        <v>1</v>
      </c>
      <c r="U46" s="13">
        <v>44015</v>
      </c>
      <c r="V46" s="12" t="s">
        <v>145</v>
      </c>
      <c r="W46" s="12" t="s">
        <v>92</v>
      </c>
      <c r="X46" s="12" t="s">
        <v>105</v>
      </c>
      <c r="Y46" s="13"/>
      <c r="Z46" s="75"/>
    </row>
    <row r="47" spans="1:26" s="20" customFormat="1" hidden="1" x14ac:dyDescent="0.3">
      <c r="A47" s="12" t="s">
        <v>85</v>
      </c>
      <c r="B47" s="12">
        <v>1699</v>
      </c>
      <c r="C47" s="11" t="s">
        <v>136</v>
      </c>
      <c r="D47" s="12" t="s">
        <v>1</v>
      </c>
      <c r="E47" s="12" t="s">
        <v>1185</v>
      </c>
      <c r="F47" s="12" t="s">
        <v>87</v>
      </c>
      <c r="G47" s="12" t="s">
        <v>113</v>
      </c>
      <c r="H47" s="12" t="s">
        <v>137</v>
      </c>
      <c r="I47" s="12" t="s">
        <v>89</v>
      </c>
      <c r="J47" s="11" t="s">
        <v>138</v>
      </c>
      <c r="K47" s="11" t="s">
        <v>138</v>
      </c>
      <c r="L47" s="11" t="s">
        <v>1195</v>
      </c>
      <c r="M47" s="11" t="s">
        <v>92</v>
      </c>
      <c r="N47" s="57">
        <v>110125.75</v>
      </c>
      <c r="O47" s="59"/>
      <c r="P47" s="12">
        <v>0</v>
      </c>
      <c r="Q47" s="12" t="s">
        <v>4</v>
      </c>
      <c r="R47" s="12" t="s">
        <v>15</v>
      </c>
      <c r="S47" s="12" t="s">
        <v>22</v>
      </c>
      <c r="T47" s="12">
        <v>1</v>
      </c>
      <c r="U47" s="13">
        <v>44027</v>
      </c>
      <c r="V47" s="12" t="s">
        <v>111</v>
      </c>
      <c r="W47" s="12" t="s">
        <v>92</v>
      </c>
      <c r="X47" s="12" t="s">
        <v>105</v>
      </c>
      <c r="Y47" s="13"/>
      <c r="Z47" s="75"/>
    </row>
    <row r="48" spans="1:26" s="20" customFormat="1" hidden="1" x14ac:dyDescent="0.3">
      <c r="A48" s="12" t="s">
        <v>85</v>
      </c>
      <c r="B48" s="12">
        <v>1699</v>
      </c>
      <c r="C48" s="11" t="s">
        <v>136</v>
      </c>
      <c r="D48" s="12" t="s">
        <v>1</v>
      </c>
      <c r="E48" s="12" t="s">
        <v>1185</v>
      </c>
      <c r="F48" s="12" t="s">
        <v>87</v>
      </c>
      <c r="G48" s="12" t="s">
        <v>113</v>
      </c>
      <c r="H48" s="12" t="s">
        <v>137</v>
      </c>
      <c r="I48" s="12" t="s">
        <v>89</v>
      </c>
      <c r="J48" s="11" t="s">
        <v>138</v>
      </c>
      <c r="K48" s="11" t="s">
        <v>138</v>
      </c>
      <c r="L48" s="11" t="s">
        <v>1195</v>
      </c>
      <c r="M48" s="11" t="s">
        <v>139</v>
      </c>
      <c r="N48" s="57">
        <v>110125.75</v>
      </c>
      <c r="O48" s="59"/>
      <c r="P48" s="12">
        <v>0</v>
      </c>
      <c r="Q48" s="12" t="s">
        <v>4</v>
      </c>
      <c r="R48" s="12" t="s">
        <v>15</v>
      </c>
      <c r="S48" s="12" t="s">
        <v>27</v>
      </c>
      <c r="T48" s="12">
        <v>1</v>
      </c>
      <c r="U48" s="13">
        <v>44026</v>
      </c>
      <c r="V48" s="12" t="s">
        <v>146</v>
      </c>
      <c r="W48" s="12" t="s">
        <v>92</v>
      </c>
      <c r="X48" s="12" t="s">
        <v>105</v>
      </c>
      <c r="Y48" s="13"/>
      <c r="Z48" s="75"/>
    </row>
    <row r="49" spans="1:26" s="20" customFormat="1" hidden="1" x14ac:dyDescent="0.3">
      <c r="A49" s="12" t="s">
        <v>85</v>
      </c>
      <c r="B49" s="12">
        <v>1699</v>
      </c>
      <c r="C49" s="11" t="s">
        <v>136</v>
      </c>
      <c r="D49" s="12" t="s">
        <v>1</v>
      </c>
      <c r="E49" s="12" t="s">
        <v>1185</v>
      </c>
      <c r="F49" s="12" t="s">
        <v>87</v>
      </c>
      <c r="G49" s="12" t="s">
        <v>113</v>
      </c>
      <c r="H49" s="12" t="s">
        <v>137</v>
      </c>
      <c r="I49" s="12" t="s">
        <v>89</v>
      </c>
      <c r="J49" s="11" t="s">
        <v>138</v>
      </c>
      <c r="K49" s="11" t="s">
        <v>138</v>
      </c>
      <c r="L49" s="11" t="s">
        <v>1195</v>
      </c>
      <c r="M49" s="11" t="s">
        <v>92</v>
      </c>
      <c r="N49" s="57">
        <v>110125.75</v>
      </c>
      <c r="O49" s="59"/>
      <c r="P49" s="12">
        <v>0</v>
      </c>
      <c r="Q49" s="12" t="s">
        <v>4</v>
      </c>
      <c r="R49" s="12" t="s">
        <v>15</v>
      </c>
      <c r="S49" s="12" t="s">
        <v>14</v>
      </c>
      <c r="T49" s="12">
        <v>1</v>
      </c>
      <c r="U49" s="13">
        <v>44027</v>
      </c>
      <c r="V49" s="12" t="s">
        <v>147</v>
      </c>
      <c r="W49" s="12" t="s">
        <v>92</v>
      </c>
      <c r="X49" s="12" t="s">
        <v>105</v>
      </c>
      <c r="Y49" s="13"/>
      <c r="Z49" s="75"/>
    </row>
    <row r="50" spans="1:26" s="20" customFormat="1" hidden="1" x14ac:dyDescent="0.3">
      <c r="A50" s="12" t="s">
        <v>85</v>
      </c>
      <c r="B50" s="12">
        <v>2080</v>
      </c>
      <c r="C50" s="11" t="s">
        <v>148</v>
      </c>
      <c r="D50" s="12" t="s">
        <v>1</v>
      </c>
      <c r="E50" s="12" t="s">
        <v>1185</v>
      </c>
      <c r="F50" s="12" t="s">
        <v>87</v>
      </c>
      <c r="G50" s="12" t="s">
        <v>113</v>
      </c>
      <c r="H50" s="12" t="s">
        <v>149</v>
      </c>
      <c r="I50" s="12" t="s">
        <v>125</v>
      </c>
      <c r="J50" s="11" t="s">
        <v>150</v>
      </c>
      <c r="K50" s="11" t="s">
        <v>150</v>
      </c>
      <c r="L50" s="11" t="s">
        <v>1197</v>
      </c>
      <c r="M50" s="11" t="s">
        <v>151</v>
      </c>
      <c r="N50" s="58">
        <v>23122.799999999999</v>
      </c>
      <c r="O50" s="59"/>
      <c r="P50" s="12">
        <v>0</v>
      </c>
      <c r="Q50" s="12" t="s">
        <v>12</v>
      </c>
      <c r="R50" s="12" t="s">
        <v>99</v>
      </c>
      <c r="S50" s="12" t="s">
        <v>99</v>
      </c>
      <c r="T50" s="12">
        <v>0</v>
      </c>
      <c r="U50" s="13"/>
      <c r="V50" s="12"/>
      <c r="W50" s="12" t="s">
        <v>92</v>
      </c>
      <c r="X50" s="12" t="s">
        <v>93</v>
      </c>
      <c r="Y50" s="13">
        <v>44079</v>
      </c>
      <c r="Z50" s="75"/>
    </row>
    <row r="51" spans="1:26" s="20" customFormat="1" hidden="1" x14ac:dyDescent="0.3">
      <c r="A51" s="12" t="s">
        <v>85</v>
      </c>
      <c r="B51" s="12">
        <v>2197</v>
      </c>
      <c r="C51" s="11" t="s">
        <v>152</v>
      </c>
      <c r="D51" s="12" t="s">
        <v>1</v>
      </c>
      <c r="E51" s="12" t="s">
        <v>1185</v>
      </c>
      <c r="F51" s="12" t="s">
        <v>113</v>
      </c>
      <c r="G51" s="12" t="s">
        <v>87</v>
      </c>
      <c r="H51" s="12" t="s">
        <v>153</v>
      </c>
      <c r="I51" s="12" t="s">
        <v>115</v>
      </c>
      <c r="J51" s="11" t="s">
        <v>154</v>
      </c>
      <c r="K51" s="11" t="s">
        <v>154</v>
      </c>
      <c r="L51" s="11" t="s">
        <v>1195</v>
      </c>
      <c r="M51" s="11" t="s">
        <v>155</v>
      </c>
      <c r="N51" s="58">
        <v>880</v>
      </c>
      <c r="O51" s="59"/>
      <c r="P51" s="12"/>
      <c r="Q51" s="12" t="s">
        <v>4</v>
      </c>
      <c r="R51" s="12" t="s">
        <v>21</v>
      </c>
      <c r="S51" s="12" t="s">
        <v>25</v>
      </c>
      <c r="T51" s="12">
        <v>1</v>
      </c>
      <c r="U51" s="13">
        <v>43895</v>
      </c>
      <c r="V51" s="12" t="s">
        <v>156</v>
      </c>
      <c r="W51" s="12" t="s">
        <v>92</v>
      </c>
      <c r="X51" s="12" t="s">
        <v>93</v>
      </c>
      <c r="Y51" s="13"/>
      <c r="Z51" s="75"/>
    </row>
    <row r="52" spans="1:26" s="20" customFormat="1" hidden="1" x14ac:dyDescent="0.3">
      <c r="A52" s="12" t="s">
        <v>85</v>
      </c>
      <c r="B52" s="12">
        <v>2197</v>
      </c>
      <c r="C52" s="11" t="s">
        <v>152</v>
      </c>
      <c r="D52" s="12" t="s">
        <v>1</v>
      </c>
      <c r="E52" s="12" t="s">
        <v>1185</v>
      </c>
      <c r="F52" s="12" t="s">
        <v>113</v>
      </c>
      <c r="G52" s="12" t="s">
        <v>87</v>
      </c>
      <c r="H52" s="12" t="s">
        <v>153</v>
      </c>
      <c r="I52" s="12" t="s">
        <v>115</v>
      </c>
      <c r="J52" s="11" t="s">
        <v>154</v>
      </c>
      <c r="K52" s="11" t="s">
        <v>154</v>
      </c>
      <c r="L52" s="11" t="s">
        <v>1195</v>
      </c>
      <c r="M52" s="11" t="s">
        <v>155</v>
      </c>
      <c r="N52" s="58">
        <v>880</v>
      </c>
      <c r="O52" s="59"/>
      <c r="P52" s="12"/>
      <c r="Q52" s="12" t="s">
        <v>4</v>
      </c>
      <c r="R52" s="12" t="s">
        <v>21</v>
      </c>
      <c r="S52" s="12" t="s">
        <v>25</v>
      </c>
      <c r="T52" s="12">
        <v>1</v>
      </c>
      <c r="U52" s="13">
        <v>43902</v>
      </c>
      <c r="V52" s="12" t="s">
        <v>157</v>
      </c>
      <c r="W52" s="12" t="s">
        <v>92</v>
      </c>
      <c r="X52" s="12" t="s">
        <v>93</v>
      </c>
      <c r="Y52" s="13"/>
      <c r="Z52" s="75"/>
    </row>
    <row r="53" spans="1:26" s="20" customFormat="1" hidden="1" x14ac:dyDescent="0.3">
      <c r="A53" s="12" t="s">
        <v>85</v>
      </c>
      <c r="B53" s="12">
        <v>2197</v>
      </c>
      <c r="C53" s="11" t="s">
        <v>152</v>
      </c>
      <c r="D53" s="12" t="s">
        <v>1</v>
      </c>
      <c r="E53" s="12" t="s">
        <v>1185</v>
      </c>
      <c r="F53" s="12" t="s">
        <v>113</v>
      </c>
      <c r="G53" s="12" t="s">
        <v>87</v>
      </c>
      <c r="H53" s="12" t="s">
        <v>153</v>
      </c>
      <c r="I53" s="12" t="s">
        <v>115</v>
      </c>
      <c r="J53" s="11" t="s">
        <v>154</v>
      </c>
      <c r="K53" s="11" t="s">
        <v>154</v>
      </c>
      <c r="L53" s="11" t="s">
        <v>1195</v>
      </c>
      <c r="M53" s="11" t="s">
        <v>155</v>
      </c>
      <c r="N53" s="58">
        <v>880</v>
      </c>
      <c r="O53" s="59"/>
      <c r="P53" s="12"/>
      <c r="Q53" s="12" t="s">
        <v>4</v>
      </c>
      <c r="R53" s="12" t="s">
        <v>21</v>
      </c>
      <c r="S53" s="12" t="s">
        <v>25</v>
      </c>
      <c r="T53" s="12">
        <v>1</v>
      </c>
      <c r="U53" s="13">
        <v>43992</v>
      </c>
      <c r="V53" s="12" t="s">
        <v>158</v>
      </c>
      <c r="W53" s="12" t="s">
        <v>92</v>
      </c>
      <c r="X53" s="12" t="s">
        <v>93</v>
      </c>
      <c r="Y53" s="13"/>
      <c r="Z53" s="75"/>
    </row>
    <row r="54" spans="1:26" s="20" customFormat="1" hidden="1" x14ac:dyDescent="0.3">
      <c r="A54" s="12" t="s">
        <v>85</v>
      </c>
      <c r="B54" s="12">
        <v>2197</v>
      </c>
      <c r="C54" s="11" t="s">
        <v>152</v>
      </c>
      <c r="D54" s="12" t="s">
        <v>1</v>
      </c>
      <c r="E54" s="12" t="s">
        <v>1185</v>
      </c>
      <c r="F54" s="12" t="s">
        <v>113</v>
      </c>
      <c r="G54" s="12" t="s">
        <v>87</v>
      </c>
      <c r="H54" s="12" t="s">
        <v>153</v>
      </c>
      <c r="I54" s="12" t="s">
        <v>115</v>
      </c>
      <c r="J54" s="11" t="s">
        <v>154</v>
      </c>
      <c r="K54" s="11" t="s">
        <v>154</v>
      </c>
      <c r="L54" s="11" t="s">
        <v>1195</v>
      </c>
      <c r="M54" s="11" t="s">
        <v>155</v>
      </c>
      <c r="N54" s="58">
        <v>880</v>
      </c>
      <c r="O54" s="59"/>
      <c r="P54" s="12"/>
      <c r="Q54" s="12" t="s">
        <v>4</v>
      </c>
      <c r="R54" s="12" t="s">
        <v>21</v>
      </c>
      <c r="S54" s="12" t="s">
        <v>25</v>
      </c>
      <c r="T54" s="12">
        <v>1</v>
      </c>
      <c r="U54" s="13">
        <v>43997</v>
      </c>
      <c r="V54" s="12" t="s">
        <v>159</v>
      </c>
      <c r="W54" s="12" t="s">
        <v>92</v>
      </c>
      <c r="X54" s="12" t="s">
        <v>93</v>
      </c>
      <c r="Y54" s="13"/>
      <c r="Z54" s="75"/>
    </row>
    <row r="55" spans="1:26" s="20" customFormat="1" hidden="1" x14ac:dyDescent="0.3">
      <c r="A55" s="12" t="s">
        <v>85</v>
      </c>
      <c r="B55" s="12">
        <v>2197</v>
      </c>
      <c r="C55" s="11" t="s">
        <v>152</v>
      </c>
      <c r="D55" s="12" t="s">
        <v>1</v>
      </c>
      <c r="E55" s="12" t="s">
        <v>1185</v>
      </c>
      <c r="F55" s="12" t="s">
        <v>113</v>
      </c>
      <c r="G55" s="12" t="s">
        <v>87</v>
      </c>
      <c r="H55" s="12" t="s">
        <v>153</v>
      </c>
      <c r="I55" s="12" t="s">
        <v>115</v>
      </c>
      <c r="J55" s="11" t="s">
        <v>154</v>
      </c>
      <c r="K55" s="11" t="s">
        <v>154</v>
      </c>
      <c r="L55" s="11" t="s">
        <v>1195</v>
      </c>
      <c r="M55" s="11" t="s">
        <v>155</v>
      </c>
      <c r="N55" s="58">
        <v>880</v>
      </c>
      <c r="O55" s="59"/>
      <c r="P55" s="12"/>
      <c r="Q55" s="12" t="s">
        <v>4</v>
      </c>
      <c r="R55" s="12" t="s">
        <v>21</v>
      </c>
      <c r="S55" s="12" t="s">
        <v>25</v>
      </c>
      <c r="T55" s="12">
        <v>1</v>
      </c>
      <c r="U55" s="13">
        <v>43999</v>
      </c>
      <c r="V55" s="12" t="s">
        <v>160</v>
      </c>
      <c r="W55" s="12" t="s">
        <v>92</v>
      </c>
      <c r="X55" s="12" t="s">
        <v>93</v>
      </c>
      <c r="Y55" s="13"/>
      <c r="Z55" s="75"/>
    </row>
    <row r="56" spans="1:26" s="20" customFormat="1" hidden="1" x14ac:dyDescent="0.3">
      <c r="A56" s="12" t="s">
        <v>85</v>
      </c>
      <c r="B56" s="12">
        <v>2197</v>
      </c>
      <c r="C56" s="11" t="s">
        <v>152</v>
      </c>
      <c r="D56" s="12" t="s">
        <v>1</v>
      </c>
      <c r="E56" s="12" t="s">
        <v>1185</v>
      </c>
      <c r="F56" s="12" t="s">
        <v>113</v>
      </c>
      <c r="G56" s="12" t="s">
        <v>87</v>
      </c>
      <c r="H56" s="12" t="s">
        <v>153</v>
      </c>
      <c r="I56" s="12" t="s">
        <v>115</v>
      </c>
      <c r="J56" s="11" t="s">
        <v>154</v>
      </c>
      <c r="K56" s="11" t="s">
        <v>154</v>
      </c>
      <c r="L56" s="11" t="s">
        <v>1195</v>
      </c>
      <c r="M56" s="11" t="s">
        <v>155</v>
      </c>
      <c r="N56" s="58">
        <v>880</v>
      </c>
      <c r="O56" s="59"/>
      <c r="P56" s="12"/>
      <c r="Q56" s="12" t="s">
        <v>4</v>
      </c>
      <c r="R56" s="12" t="s">
        <v>21</v>
      </c>
      <c r="S56" s="12" t="s">
        <v>25</v>
      </c>
      <c r="T56" s="12">
        <v>1</v>
      </c>
      <c r="U56" s="13">
        <v>44014</v>
      </c>
      <c r="V56" s="12" t="s">
        <v>161</v>
      </c>
      <c r="W56" s="12" t="s">
        <v>92</v>
      </c>
      <c r="X56" s="12" t="s">
        <v>93</v>
      </c>
      <c r="Y56" s="13"/>
      <c r="Z56" s="75"/>
    </row>
    <row r="57" spans="1:26" s="20" customFormat="1" hidden="1" x14ac:dyDescent="0.3">
      <c r="A57" s="12" t="s">
        <v>85</v>
      </c>
      <c r="B57" s="12">
        <v>2717</v>
      </c>
      <c r="C57" s="11" t="s">
        <v>95</v>
      </c>
      <c r="D57" s="12" t="s">
        <v>1</v>
      </c>
      <c r="E57" s="12" t="s">
        <v>1185</v>
      </c>
      <c r="F57" s="12" t="s">
        <v>87</v>
      </c>
      <c r="G57" s="12" t="s">
        <v>113</v>
      </c>
      <c r="H57" s="12" t="s">
        <v>96</v>
      </c>
      <c r="I57" s="12" t="s">
        <v>89</v>
      </c>
      <c r="J57" s="11" t="s">
        <v>162</v>
      </c>
      <c r="K57" s="11" t="s">
        <v>162</v>
      </c>
      <c r="L57" s="11" t="s">
        <v>1199</v>
      </c>
      <c r="M57" s="11" t="s">
        <v>163</v>
      </c>
      <c r="N57" s="58">
        <v>402.56</v>
      </c>
      <c r="O57" s="59"/>
      <c r="P57" s="12"/>
      <c r="Q57" s="12" t="s">
        <v>12</v>
      </c>
      <c r="R57" s="12" t="s">
        <v>99</v>
      </c>
      <c r="S57" s="12" t="s">
        <v>99</v>
      </c>
      <c r="T57" s="12">
        <v>1</v>
      </c>
      <c r="U57" s="13"/>
      <c r="V57" s="12" t="s">
        <v>164</v>
      </c>
      <c r="W57" s="12" t="s">
        <v>92</v>
      </c>
      <c r="X57" s="12" t="s">
        <v>93</v>
      </c>
      <c r="Y57" s="13">
        <v>43880</v>
      </c>
      <c r="Z57" s="75"/>
    </row>
    <row r="58" spans="1:26" s="20" customFormat="1" x14ac:dyDescent="0.3">
      <c r="A58" s="12" t="s">
        <v>122</v>
      </c>
      <c r="B58" s="12">
        <v>3346</v>
      </c>
      <c r="C58" s="11" t="s">
        <v>112</v>
      </c>
      <c r="D58" s="12" t="s">
        <v>1</v>
      </c>
      <c r="E58" s="12" t="s">
        <v>1185</v>
      </c>
      <c r="F58" s="12" t="s">
        <v>113</v>
      </c>
      <c r="G58" s="12" t="s">
        <v>113</v>
      </c>
      <c r="H58" s="12" t="s">
        <v>114</v>
      </c>
      <c r="I58" s="12" t="s">
        <v>115</v>
      </c>
      <c r="J58" s="11" t="s">
        <v>1244</v>
      </c>
      <c r="K58" s="11" t="s">
        <v>1244</v>
      </c>
      <c r="L58" s="11" t="s">
        <v>1194</v>
      </c>
      <c r="M58" s="11" t="s">
        <v>165</v>
      </c>
      <c r="N58" s="57">
        <v>51535</v>
      </c>
      <c r="O58" s="59"/>
      <c r="P58" s="12"/>
      <c r="Q58" s="12" t="s">
        <v>4</v>
      </c>
      <c r="R58" s="12" t="s">
        <v>16</v>
      </c>
      <c r="S58" s="12" t="s">
        <v>26</v>
      </c>
      <c r="T58" s="12">
        <v>1</v>
      </c>
      <c r="U58" s="13">
        <v>43725</v>
      </c>
      <c r="V58" s="12" t="s">
        <v>166</v>
      </c>
      <c r="W58" s="12" t="s">
        <v>92</v>
      </c>
      <c r="X58" s="12" t="s">
        <v>93</v>
      </c>
      <c r="Y58" s="13"/>
      <c r="Z58" s="75"/>
    </row>
    <row r="59" spans="1:26" s="20" customFormat="1" x14ac:dyDescent="0.3">
      <c r="A59" s="12" t="s">
        <v>122</v>
      </c>
      <c r="B59" s="12">
        <v>3346</v>
      </c>
      <c r="C59" s="11" t="s">
        <v>112</v>
      </c>
      <c r="D59" s="12" t="s">
        <v>1</v>
      </c>
      <c r="E59" s="12" t="s">
        <v>1185</v>
      </c>
      <c r="F59" s="12" t="s">
        <v>113</v>
      </c>
      <c r="G59" s="12" t="s">
        <v>113</v>
      </c>
      <c r="H59" s="12" t="s">
        <v>114</v>
      </c>
      <c r="I59" s="12" t="s">
        <v>115</v>
      </c>
      <c r="J59" s="11" t="s">
        <v>1244</v>
      </c>
      <c r="K59" s="11" t="s">
        <v>1244</v>
      </c>
      <c r="L59" s="11" t="s">
        <v>1194</v>
      </c>
      <c r="M59" s="11" t="s">
        <v>165</v>
      </c>
      <c r="N59" s="57">
        <v>51535</v>
      </c>
      <c r="O59" s="59"/>
      <c r="P59" s="12"/>
      <c r="Q59" s="12" t="s">
        <v>4</v>
      </c>
      <c r="R59" s="12" t="s">
        <v>16</v>
      </c>
      <c r="S59" s="12" t="s">
        <v>26</v>
      </c>
      <c r="T59" s="12">
        <v>1</v>
      </c>
      <c r="U59" s="13">
        <v>43814</v>
      </c>
      <c r="V59" s="12" t="s">
        <v>167</v>
      </c>
      <c r="W59" s="12" t="s">
        <v>92</v>
      </c>
      <c r="X59" s="12" t="s">
        <v>93</v>
      </c>
      <c r="Y59" s="13"/>
      <c r="Z59" s="75"/>
    </row>
    <row r="60" spans="1:26" s="20" customFormat="1" x14ac:dyDescent="0.3">
      <c r="A60" s="12" t="s">
        <v>122</v>
      </c>
      <c r="B60" s="12">
        <v>3346</v>
      </c>
      <c r="C60" s="11" t="s">
        <v>112</v>
      </c>
      <c r="D60" s="12" t="s">
        <v>1</v>
      </c>
      <c r="E60" s="12" t="s">
        <v>1185</v>
      </c>
      <c r="F60" s="12" t="s">
        <v>113</v>
      </c>
      <c r="G60" s="12" t="s">
        <v>113</v>
      </c>
      <c r="H60" s="12" t="s">
        <v>114</v>
      </c>
      <c r="I60" s="12" t="s">
        <v>115</v>
      </c>
      <c r="J60" s="11" t="s">
        <v>1244</v>
      </c>
      <c r="K60" s="11" t="s">
        <v>1244</v>
      </c>
      <c r="L60" s="11" t="s">
        <v>1194</v>
      </c>
      <c r="M60" s="11" t="s">
        <v>165</v>
      </c>
      <c r="N60" s="57">
        <v>51535</v>
      </c>
      <c r="O60" s="59"/>
      <c r="P60" s="12"/>
      <c r="Q60" s="12" t="s">
        <v>4</v>
      </c>
      <c r="R60" s="12" t="s">
        <v>16</v>
      </c>
      <c r="S60" s="12" t="s">
        <v>26</v>
      </c>
      <c r="T60" s="12">
        <v>1</v>
      </c>
      <c r="U60" s="13">
        <v>43847</v>
      </c>
      <c r="V60" s="12" t="s">
        <v>168</v>
      </c>
      <c r="W60" s="12" t="s">
        <v>92</v>
      </c>
      <c r="X60" s="12" t="s">
        <v>93</v>
      </c>
      <c r="Y60" s="13"/>
      <c r="Z60" s="75"/>
    </row>
    <row r="61" spans="1:26" s="20" customFormat="1" x14ac:dyDescent="0.3">
      <c r="A61" s="12" t="s">
        <v>122</v>
      </c>
      <c r="B61" s="12">
        <v>3346</v>
      </c>
      <c r="C61" s="11" t="s">
        <v>112</v>
      </c>
      <c r="D61" s="12" t="s">
        <v>1</v>
      </c>
      <c r="E61" s="12" t="s">
        <v>1185</v>
      </c>
      <c r="F61" s="12" t="s">
        <v>113</v>
      </c>
      <c r="G61" s="12" t="s">
        <v>113</v>
      </c>
      <c r="H61" s="12" t="s">
        <v>114</v>
      </c>
      <c r="I61" s="12" t="s">
        <v>115</v>
      </c>
      <c r="J61" s="11" t="s">
        <v>1244</v>
      </c>
      <c r="K61" s="11" t="s">
        <v>1244</v>
      </c>
      <c r="L61" s="11" t="s">
        <v>1194</v>
      </c>
      <c r="M61" s="11" t="s">
        <v>165</v>
      </c>
      <c r="N61" s="57">
        <v>51535</v>
      </c>
      <c r="O61" s="59"/>
      <c r="P61" s="12"/>
      <c r="Q61" s="12" t="s">
        <v>4</v>
      </c>
      <c r="R61" s="12" t="s">
        <v>16</v>
      </c>
      <c r="S61" s="12" t="s">
        <v>26</v>
      </c>
      <c r="T61" s="12">
        <v>1</v>
      </c>
      <c r="U61" s="13">
        <v>43906</v>
      </c>
      <c r="V61" s="12" t="s">
        <v>169</v>
      </c>
      <c r="W61" s="12" t="s">
        <v>92</v>
      </c>
      <c r="X61" s="12" t="s">
        <v>93</v>
      </c>
      <c r="Y61" s="13"/>
      <c r="Z61" s="75"/>
    </row>
    <row r="62" spans="1:26" s="20" customFormat="1" x14ac:dyDescent="0.3">
      <c r="A62" s="12" t="s">
        <v>122</v>
      </c>
      <c r="B62" s="12">
        <v>3346</v>
      </c>
      <c r="C62" s="11" t="s">
        <v>112</v>
      </c>
      <c r="D62" s="12" t="s">
        <v>1</v>
      </c>
      <c r="E62" s="12" t="s">
        <v>1185</v>
      </c>
      <c r="F62" s="12" t="s">
        <v>113</v>
      </c>
      <c r="G62" s="12" t="s">
        <v>113</v>
      </c>
      <c r="H62" s="12" t="s">
        <v>114</v>
      </c>
      <c r="I62" s="12" t="s">
        <v>115</v>
      </c>
      <c r="J62" s="11" t="s">
        <v>1244</v>
      </c>
      <c r="K62" s="11" t="s">
        <v>1244</v>
      </c>
      <c r="L62" s="11" t="s">
        <v>1194</v>
      </c>
      <c r="M62" s="11" t="s">
        <v>165</v>
      </c>
      <c r="N62" s="57">
        <v>51535</v>
      </c>
      <c r="O62" s="59"/>
      <c r="P62" s="12"/>
      <c r="Q62" s="12" t="s">
        <v>4</v>
      </c>
      <c r="R62" s="12" t="s">
        <v>16</v>
      </c>
      <c r="S62" s="12" t="s">
        <v>26</v>
      </c>
      <c r="T62" s="12">
        <v>1</v>
      </c>
      <c r="U62" s="13">
        <v>43938</v>
      </c>
      <c r="V62" s="12" t="s">
        <v>170</v>
      </c>
      <c r="W62" s="12" t="s">
        <v>92</v>
      </c>
      <c r="X62" s="12" t="s">
        <v>93</v>
      </c>
      <c r="Y62" s="13"/>
      <c r="Z62" s="75"/>
    </row>
    <row r="63" spans="1:26" s="20" customFormat="1" x14ac:dyDescent="0.3">
      <c r="A63" s="12" t="s">
        <v>122</v>
      </c>
      <c r="B63" s="12">
        <v>3346</v>
      </c>
      <c r="C63" s="11" t="s">
        <v>112</v>
      </c>
      <c r="D63" s="12" t="s">
        <v>1</v>
      </c>
      <c r="E63" s="12" t="s">
        <v>1185</v>
      </c>
      <c r="F63" s="12" t="s">
        <v>113</v>
      </c>
      <c r="G63" s="12" t="s">
        <v>113</v>
      </c>
      <c r="H63" s="12" t="s">
        <v>114</v>
      </c>
      <c r="I63" s="12" t="s">
        <v>115</v>
      </c>
      <c r="J63" s="11" t="s">
        <v>1244</v>
      </c>
      <c r="K63" s="11" t="s">
        <v>1244</v>
      </c>
      <c r="L63" s="11" t="s">
        <v>1194</v>
      </c>
      <c r="M63" s="11" t="s">
        <v>165</v>
      </c>
      <c r="N63" s="57">
        <v>51535</v>
      </c>
      <c r="O63" s="59"/>
      <c r="P63" s="12"/>
      <c r="Q63" s="12" t="s">
        <v>4</v>
      </c>
      <c r="R63" s="12" t="s">
        <v>16</v>
      </c>
      <c r="S63" s="12" t="s">
        <v>26</v>
      </c>
      <c r="T63" s="12">
        <v>1</v>
      </c>
      <c r="U63" s="13">
        <v>43962</v>
      </c>
      <c r="V63" s="12" t="s">
        <v>171</v>
      </c>
      <c r="W63" s="12" t="s">
        <v>92</v>
      </c>
      <c r="X63" s="12" t="s">
        <v>93</v>
      </c>
      <c r="Y63" s="13"/>
      <c r="Z63" s="75"/>
    </row>
    <row r="64" spans="1:26" s="20" customFormat="1" x14ac:dyDescent="0.3">
      <c r="A64" s="12" t="s">
        <v>122</v>
      </c>
      <c r="B64" s="12">
        <v>3346</v>
      </c>
      <c r="C64" s="11" t="s">
        <v>112</v>
      </c>
      <c r="D64" s="12" t="s">
        <v>1</v>
      </c>
      <c r="E64" s="12" t="s">
        <v>1185</v>
      </c>
      <c r="F64" s="12" t="s">
        <v>113</v>
      </c>
      <c r="G64" s="12" t="s">
        <v>113</v>
      </c>
      <c r="H64" s="12" t="s">
        <v>114</v>
      </c>
      <c r="I64" s="12" t="s">
        <v>115</v>
      </c>
      <c r="J64" s="11" t="s">
        <v>1244</v>
      </c>
      <c r="K64" s="11" t="s">
        <v>1244</v>
      </c>
      <c r="L64" s="11" t="s">
        <v>1194</v>
      </c>
      <c r="M64" s="11" t="s">
        <v>165</v>
      </c>
      <c r="N64" s="57">
        <v>51535</v>
      </c>
      <c r="O64" s="59"/>
      <c r="P64" s="12"/>
      <c r="Q64" s="12" t="s">
        <v>4</v>
      </c>
      <c r="R64" s="12" t="s">
        <v>16</v>
      </c>
      <c r="S64" s="12" t="s">
        <v>26</v>
      </c>
      <c r="T64" s="12">
        <v>1</v>
      </c>
      <c r="U64" s="13">
        <v>43998</v>
      </c>
      <c r="V64" s="12" t="s">
        <v>172</v>
      </c>
      <c r="W64" s="12" t="s">
        <v>92</v>
      </c>
      <c r="X64" s="12" t="s">
        <v>93</v>
      </c>
      <c r="Y64" s="13"/>
      <c r="Z64" s="75"/>
    </row>
    <row r="65" spans="1:26" s="20" customFormat="1" x14ac:dyDescent="0.3">
      <c r="A65" s="12" t="s">
        <v>122</v>
      </c>
      <c r="B65" s="12">
        <v>3346</v>
      </c>
      <c r="C65" s="11" t="s">
        <v>112</v>
      </c>
      <c r="D65" s="12" t="s">
        <v>1</v>
      </c>
      <c r="E65" s="12" t="s">
        <v>1185</v>
      </c>
      <c r="F65" s="12" t="s">
        <v>113</v>
      </c>
      <c r="G65" s="12" t="s">
        <v>113</v>
      </c>
      <c r="H65" s="12" t="s">
        <v>114</v>
      </c>
      <c r="I65" s="12" t="s">
        <v>115</v>
      </c>
      <c r="J65" s="11" t="s">
        <v>1244</v>
      </c>
      <c r="K65" s="11" t="s">
        <v>1244</v>
      </c>
      <c r="L65" s="11" t="s">
        <v>1194</v>
      </c>
      <c r="M65" s="11" t="s">
        <v>165</v>
      </c>
      <c r="N65" s="57">
        <v>51535</v>
      </c>
      <c r="O65" s="59"/>
      <c r="P65" s="12"/>
      <c r="Q65" s="12" t="s">
        <v>4</v>
      </c>
      <c r="R65" s="12" t="s">
        <v>16</v>
      </c>
      <c r="S65" s="12" t="s">
        <v>26</v>
      </c>
      <c r="T65" s="12">
        <v>1</v>
      </c>
      <c r="U65" s="13">
        <v>44028</v>
      </c>
      <c r="V65" s="12" t="s">
        <v>173</v>
      </c>
      <c r="W65" s="12" t="s">
        <v>92</v>
      </c>
      <c r="X65" s="12" t="s">
        <v>93</v>
      </c>
      <c r="Y65" s="13"/>
      <c r="Z65" s="75"/>
    </row>
    <row r="66" spans="1:26" s="20" customFormat="1" hidden="1" x14ac:dyDescent="0.3">
      <c r="A66" s="12" t="s">
        <v>85</v>
      </c>
      <c r="B66" s="12">
        <v>3467</v>
      </c>
      <c r="C66" s="11" t="s">
        <v>174</v>
      </c>
      <c r="D66" s="12" t="s">
        <v>1</v>
      </c>
      <c r="E66" s="12" t="s">
        <v>1185</v>
      </c>
      <c r="F66" s="12" t="s">
        <v>87</v>
      </c>
      <c r="G66" s="12" t="s">
        <v>113</v>
      </c>
      <c r="H66" s="12" t="s">
        <v>175</v>
      </c>
      <c r="I66" s="12" t="s">
        <v>89</v>
      </c>
      <c r="J66" s="11" t="s">
        <v>176</v>
      </c>
      <c r="K66" s="11" t="s">
        <v>176</v>
      </c>
      <c r="L66" s="11" t="s">
        <v>1194</v>
      </c>
      <c r="M66" s="11" t="s">
        <v>177</v>
      </c>
      <c r="N66" s="60">
        <v>703</v>
      </c>
      <c r="O66" s="59">
        <v>366.94</v>
      </c>
      <c r="P66" s="12">
        <v>2005200</v>
      </c>
      <c r="Q66" s="12" t="s">
        <v>12</v>
      </c>
      <c r="R66" s="12" t="s">
        <v>99</v>
      </c>
      <c r="S66" s="12" t="s">
        <v>99</v>
      </c>
      <c r="T66" s="12">
        <v>1</v>
      </c>
      <c r="U66" s="13">
        <v>43999</v>
      </c>
      <c r="V66" s="12" t="s">
        <v>178</v>
      </c>
      <c r="W66" s="12" t="s">
        <v>92</v>
      </c>
      <c r="X66" s="12" t="s">
        <v>93</v>
      </c>
      <c r="Y66" s="13">
        <v>43999</v>
      </c>
      <c r="Z66" s="75"/>
    </row>
    <row r="67" spans="1:26" s="20" customFormat="1" hidden="1" x14ac:dyDescent="0.3">
      <c r="A67" s="12" t="s">
        <v>85</v>
      </c>
      <c r="B67" s="12">
        <v>3487</v>
      </c>
      <c r="C67" s="11" t="s">
        <v>95</v>
      </c>
      <c r="D67" s="12" t="s">
        <v>1</v>
      </c>
      <c r="E67" s="12" t="s">
        <v>1185</v>
      </c>
      <c r="F67" s="12" t="s">
        <v>87</v>
      </c>
      <c r="G67" s="12" t="s">
        <v>113</v>
      </c>
      <c r="H67" s="12" t="s">
        <v>96</v>
      </c>
      <c r="I67" s="12" t="s">
        <v>89</v>
      </c>
      <c r="J67" s="89" t="s">
        <v>1261</v>
      </c>
      <c r="K67" s="11" t="s">
        <v>1198</v>
      </c>
      <c r="L67" s="11" t="s">
        <v>1195</v>
      </c>
      <c r="M67" s="11" t="s">
        <v>179</v>
      </c>
      <c r="N67" s="58">
        <v>495</v>
      </c>
      <c r="O67" s="58">
        <v>773.68</v>
      </c>
      <c r="P67" s="12"/>
      <c r="Q67" s="12" t="s">
        <v>12</v>
      </c>
      <c r="R67" s="12" t="s">
        <v>99</v>
      </c>
      <c r="S67" s="12" t="s">
        <v>99</v>
      </c>
      <c r="T67" s="12">
        <v>1</v>
      </c>
      <c r="U67" s="13"/>
      <c r="V67" s="12" t="s">
        <v>164</v>
      </c>
      <c r="W67" s="12" t="s">
        <v>92</v>
      </c>
      <c r="X67" s="12" t="s">
        <v>93</v>
      </c>
      <c r="Y67" s="13">
        <v>43880</v>
      </c>
      <c r="Z67" s="75"/>
    </row>
    <row r="68" spans="1:26" s="20" customFormat="1" hidden="1" x14ac:dyDescent="0.3">
      <c r="A68" s="12" t="s">
        <v>122</v>
      </c>
      <c r="B68" s="12">
        <v>3658</v>
      </c>
      <c r="C68" s="11" t="s">
        <v>180</v>
      </c>
      <c r="D68" s="12" t="s">
        <v>1</v>
      </c>
      <c r="E68" s="12" t="s">
        <v>1185</v>
      </c>
      <c r="F68" s="12" t="s">
        <v>87</v>
      </c>
      <c r="G68" s="12" t="s">
        <v>113</v>
      </c>
      <c r="H68" s="12" t="s">
        <v>181</v>
      </c>
      <c r="I68" s="12" t="s">
        <v>89</v>
      </c>
      <c r="J68" s="11" t="s">
        <v>182</v>
      </c>
      <c r="K68" s="11" t="s">
        <v>182</v>
      </c>
      <c r="L68" s="11" t="s">
        <v>1194</v>
      </c>
      <c r="M68" s="11" t="s">
        <v>183</v>
      </c>
      <c r="N68" s="58">
        <v>1138</v>
      </c>
      <c r="O68" s="59"/>
      <c r="P68" s="12">
        <v>27250</v>
      </c>
      <c r="Q68" s="12" t="s">
        <v>4</v>
      </c>
      <c r="R68" s="12" t="s">
        <v>13</v>
      </c>
      <c r="S68" s="12" t="s">
        <v>25</v>
      </c>
      <c r="T68" s="12">
        <v>1</v>
      </c>
      <c r="U68" s="13">
        <v>43723</v>
      </c>
      <c r="V68" s="12" t="s">
        <v>184</v>
      </c>
      <c r="W68" s="12" t="s">
        <v>92</v>
      </c>
      <c r="X68" s="12" t="s">
        <v>93</v>
      </c>
      <c r="Y68" s="13"/>
      <c r="Z68" s="75"/>
    </row>
    <row r="69" spans="1:26" s="20" customFormat="1" hidden="1" x14ac:dyDescent="0.3">
      <c r="A69" s="12" t="s">
        <v>122</v>
      </c>
      <c r="B69" s="12">
        <v>3658</v>
      </c>
      <c r="C69" s="11" t="s">
        <v>180</v>
      </c>
      <c r="D69" s="12" t="s">
        <v>1</v>
      </c>
      <c r="E69" s="12" t="s">
        <v>1185</v>
      </c>
      <c r="F69" s="12" t="s">
        <v>87</v>
      </c>
      <c r="G69" s="12" t="s">
        <v>113</v>
      </c>
      <c r="H69" s="12" t="s">
        <v>181</v>
      </c>
      <c r="I69" s="12" t="s">
        <v>89</v>
      </c>
      <c r="J69" s="11" t="s">
        <v>182</v>
      </c>
      <c r="K69" s="11" t="s">
        <v>182</v>
      </c>
      <c r="L69" s="11" t="s">
        <v>1194</v>
      </c>
      <c r="M69" s="11" t="s">
        <v>183</v>
      </c>
      <c r="N69" s="58">
        <v>1138</v>
      </c>
      <c r="O69" s="59"/>
      <c r="P69" s="12">
        <v>27250</v>
      </c>
      <c r="Q69" s="12" t="s">
        <v>4</v>
      </c>
      <c r="R69" s="12" t="s">
        <v>15</v>
      </c>
      <c r="S69" s="12" t="s">
        <v>29</v>
      </c>
      <c r="T69" s="12">
        <v>1</v>
      </c>
      <c r="U69" s="13">
        <v>43753</v>
      </c>
      <c r="V69" s="12" t="s">
        <v>185</v>
      </c>
      <c r="W69" s="12" t="s">
        <v>92</v>
      </c>
      <c r="X69" s="12" t="s">
        <v>93</v>
      </c>
      <c r="Y69" s="13"/>
      <c r="Z69" s="75"/>
    </row>
    <row r="70" spans="1:26" s="20" customFormat="1" hidden="1" x14ac:dyDescent="0.3">
      <c r="A70" s="12" t="s">
        <v>122</v>
      </c>
      <c r="B70" s="12">
        <v>3658</v>
      </c>
      <c r="C70" s="11" t="s">
        <v>180</v>
      </c>
      <c r="D70" s="12" t="s">
        <v>1</v>
      </c>
      <c r="E70" s="12" t="s">
        <v>1185</v>
      </c>
      <c r="F70" s="12" t="s">
        <v>87</v>
      </c>
      <c r="G70" s="12" t="s">
        <v>113</v>
      </c>
      <c r="H70" s="12" t="s">
        <v>181</v>
      </c>
      <c r="I70" s="12" t="s">
        <v>89</v>
      </c>
      <c r="J70" s="11" t="s">
        <v>182</v>
      </c>
      <c r="K70" s="11" t="s">
        <v>182</v>
      </c>
      <c r="L70" s="11" t="s">
        <v>1194</v>
      </c>
      <c r="M70" s="11" t="s">
        <v>183</v>
      </c>
      <c r="N70" s="58">
        <v>1138</v>
      </c>
      <c r="O70" s="59"/>
      <c r="P70" s="12">
        <v>27250</v>
      </c>
      <c r="Q70" s="12" t="s">
        <v>4</v>
      </c>
      <c r="R70" s="12" t="s">
        <v>15</v>
      </c>
      <c r="S70" s="12" t="s">
        <v>29</v>
      </c>
      <c r="T70" s="12">
        <v>1</v>
      </c>
      <c r="U70" s="13">
        <v>43837</v>
      </c>
      <c r="V70" s="12" t="s">
        <v>186</v>
      </c>
      <c r="W70" s="12" t="s">
        <v>92</v>
      </c>
      <c r="X70" s="12" t="s">
        <v>93</v>
      </c>
      <c r="Y70" s="13"/>
      <c r="Z70" s="75"/>
    </row>
    <row r="71" spans="1:26" s="20" customFormat="1" hidden="1" x14ac:dyDescent="0.3">
      <c r="A71" s="12" t="s">
        <v>122</v>
      </c>
      <c r="B71" s="12">
        <v>3658</v>
      </c>
      <c r="C71" s="11" t="s">
        <v>180</v>
      </c>
      <c r="D71" s="12" t="s">
        <v>1</v>
      </c>
      <c r="E71" s="12" t="s">
        <v>1185</v>
      </c>
      <c r="F71" s="12" t="s">
        <v>87</v>
      </c>
      <c r="G71" s="12" t="s">
        <v>113</v>
      </c>
      <c r="H71" s="12" t="s">
        <v>181</v>
      </c>
      <c r="I71" s="12" t="s">
        <v>89</v>
      </c>
      <c r="J71" s="11" t="s">
        <v>182</v>
      </c>
      <c r="K71" s="11" t="s">
        <v>182</v>
      </c>
      <c r="L71" s="11" t="s">
        <v>1194</v>
      </c>
      <c r="M71" s="11" t="s">
        <v>183</v>
      </c>
      <c r="N71" s="58">
        <v>1138</v>
      </c>
      <c r="O71" s="59"/>
      <c r="P71" s="12">
        <v>27250</v>
      </c>
      <c r="Q71" s="12" t="s">
        <v>4</v>
      </c>
      <c r="R71" s="12" t="s">
        <v>15</v>
      </c>
      <c r="S71" s="12" t="s">
        <v>29</v>
      </c>
      <c r="T71" s="12">
        <v>1</v>
      </c>
      <c r="U71" s="13">
        <v>43847</v>
      </c>
      <c r="V71" s="12" t="s">
        <v>187</v>
      </c>
      <c r="W71" s="12" t="s">
        <v>92</v>
      </c>
      <c r="X71" s="12" t="s">
        <v>93</v>
      </c>
      <c r="Y71" s="13"/>
      <c r="Z71" s="75"/>
    </row>
    <row r="72" spans="1:26" s="20" customFormat="1" hidden="1" x14ac:dyDescent="0.3">
      <c r="A72" s="12" t="s">
        <v>122</v>
      </c>
      <c r="B72" s="12">
        <v>3658</v>
      </c>
      <c r="C72" s="11" t="s">
        <v>180</v>
      </c>
      <c r="D72" s="12" t="s">
        <v>1</v>
      </c>
      <c r="E72" s="12" t="s">
        <v>1185</v>
      </c>
      <c r="F72" s="12" t="s">
        <v>87</v>
      </c>
      <c r="G72" s="12" t="s">
        <v>113</v>
      </c>
      <c r="H72" s="12" t="s">
        <v>181</v>
      </c>
      <c r="I72" s="12" t="s">
        <v>89</v>
      </c>
      <c r="J72" s="11" t="s">
        <v>182</v>
      </c>
      <c r="K72" s="11" t="s">
        <v>182</v>
      </c>
      <c r="L72" s="11" t="s">
        <v>1194</v>
      </c>
      <c r="M72" s="11" t="s">
        <v>183</v>
      </c>
      <c r="N72" s="58">
        <v>1138</v>
      </c>
      <c r="O72" s="59"/>
      <c r="P72" s="12">
        <v>27250</v>
      </c>
      <c r="Q72" s="12" t="s">
        <v>4</v>
      </c>
      <c r="R72" s="12" t="s">
        <v>15</v>
      </c>
      <c r="S72" s="12" t="s">
        <v>29</v>
      </c>
      <c r="T72" s="12">
        <v>1</v>
      </c>
      <c r="U72" s="13">
        <v>43879</v>
      </c>
      <c r="V72" s="12" t="s">
        <v>188</v>
      </c>
      <c r="W72" s="12" t="s">
        <v>92</v>
      </c>
      <c r="X72" s="12" t="s">
        <v>93</v>
      </c>
      <c r="Y72" s="13"/>
      <c r="Z72" s="75"/>
    </row>
    <row r="73" spans="1:26" s="20" customFormat="1" hidden="1" x14ac:dyDescent="0.3">
      <c r="A73" s="12" t="s">
        <v>122</v>
      </c>
      <c r="B73" s="12">
        <v>3658</v>
      </c>
      <c r="C73" s="11" t="s">
        <v>180</v>
      </c>
      <c r="D73" s="12" t="s">
        <v>1</v>
      </c>
      <c r="E73" s="12" t="s">
        <v>1185</v>
      </c>
      <c r="F73" s="12" t="s">
        <v>87</v>
      </c>
      <c r="G73" s="12" t="s">
        <v>113</v>
      </c>
      <c r="H73" s="12" t="s">
        <v>181</v>
      </c>
      <c r="I73" s="12" t="s">
        <v>89</v>
      </c>
      <c r="J73" s="11" t="s">
        <v>182</v>
      </c>
      <c r="K73" s="11" t="s">
        <v>182</v>
      </c>
      <c r="L73" s="11" t="s">
        <v>1194</v>
      </c>
      <c r="M73" s="11" t="s">
        <v>183</v>
      </c>
      <c r="N73" s="58">
        <v>1138</v>
      </c>
      <c r="O73" s="59"/>
      <c r="P73" s="12">
        <v>27250</v>
      </c>
      <c r="Q73" s="12" t="s">
        <v>4</v>
      </c>
      <c r="R73" s="12" t="s">
        <v>15</v>
      </c>
      <c r="S73" s="12" t="s">
        <v>29</v>
      </c>
      <c r="T73" s="12">
        <v>1</v>
      </c>
      <c r="U73" s="13">
        <v>43906</v>
      </c>
      <c r="V73" s="12" t="s">
        <v>189</v>
      </c>
      <c r="W73" s="12" t="s">
        <v>92</v>
      </c>
      <c r="X73" s="12" t="s">
        <v>93</v>
      </c>
      <c r="Y73" s="13"/>
      <c r="Z73" s="75"/>
    </row>
    <row r="74" spans="1:26" s="20" customFormat="1" hidden="1" x14ac:dyDescent="0.3">
      <c r="A74" s="12" t="s">
        <v>122</v>
      </c>
      <c r="B74" s="12">
        <v>3658</v>
      </c>
      <c r="C74" s="11" t="s">
        <v>180</v>
      </c>
      <c r="D74" s="12" t="s">
        <v>1</v>
      </c>
      <c r="E74" s="12" t="s">
        <v>1185</v>
      </c>
      <c r="F74" s="12" t="s">
        <v>87</v>
      </c>
      <c r="G74" s="12" t="s">
        <v>113</v>
      </c>
      <c r="H74" s="12" t="s">
        <v>181</v>
      </c>
      <c r="I74" s="12" t="s">
        <v>89</v>
      </c>
      <c r="J74" s="11" t="s">
        <v>182</v>
      </c>
      <c r="K74" s="11" t="s">
        <v>182</v>
      </c>
      <c r="L74" s="11" t="s">
        <v>1194</v>
      </c>
      <c r="M74" s="11" t="s">
        <v>183</v>
      </c>
      <c r="N74" s="58">
        <v>1138</v>
      </c>
      <c r="O74" s="59"/>
      <c r="P74" s="12">
        <v>27250</v>
      </c>
      <c r="Q74" s="12" t="s">
        <v>4</v>
      </c>
      <c r="R74" s="12" t="s">
        <v>15</v>
      </c>
      <c r="S74" s="12" t="s">
        <v>29</v>
      </c>
      <c r="T74" s="12">
        <v>1</v>
      </c>
      <c r="U74" s="13">
        <v>43938</v>
      </c>
      <c r="V74" s="12" t="s">
        <v>190</v>
      </c>
      <c r="W74" s="12" t="s">
        <v>92</v>
      </c>
      <c r="X74" s="12" t="s">
        <v>93</v>
      </c>
      <c r="Y74" s="13"/>
      <c r="Z74" s="75"/>
    </row>
    <row r="75" spans="1:26" s="20" customFormat="1" hidden="1" x14ac:dyDescent="0.3">
      <c r="A75" s="12" t="s">
        <v>122</v>
      </c>
      <c r="B75" s="12">
        <v>3658</v>
      </c>
      <c r="C75" s="11" t="s">
        <v>180</v>
      </c>
      <c r="D75" s="12" t="s">
        <v>1</v>
      </c>
      <c r="E75" s="12" t="s">
        <v>1185</v>
      </c>
      <c r="F75" s="12" t="s">
        <v>87</v>
      </c>
      <c r="G75" s="12" t="s">
        <v>113</v>
      </c>
      <c r="H75" s="12" t="s">
        <v>181</v>
      </c>
      <c r="I75" s="12" t="s">
        <v>89</v>
      </c>
      <c r="J75" s="11" t="s">
        <v>182</v>
      </c>
      <c r="K75" s="11" t="s">
        <v>182</v>
      </c>
      <c r="L75" s="11" t="s">
        <v>1194</v>
      </c>
      <c r="M75" s="11" t="s">
        <v>183</v>
      </c>
      <c r="N75" s="58">
        <v>1138</v>
      </c>
      <c r="O75" s="59"/>
      <c r="P75" s="12">
        <v>27250</v>
      </c>
      <c r="Q75" s="12" t="s">
        <v>4</v>
      </c>
      <c r="R75" s="12" t="s">
        <v>15</v>
      </c>
      <c r="S75" s="12" t="s">
        <v>29</v>
      </c>
      <c r="T75" s="12">
        <v>1</v>
      </c>
      <c r="U75" s="13">
        <v>43962</v>
      </c>
      <c r="V75" s="12" t="s">
        <v>191</v>
      </c>
      <c r="W75" s="12" t="s">
        <v>92</v>
      </c>
      <c r="X75" s="12" t="s">
        <v>93</v>
      </c>
      <c r="Y75" s="13"/>
      <c r="Z75" s="75"/>
    </row>
    <row r="76" spans="1:26" s="20" customFormat="1" hidden="1" x14ac:dyDescent="0.3">
      <c r="A76" s="12" t="s">
        <v>122</v>
      </c>
      <c r="B76" s="12">
        <v>3658</v>
      </c>
      <c r="C76" s="11" t="s">
        <v>180</v>
      </c>
      <c r="D76" s="12" t="s">
        <v>1</v>
      </c>
      <c r="E76" s="12" t="s">
        <v>1185</v>
      </c>
      <c r="F76" s="12" t="s">
        <v>87</v>
      </c>
      <c r="G76" s="12" t="s">
        <v>113</v>
      </c>
      <c r="H76" s="12" t="s">
        <v>181</v>
      </c>
      <c r="I76" s="12" t="s">
        <v>89</v>
      </c>
      <c r="J76" s="11" t="s">
        <v>182</v>
      </c>
      <c r="K76" s="11" t="s">
        <v>182</v>
      </c>
      <c r="L76" s="11" t="s">
        <v>1194</v>
      </c>
      <c r="M76" s="11" t="s">
        <v>183</v>
      </c>
      <c r="N76" s="58">
        <v>1138</v>
      </c>
      <c r="O76" s="59"/>
      <c r="P76" s="12">
        <v>27250</v>
      </c>
      <c r="Q76" s="12" t="s">
        <v>4</v>
      </c>
      <c r="R76" s="12" t="s">
        <v>15</v>
      </c>
      <c r="S76" s="12" t="s">
        <v>29</v>
      </c>
      <c r="T76" s="12">
        <v>1</v>
      </c>
      <c r="U76" s="13">
        <v>43998</v>
      </c>
      <c r="V76" s="12" t="s">
        <v>192</v>
      </c>
      <c r="W76" s="12" t="s">
        <v>92</v>
      </c>
      <c r="X76" s="12" t="s">
        <v>93</v>
      </c>
      <c r="Y76" s="13"/>
      <c r="Z76" s="75"/>
    </row>
    <row r="77" spans="1:26" s="20" customFormat="1" hidden="1" x14ac:dyDescent="0.3">
      <c r="A77" s="12" t="s">
        <v>122</v>
      </c>
      <c r="B77" s="12">
        <v>3658</v>
      </c>
      <c r="C77" s="11" t="s">
        <v>180</v>
      </c>
      <c r="D77" s="12" t="s">
        <v>1</v>
      </c>
      <c r="E77" s="12" t="s">
        <v>1185</v>
      </c>
      <c r="F77" s="12" t="s">
        <v>87</v>
      </c>
      <c r="G77" s="12" t="s">
        <v>113</v>
      </c>
      <c r="H77" s="12" t="s">
        <v>181</v>
      </c>
      <c r="I77" s="12" t="s">
        <v>89</v>
      </c>
      <c r="J77" s="11" t="s">
        <v>182</v>
      </c>
      <c r="K77" s="11" t="s">
        <v>182</v>
      </c>
      <c r="L77" s="11" t="s">
        <v>1194</v>
      </c>
      <c r="M77" s="11" t="s">
        <v>183</v>
      </c>
      <c r="N77" s="58">
        <v>1138</v>
      </c>
      <c r="O77" s="59"/>
      <c r="P77" s="12">
        <v>27250</v>
      </c>
      <c r="Q77" s="12" t="s">
        <v>4</v>
      </c>
      <c r="R77" s="12" t="s">
        <v>15</v>
      </c>
      <c r="S77" s="12" t="s">
        <v>29</v>
      </c>
      <c r="T77" s="12">
        <v>1</v>
      </c>
      <c r="U77" s="13">
        <v>44028</v>
      </c>
      <c r="V77" s="12" t="s">
        <v>193</v>
      </c>
      <c r="W77" s="12" t="s">
        <v>92</v>
      </c>
      <c r="X77" s="12" t="s">
        <v>93</v>
      </c>
      <c r="Y77" s="13"/>
      <c r="Z77" s="75"/>
    </row>
    <row r="78" spans="1:26" s="20" customFormat="1" hidden="1" x14ac:dyDescent="0.3">
      <c r="A78" s="12" t="s">
        <v>85</v>
      </c>
      <c r="B78" s="12">
        <v>3682</v>
      </c>
      <c r="C78" s="11" t="s">
        <v>194</v>
      </c>
      <c r="D78" s="12" t="s">
        <v>1</v>
      </c>
      <c r="E78" s="12" t="s">
        <v>1185</v>
      </c>
      <c r="F78" s="12" t="s">
        <v>87</v>
      </c>
      <c r="G78" s="12" t="s">
        <v>87</v>
      </c>
      <c r="H78" s="12" t="s">
        <v>195</v>
      </c>
      <c r="I78" s="12" t="s">
        <v>115</v>
      </c>
      <c r="J78" s="11" t="s">
        <v>196</v>
      </c>
      <c r="K78" s="11" t="s">
        <v>196</v>
      </c>
      <c r="L78" s="11" t="s">
        <v>1195</v>
      </c>
      <c r="M78" s="11" t="s">
        <v>197</v>
      </c>
      <c r="N78" s="60">
        <v>493.5</v>
      </c>
      <c r="O78" s="59"/>
      <c r="P78" s="56">
        <v>1320128703430000</v>
      </c>
      <c r="Q78" s="12" t="s">
        <v>12</v>
      </c>
      <c r="R78" s="12" t="s">
        <v>99</v>
      </c>
      <c r="S78" s="12" t="s">
        <v>99</v>
      </c>
      <c r="T78" s="12">
        <v>0</v>
      </c>
      <c r="U78" s="13"/>
      <c r="V78" s="12" t="s">
        <v>92</v>
      </c>
      <c r="W78" s="12" t="s">
        <v>92</v>
      </c>
      <c r="X78" s="12" t="s">
        <v>135</v>
      </c>
      <c r="Y78" s="13"/>
      <c r="Z78" s="75"/>
    </row>
    <row r="79" spans="1:26" s="20" customFormat="1" hidden="1" x14ac:dyDescent="0.3">
      <c r="A79" s="12" t="s">
        <v>85</v>
      </c>
      <c r="B79" s="12">
        <v>8525</v>
      </c>
      <c r="C79" s="11" t="s">
        <v>198</v>
      </c>
      <c r="D79" s="12" t="s">
        <v>1</v>
      </c>
      <c r="E79" s="12" t="s">
        <v>1185</v>
      </c>
      <c r="F79" s="12" t="s">
        <v>87</v>
      </c>
      <c r="G79" s="12" t="s">
        <v>113</v>
      </c>
      <c r="H79" s="12" t="s">
        <v>199</v>
      </c>
      <c r="I79" s="12" t="s">
        <v>200</v>
      </c>
      <c r="J79" s="11" t="s">
        <v>201</v>
      </c>
      <c r="K79" s="11" t="s">
        <v>201</v>
      </c>
      <c r="L79" s="11" t="s">
        <v>1195</v>
      </c>
      <c r="M79" s="11" t="s">
        <v>202</v>
      </c>
      <c r="N79" s="57">
        <v>3034.94</v>
      </c>
      <c r="O79" s="57"/>
      <c r="P79" s="12" t="s">
        <v>203</v>
      </c>
      <c r="Q79" s="12" t="s">
        <v>4</v>
      </c>
      <c r="R79" s="12" t="s">
        <v>21</v>
      </c>
      <c r="S79" s="12" t="s">
        <v>204</v>
      </c>
      <c r="T79" s="12">
        <v>0</v>
      </c>
      <c r="U79" s="13"/>
      <c r="V79" s="12"/>
      <c r="W79" s="12" t="s">
        <v>92</v>
      </c>
      <c r="X79" s="12" t="s">
        <v>93</v>
      </c>
      <c r="Y79" s="13"/>
      <c r="Z79" s="75"/>
    </row>
    <row r="80" spans="1:26" s="20" customFormat="1" hidden="1" x14ac:dyDescent="0.3">
      <c r="A80" s="12" t="s">
        <v>85</v>
      </c>
      <c r="B80" s="12">
        <v>3962</v>
      </c>
      <c r="C80" s="11" t="s">
        <v>130</v>
      </c>
      <c r="D80" s="12" t="s">
        <v>1</v>
      </c>
      <c r="E80" s="12" t="s">
        <v>1185</v>
      </c>
      <c r="F80" s="12" t="s">
        <v>87</v>
      </c>
      <c r="G80" s="12" t="s">
        <v>113</v>
      </c>
      <c r="H80" s="12" t="s">
        <v>96</v>
      </c>
      <c r="I80" s="12" t="s">
        <v>89</v>
      </c>
      <c r="J80" s="11" t="s">
        <v>205</v>
      </c>
      <c r="K80" s="11" t="s">
        <v>205</v>
      </c>
      <c r="L80" s="11" t="s">
        <v>1212</v>
      </c>
      <c r="M80" s="11" t="s">
        <v>206</v>
      </c>
      <c r="N80" s="58">
        <v>688</v>
      </c>
      <c r="O80" s="58"/>
      <c r="P80" s="12" t="s">
        <v>207</v>
      </c>
      <c r="Q80" s="12" t="s">
        <v>4</v>
      </c>
      <c r="R80" s="12" t="s">
        <v>13</v>
      </c>
      <c r="S80" s="12" t="s">
        <v>25</v>
      </c>
      <c r="T80" s="12">
        <v>1</v>
      </c>
      <c r="U80" s="13">
        <v>44028</v>
      </c>
      <c r="V80" s="12" t="s">
        <v>94</v>
      </c>
      <c r="W80" s="12" t="s">
        <v>92</v>
      </c>
      <c r="X80" s="12" t="s">
        <v>93</v>
      </c>
      <c r="Y80" s="13"/>
      <c r="Z80" s="75"/>
    </row>
    <row r="81" spans="1:26" s="20" customFormat="1" hidden="1" x14ac:dyDescent="0.3">
      <c r="A81" s="12" t="s">
        <v>85</v>
      </c>
      <c r="B81" s="12">
        <v>4373</v>
      </c>
      <c r="C81" s="11" t="s">
        <v>208</v>
      </c>
      <c r="D81" s="12" t="s">
        <v>417</v>
      </c>
      <c r="E81" s="12" t="s">
        <v>1180</v>
      </c>
      <c r="F81" s="12" t="s">
        <v>132</v>
      </c>
      <c r="G81" s="12" t="s">
        <v>132</v>
      </c>
      <c r="H81" s="12" t="s">
        <v>209</v>
      </c>
      <c r="I81" s="12" t="s">
        <v>89</v>
      </c>
      <c r="J81" s="11" t="s">
        <v>210</v>
      </c>
      <c r="K81" s="11" t="s">
        <v>210</v>
      </c>
      <c r="L81" s="11" t="s">
        <v>1214</v>
      </c>
      <c r="M81" s="11" t="s">
        <v>211</v>
      </c>
      <c r="N81" s="57">
        <v>156980.70000000001</v>
      </c>
      <c r="O81" s="61"/>
      <c r="P81" s="12">
        <v>0</v>
      </c>
      <c r="Q81" s="12" t="s">
        <v>4</v>
      </c>
      <c r="R81" s="12" t="s">
        <v>15</v>
      </c>
      <c r="S81" s="12" t="s">
        <v>22</v>
      </c>
      <c r="T81" s="12">
        <v>1</v>
      </c>
      <c r="U81" s="13">
        <v>43709</v>
      </c>
      <c r="V81" s="12" t="s">
        <v>212</v>
      </c>
      <c r="W81" s="12" t="s">
        <v>92</v>
      </c>
      <c r="X81" s="12" t="s">
        <v>93</v>
      </c>
      <c r="Y81" s="13"/>
      <c r="Z81" s="75"/>
    </row>
    <row r="82" spans="1:26" s="20" customFormat="1" hidden="1" x14ac:dyDescent="0.3">
      <c r="A82" s="12" t="s">
        <v>85</v>
      </c>
      <c r="B82" s="12">
        <v>4373</v>
      </c>
      <c r="C82" s="11" t="s">
        <v>208</v>
      </c>
      <c r="D82" s="12" t="s">
        <v>417</v>
      </c>
      <c r="E82" s="12" t="s">
        <v>1180</v>
      </c>
      <c r="F82" s="12" t="s">
        <v>132</v>
      </c>
      <c r="G82" s="12" t="s">
        <v>132</v>
      </c>
      <c r="H82" s="12" t="s">
        <v>209</v>
      </c>
      <c r="I82" s="12" t="s">
        <v>89</v>
      </c>
      <c r="J82" s="11" t="s">
        <v>210</v>
      </c>
      <c r="K82" s="11" t="s">
        <v>210</v>
      </c>
      <c r="L82" s="11" t="s">
        <v>1214</v>
      </c>
      <c r="M82" s="11" t="s">
        <v>211</v>
      </c>
      <c r="N82" s="57">
        <v>156980.70000000001</v>
      </c>
      <c r="O82" s="59"/>
      <c r="P82" s="12">
        <v>0</v>
      </c>
      <c r="Q82" s="12" t="s">
        <v>4</v>
      </c>
      <c r="R82" s="12" t="s">
        <v>1190</v>
      </c>
      <c r="S82" s="12" t="s">
        <v>32</v>
      </c>
      <c r="T82" s="12">
        <v>1</v>
      </c>
      <c r="U82" s="13">
        <v>43746</v>
      </c>
      <c r="V82" s="12" t="s">
        <v>213</v>
      </c>
      <c r="W82" s="12" t="s">
        <v>92</v>
      </c>
      <c r="X82" s="12" t="s">
        <v>93</v>
      </c>
      <c r="Y82" s="13"/>
      <c r="Z82" s="75"/>
    </row>
    <row r="83" spans="1:26" s="20" customFormat="1" hidden="1" x14ac:dyDescent="0.3">
      <c r="A83" s="12" t="s">
        <v>85</v>
      </c>
      <c r="B83" s="12">
        <v>4373</v>
      </c>
      <c r="C83" s="11" t="s">
        <v>208</v>
      </c>
      <c r="D83" s="12" t="s">
        <v>417</v>
      </c>
      <c r="E83" s="12" t="s">
        <v>1180</v>
      </c>
      <c r="F83" s="12" t="s">
        <v>132</v>
      </c>
      <c r="G83" s="12" t="s">
        <v>132</v>
      </c>
      <c r="H83" s="12" t="s">
        <v>209</v>
      </c>
      <c r="I83" s="12" t="s">
        <v>89</v>
      </c>
      <c r="J83" s="11" t="s">
        <v>210</v>
      </c>
      <c r="K83" s="11" t="s">
        <v>210</v>
      </c>
      <c r="L83" s="11" t="s">
        <v>1214</v>
      </c>
      <c r="M83" s="11" t="s">
        <v>211</v>
      </c>
      <c r="N83" s="57">
        <v>156980.70000000001</v>
      </c>
      <c r="O83" s="59"/>
      <c r="P83" s="12">
        <v>0</v>
      </c>
      <c r="Q83" s="12" t="s">
        <v>4</v>
      </c>
      <c r="R83" s="12" t="s">
        <v>1190</v>
      </c>
      <c r="S83" s="12" t="s">
        <v>32</v>
      </c>
      <c r="T83" s="12">
        <v>1</v>
      </c>
      <c r="U83" s="13">
        <v>43787</v>
      </c>
      <c r="V83" s="12" t="s">
        <v>214</v>
      </c>
      <c r="W83" s="12" t="s">
        <v>92</v>
      </c>
      <c r="X83" s="12" t="s">
        <v>93</v>
      </c>
      <c r="Y83" s="13"/>
      <c r="Z83" s="75"/>
    </row>
    <row r="84" spans="1:26" s="20" customFormat="1" hidden="1" x14ac:dyDescent="0.3">
      <c r="A84" s="12" t="s">
        <v>85</v>
      </c>
      <c r="B84" s="12">
        <v>4373</v>
      </c>
      <c r="C84" s="11" t="s">
        <v>208</v>
      </c>
      <c r="D84" s="12" t="s">
        <v>417</v>
      </c>
      <c r="E84" s="12" t="s">
        <v>1180</v>
      </c>
      <c r="F84" s="12" t="s">
        <v>132</v>
      </c>
      <c r="G84" s="12" t="s">
        <v>132</v>
      </c>
      <c r="H84" s="12" t="s">
        <v>209</v>
      </c>
      <c r="I84" s="12" t="s">
        <v>89</v>
      </c>
      <c r="J84" s="11" t="s">
        <v>210</v>
      </c>
      <c r="K84" s="11" t="s">
        <v>210</v>
      </c>
      <c r="L84" s="11" t="s">
        <v>1214</v>
      </c>
      <c r="M84" s="11" t="s">
        <v>211</v>
      </c>
      <c r="N84" s="57">
        <v>156980.70000000001</v>
      </c>
      <c r="O84" s="59"/>
      <c r="P84" s="12">
        <v>0</v>
      </c>
      <c r="Q84" s="12" t="s">
        <v>4</v>
      </c>
      <c r="R84" s="12" t="s">
        <v>1190</v>
      </c>
      <c r="S84" s="12" t="s">
        <v>32</v>
      </c>
      <c r="T84" s="12">
        <v>1</v>
      </c>
      <c r="U84" s="13">
        <v>43814</v>
      </c>
      <c r="V84" s="12" t="s">
        <v>215</v>
      </c>
      <c r="W84" s="12" t="s">
        <v>92</v>
      </c>
      <c r="X84" s="12" t="s">
        <v>93</v>
      </c>
      <c r="Y84" s="13"/>
      <c r="Z84" s="75"/>
    </row>
    <row r="85" spans="1:26" s="20" customFormat="1" hidden="1" x14ac:dyDescent="0.3">
      <c r="A85" s="12" t="s">
        <v>85</v>
      </c>
      <c r="B85" s="12">
        <v>4373</v>
      </c>
      <c r="C85" s="11" t="s">
        <v>208</v>
      </c>
      <c r="D85" s="12" t="s">
        <v>417</v>
      </c>
      <c r="E85" s="12" t="s">
        <v>1180</v>
      </c>
      <c r="F85" s="12" t="s">
        <v>132</v>
      </c>
      <c r="G85" s="12" t="s">
        <v>132</v>
      </c>
      <c r="H85" s="12" t="s">
        <v>209</v>
      </c>
      <c r="I85" s="12" t="s">
        <v>89</v>
      </c>
      <c r="J85" s="11" t="s">
        <v>210</v>
      </c>
      <c r="K85" s="11" t="s">
        <v>210</v>
      </c>
      <c r="L85" s="11" t="s">
        <v>1214</v>
      </c>
      <c r="M85" s="11" t="s">
        <v>211</v>
      </c>
      <c r="N85" s="57">
        <v>156980.70000000001</v>
      </c>
      <c r="O85" s="59"/>
      <c r="P85" s="12">
        <v>0</v>
      </c>
      <c r="Q85" s="12" t="s">
        <v>4</v>
      </c>
      <c r="R85" s="12" t="s">
        <v>1190</v>
      </c>
      <c r="S85" s="12" t="s">
        <v>32</v>
      </c>
      <c r="T85" s="12">
        <v>1</v>
      </c>
      <c r="U85" s="13">
        <v>43879</v>
      </c>
      <c r="V85" s="12" t="s">
        <v>216</v>
      </c>
      <c r="W85" s="12" t="s">
        <v>92</v>
      </c>
      <c r="X85" s="12" t="s">
        <v>93</v>
      </c>
      <c r="Y85" s="13"/>
      <c r="Z85" s="75"/>
    </row>
    <row r="86" spans="1:26" s="20" customFormat="1" hidden="1" x14ac:dyDescent="0.3">
      <c r="A86" s="12" t="s">
        <v>85</v>
      </c>
      <c r="B86" s="12">
        <v>4373</v>
      </c>
      <c r="C86" s="11" t="s">
        <v>208</v>
      </c>
      <c r="D86" s="12" t="s">
        <v>417</v>
      </c>
      <c r="E86" s="12" t="s">
        <v>1180</v>
      </c>
      <c r="F86" s="12" t="s">
        <v>132</v>
      </c>
      <c r="G86" s="12" t="s">
        <v>132</v>
      </c>
      <c r="H86" s="12" t="s">
        <v>209</v>
      </c>
      <c r="I86" s="12" t="s">
        <v>89</v>
      </c>
      <c r="J86" s="11" t="s">
        <v>210</v>
      </c>
      <c r="K86" s="11" t="s">
        <v>210</v>
      </c>
      <c r="L86" s="11" t="s">
        <v>1214</v>
      </c>
      <c r="M86" s="11" t="s">
        <v>211</v>
      </c>
      <c r="N86" s="57">
        <v>156980.70000000001</v>
      </c>
      <c r="O86" s="59"/>
      <c r="P86" s="12">
        <v>0</v>
      </c>
      <c r="Q86" s="12" t="s">
        <v>4</v>
      </c>
      <c r="R86" s="12" t="s">
        <v>1190</v>
      </c>
      <c r="S86" s="12" t="s">
        <v>32</v>
      </c>
      <c r="T86" s="12">
        <v>1</v>
      </c>
      <c r="U86" s="13">
        <v>43906</v>
      </c>
      <c r="V86" s="12" t="s">
        <v>217</v>
      </c>
      <c r="W86" s="12" t="s">
        <v>92</v>
      </c>
      <c r="X86" s="12" t="s">
        <v>93</v>
      </c>
      <c r="Y86" s="13"/>
      <c r="Z86" s="75"/>
    </row>
    <row r="87" spans="1:26" s="20" customFormat="1" hidden="1" x14ac:dyDescent="0.3">
      <c r="A87" s="12" t="s">
        <v>85</v>
      </c>
      <c r="B87" s="12">
        <v>4373</v>
      </c>
      <c r="C87" s="11" t="s">
        <v>208</v>
      </c>
      <c r="D87" s="12" t="s">
        <v>417</v>
      </c>
      <c r="E87" s="12" t="s">
        <v>1180</v>
      </c>
      <c r="F87" s="12" t="s">
        <v>132</v>
      </c>
      <c r="G87" s="12" t="s">
        <v>132</v>
      </c>
      <c r="H87" s="12" t="s">
        <v>209</v>
      </c>
      <c r="I87" s="12" t="s">
        <v>89</v>
      </c>
      <c r="J87" s="11" t="s">
        <v>210</v>
      </c>
      <c r="K87" s="11" t="s">
        <v>210</v>
      </c>
      <c r="L87" s="11" t="s">
        <v>1214</v>
      </c>
      <c r="M87" s="11" t="s">
        <v>211</v>
      </c>
      <c r="N87" s="57">
        <v>156980.70000000001</v>
      </c>
      <c r="O87" s="59"/>
      <c r="P87" s="12">
        <v>0</v>
      </c>
      <c r="Q87" s="12" t="s">
        <v>4</v>
      </c>
      <c r="R87" s="12" t="s">
        <v>1190</v>
      </c>
      <c r="S87" s="12" t="s">
        <v>32</v>
      </c>
      <c r="T87" s="12">
        <v>1</v>
      </c>
      <c r="U87" s="13">
        <v>43962</v>
      </c>
      <c r="V87" s="12" t="s">
        <v>218</v>
      </c>
      <c r="W87" s="12" t="s">
        <v>92</v>
      </c>
      <c r="X87" s="12" t="s">
        <v>93</v>
      </c>
      <c r="Y87" s="13"/>
      <c r="Z87" s="75"/>
    </row>
    <row r="88" spans="1:26" s="20" customFormat="1" hidden="1" x14ac:dyDescent="0.3">
      <c r="A88" s="12" t="s">
        <v>85</v>
      </c>
      <c r="B88" s="12">
        <v>4373</v>
      </c>
      <c r="C88" s="11" t="s">
        <v>208</v>
      </c>
      <c r="D88" s="12" t="s">
        <v>417</v>
      </c>
      <c r="E88" s="12" t="s">
        <v>1180</v>
      </c>
      <c r="F88" s="12" t="s">
        <v>132</v>
      </c>
      <c r="G88" s="12" t="s">
        <v>132</v>
      </c>
      <c r="H88" s="12" t="s">
        <v>209</v>
      </c>
      <c r="I88" s="12" t="s">
        <v>89</v>
      </c>
      <c r="J88" s="11" t="s">
        <v>210</v>
      </c>
      <c r="K88" s="11" t="s">
        <v>210</v>
      </c>
      <c r="L88" s="11" t="s">
        <v>1214</v>
      </c>
      <c r="M88" s="11" t="s">
        <v>211</v>
      </c>
      <c r="N88" s="57">
        <v>156980.70000000001</v>
      </c>
      <c r="O88" s="59"/>
      <c r="P88" s="12">
        <v>0</v>
      </c>
      <c r="Q88" s="12" t="s">
        <v>4</v>
      </c>
      <c r="R88" s="12" t="s">
        <v>15</v>
      </c>
      <c r="S88" s="12" t="s">
        <v>22</v>
      </c>
      <c r="T88" s="12">
        <v>1</v>
      </c>
      <c r="U88" s="13">
        <v>43997</v>
      </c>
      <c r="V88" s="12" t="s">
        <v>110</v>
      </c>
      <c r="W88" s="12" t="s">
        <v>92</v>
      </c>
      <c r="X88" s="12" t="s">
        <v>93</v>
      </c>
      <c r="Y88" s="13"/>
      <c r="Z88" s="75"/>
    </row>
    <row r="89" spans="1:26" s="20" customFormat="1" hidden="1" x14ac:dyDescent="0.3">
      <c r="A89" s="12" t="s">
        <v>85</v>
      </c>
      <c r="B89" s="12">
        <v>4373</v>
      </c>
      <c r="C89" s="11" t="s">
        <v>208</v>
      </c>
      <c r="D89" s="12" t="s">
        <v>417</v>
      </c>
      <c r="E89" s="12" t="s">
        <v>1180</v>
      </c>
      <c r="F89" s="12" t="s">
        <v>132</v>
      </c>
      <c r="G89" s="12" t="s">
        <v>132</v>
      </c>
      <c r="H89" s="12" t="s">
        <v>209</v>
      </c>
      <c r="I89" s="12" t="s">
        <v>89</v>
      </c>
      <c r="J89" s="11" t="s">
        <v>210</v>
      </c>
      <c r="K89" s="11" t="s">
        <v>210</v>
      </c>
      <c r="L89" s="11" t="s">
        <v>1214</v>
      </c>
      <c r="M89" s="11" t="s">
        <v>211</v>
      </c>
      <c r="N89" s="57">
        <v>156980.70000000001</v>
      </c>
      <c r="O89" s="59"/>
      <c r="P89" s="12">
        <v>0</v>
      </c>
      <c r="Q89" s="12" t="s">
        <v>4</v>
      </c>
      <c r="R89" s="12" t="s">
        <v>15</v>
      </c>
      <c r="S89" s="12" t="s">
        <v>32</v>
      </c>
      <c r="T89" s="12">
        <v>1</v>
      </c>
      <c r="U89" s="13">
        <v>43998</v>
      </c>
      <c r="V89" s="12" t="s">
        <v>219</v>
      </c>
      <c r="W89" s="12" t="s">
        <v>92</v>
      </c>
      <c r="X89" s="12" t="s">
        <v>93</v>
      </c>
      <c r="Y89" s="13"/>
      <c r="Z89" s="75"/>
    </row>
    <row r="90" spans="1:26" s="20" customFormat="1" hidden="1" x14ac:dyDescent="0.3">
      <c r="A90" s="12" t="s">
        <v>85</v>
      </c>
      <c r="B90" s="12">
        <v>4373</v>
      </c>
      <c r="C90" s="11" t="s">
        <v>208</v>
      </c>
      <c r="D90" s="12" t="s">
        <v>417</v>
      </c>
      <c r="E90" s="12" t="s">
        <v>1180</v>
      </c>
      <c r="F90" s="12" t="s">
        <v>132</v>
      </c>
      <c r="G90" s="12" t="s">
        <v>132</v>
      </c>
      <c r="H90" s="12" t="s">
        <v>209</v>
      </c>
      <c r="I90" s="12" t="s">
        <v>89</v>
      </c>
      <c r="J90" s="11" t="s">
        <v>210</v>
      </c>
      <c r="K90" s="11" t="s">
        <v>210</v>
      </c>
      <c r="L90" s="11" t="s">
        <v>1214</v>
      </c>
      <c r="M90" s="11" t="s">
        <v>211</v>
      </c>
      <c r="N90" s="57">
        <v>156980.70000000001</v>
      </c>
      <c r="O90" s="59"/>
      <c r="P90" s="12">
        <v>0</v>
      </c>
      <c r="Q90" s="12" t="s">
        <v>4</v>
      </c>
      <c r="R90" s="12" t="s">
        <v>15</v>
      </c>
      <c r="S90" s="12" t="s">
        <v>22</v>
      </c>
      <c r="T90" s="12">
        <v>1</v>
      </c>
      <c r="U90" s="13">
        <v>44027</v>
      </c>
      <c r="V90" s="12" t="s">
        <v>111</v>
      </c>
      <c r="W90" s="12" t="s">
        <v>92</v>
      </c>
      <c r="X90" s="12" t="s">
        <v>93</v>
      </c>
      <c r="Y90" s="13"/>
      <c r="Z90" s="75"/>
    </row>
    <row r="91" spans="1:26" s="20" customFormat="1" hidden="1" x14ac:dyDescent="0.3">
      <c r="A91" s="12" t="s">
        <v>85</v>
      </c>
      <c r="B91" s="12">
        <v>4373</v>
      </c>
      <c r="C91" s="11" t="s">
        <v>208</v>
      </c>
      <c r="D91" s="12" t="s">
        <v>417</v>
      </c>
      <c r="E91" s="12" t="s">
        <v>1180</v>
      </c>
      <c r="F91" s="12" t="s">
        <v>132</v>
      </c>
      <c r="G91" s="12" t="s">
        <v>132</v>
      </c>
      <c r="H91" s="12" t="s">
        <v>209</v>
      </c>
      <c r="I91" s="12" t="s">
        <v>89</v>
      </c>
      <c r="J91" s="11" t="s">
        <v>210</v>
      </c>
      <c r="K91" s="11" t="s">
        <v>210</v>
      </c>
      <c r="L91" s="11" t="s">
        <v>1214</v>
      </c>
      <c r="M91" s="11" t="s">
        <v>211</v>
      </c>
      <c r="N91" s="57">
        <v>156980.70000000001</v>
      </c>
      <c r="O91" s="59"/>
      <c r="P91" s="12">
        <v>0</v>
      </c>
      <c r="Q91" s="12" t="s">
        <v>4</v>
      </c>
      <c r="R91" s="12" t="s">
        <v>15</v>
      </c>
      <c r="S91" s="12" t="s">
        <v>32</v>
      </c>
      <c r="T91" s="12">
        <v>1</v>
      </c>
      <c r="U91" s="13">
        <v>44027</v>
      </c>
      <c r="V91" s="12" t="s">
        <v>220</v>
      </c>
      <c r="W91" s="12" t="s">
        <v>92</v>
      </c>
      <c r="X91" s="12" t="s">
        <v>93</v>
      </c>
      <c r="Y91" s="13"/>
      <c r="Z91" s="75"/>
    </row>
    <row r="92" spans="1:26" s="20" customFormat="1" hidden="1" x14ac:dyDescent="0.3">
      <c r="A92" s="12" t="s">
        <v>85</v>
      </c>
      <c r="B92" s="12">
        <v>4603</v>
      </c>
      <c r="C92" s="11" t="s">
        <v>221</v>
      </c>
      <c r="D92" s="12" t="s">
        <v>1</v>
      </c>
      <c r="E92" s="12" t="s">
        <v>1185</v>
      </c>
      <c r="F92" s="12" t="s">
        <v>87</v>
      </c>
      <c r="G92" s="12" t="s">
        <v>113</v>
      </c>
      <c r="H92" s="12" t="s">
        <v>222</v>
      </c>
      <c r="I92" s="12" t="s">
        <v>223</v>
      </c>
      <c r="J92" s="11" t="s">
        <v>224</v>
      </c>
      <c r="K92" s="11" t="s">
        <v>224</v>
      </c>
      <c r="L92" s="11" t="s">
        <v>1197</v>
      </c>
      <c r="M92" s="11" t="s">
        <v>225</v>
      </c>
      <c r="N92" s="59">
        <v>0</v>
      </c>
      <c r="O92" s="59"/>
      <c r="P92" s="12" t="s">
        <v>226</v>
      </c>
      <c r="Q92" s="12" t="s">
        <v>4</v>
      </c>
      <c r="R92" s="12" t="s">
        <v>15</v>
      </c>
      <c r="S92" s="12" t="s">
        <v>25</v>
      </c>
      <c r="T92" s="12">
        <v>1</v>
      </c>
      <c r="U92" s="13"/>
      <c r="V92" s="12" t="s">
        <v>227</v>
      </c>
      <c r="W92" s="12" t="s">
        <v>92</v>
      </c>
      <c r="X92" s="12" t="s">
        <v>108</v>
      </c>
      <c r="Y92" s="13"/>
      <c r="Z92" s="59" t="s">
        <v>228</v>
      </c>
    </row>
    <row r="93" spans="1:26" s="20" customFormat="1" hidden="1" x14ac:dyDescent="0.3">
      <c r="A93" s="12" t="s">
        <v>85</v>
      </c>
      <c r="B93" s="12">
        <v>4603</v>
      </c>
      <c r="C93" s="11" t="s">
        <v>221</v>
      </c>
      <c r="D93" s="12" t="s">
        <v>1</v>
      </c>
      <c r="E93" s="12" t="s">
        <v>1185</v>
      </c>
      <c r="F93" s="12" t="s">
        <v>87</v>
      </c>
      <c r="G93" s="12" t="s">
        <v>113</v>
      </c>
      <c r="H93" s="12" t="s">
        <v>222</v>
      </c>
      <c r="I93" s="12" t="s">
        <v>223</v>
      </c>
      <c r="J93" s="11" t="s">
        <v>224</v>
      </c>
      <c r="K93" s="11" t="s">
        <v>224</v>
      </c>
      <c r="L93" s="11" t="s">
        <v>1197</v>
      </c>
      <c r="M93" s="11" t="s">
        <v>225</v>
      </c>
      <c r="N93" s="59">
        <v>0</v>
      </c>
      <c r="O93" s="59"/>
      <c r="P93" s="12" t="s">
        <v>226</v>
      </c>
      <c r="Q93" s="12" t="s">
        <v>4</v>
      </c>
      <c r="R93" s="12" t="s">
        <v>13</v>
      </c>
      <c r="S93" s="12" t="s">
        <v>25</v>
      </c>
      <c r="T93" s="12">
        <v>0</v>
      </c>
      <c r="U93" s="13"/>
      <c r="V93" s="12" t="s">
        <v>92</v>
      </c>
      <c r="W93" s="12" t="s">
        <v>92</v>
      </c>
      <c r="X93" s="12" t="s">
        <v>93</v>
      </c>
      <c r="Y93" s="13"/>
      <c r="Z93" s="59" t="s">
        <v>228</v>
      </c>
    </row>
    <row r="94" spans="1:26" s="20" customFormat="1" hidden="1" x14ac:dyDescent="0.3">
      <c r="A94" s="12" t="s">
        <v>85</v>
      </c>
      <c r="B94" s="12">
        <v>4603</v>
      </c>
      <c r="C94" s="11" t="s">
        <v>221</v>
      </c>
      <c r="D94" s="12" t="s">
        <v>1</v>
      </c>
      <c r="E94" s="12" t="s">
        <v>1185</v>
      </c>
      <c r="F94" s="12" t="s">
        <v>87</v>
      </c>
      <c r="G94" s="12" t="s">
        <v>113</v>
      </c>
      <c r="H94" s="12" t="s">
        <v>222</v>
      </c>
      <c r="I94" s="12" t="s">
        <v>223</v>
      </c>
      <c r="J94" s="11" t="s">
        <v>224</v>
      </c>
      <c r="K94" s="11" t="s">
        <v>224</v>
      </c>
      <c r="L94" s="11" t="s">
        <v>1197</v>
      </c>
      <c r="M94" s="11" t="s">
        <v>225</v>
      </c>
      <c r="N94" s="59">
        <v>0</v>
      </c>
      <c r="O94" s="59"/>
      <c r="P94" s="12" t="s">
        <v>226</v>
      </c>
      <c r="Q94" s="12" t="s">
        <v>4</v>
      </c>
      <c r="R94" s="12" t="s">
        <v>15</v>
      </c>
      <c r="S94" s="12" t="s">
        <v>25</v>
      </c>
      <c r="T94" s="12">
        <v>1</v>
      </c>
      <c r="U94" s="13">
        <v>44006</v>
      </c>
      <c r="V94" s="12" t="s">
        <v>229</v>
      </c>
      <c r="W94" s="12" t="s">
        <v>92</v>
      </c>
      <c r="X94" s="12" t="s">
        <v>108</v>
      </c>
      <c r="Y94" s="13"/>
      <c r="Z94" s="59" t="s">
        <v>228</v>
      </c>
    </row>
    <row r="95" spans="1:26" s="20" customFormat="1" hidden="1" x14ac:dyDescent="0.3">
      <c r="A95" s="12" t="s">
        <v>85</v>
      </c>
      <c r="B95" s="12">
        <v>4603</v>
      </c>
      <c r="C95" s="11" t="s">
        <v>221</v>
      </c>
      <c r="D95" s="12" t="s">
        <v>1</v>
      </c>
      <c r="E95" s="12" t="s">
        <v>1185</v>
      </c>
      <c r="F95" s="12" t="s">
        <v>87</v>
      </c>
      <c r="G95" s="12" t="s">
        <v>113</v>
      </c>
      <c r="H95" s="12" t="s">
        <v>222</v>
      </c>
      <c r="I95" s="12" t="s">
        <v>223</v>
      </c>
      <c r="J95" s="11" t="s">
        <v>224</v>
      </c>
      <c r="K95" s="11" t="s">
        <v>224</v>
      </c>
      <c r="L95" s="11" t="s">
        <v>1197</v>
      </c>
      <c r="M95" s="11" t="s">
        <v>225</v>
      </c>
      <c r="N95" s="59">
        <v>0</v>
      </c>
      <c r="O95" s="59"/>
      <c r="P95" s="12" t="s">
        <v>226</v>
      </c>
      <c r="Q95" s="12" t="s">
        <v>4</v>
      </c>
      <c r="R95" s="12" t="s">
        <v>15</v>
      </c>
      <c r="S95" s="12" t="s">
        <v>25</v>
      </c>
      <c r="T95" s="12">
        <v>1</v>
      </c>
      <c r="U95" s="13">
        <v>44039</v>
      </c>
      <c r="V95" s="12" t="s">
        <v>230</v>
      </c>
      <c r="W95" s="12" t="s">
        <v>92</v>
      </c>
      <c r="X95" s="12" t="s">
        <v>108</v>
      </c>
      <c r="Y95" s="13"/>
      <c r="Z95" s="59" t="s">
        <v>228</v>
      </c>
    </row>
    <row r="96" spans="1:26" s="20" customFormat="1" hidden="1" x14ac:dyDescent="0.3">
      <c r="A96" s="12" t="s">
        <v>85</v>
      </c>
      <c r="B96" s="12">
        <v>4603</v>
      </c>
      <c r="C96" s="11" t="s">
        <v>221</v>
      </c>
      <c r="D96" s="12" t="s">
        <v>1</v>
      </c>
      <c r="E96" s="12" t="s">
        <v>1185</v>
      </c>
      <c r="F96" s="15" t="s">
        <v>87</v>
      </c>
      <c r="G96" s="12" t="s">
        <v>113</v>
      </c>
      <c r="H96" s="15" t="s">
        <v>222</v>
      </c>
      <c r="I96" s="15" t="s">
        <v>223</v>
      </c>
      <c r="J96" s="11" t="s">
        <v>224</v>
      </c>
      <c r="K96" s="14" t="s">
        <v>224</v>
      </c>
      <c r="L96" s="11" t="s">
        <v>1197</v>
      </c>
      <c r="M96" s="14" t="s">
        <v>225</v>
      </c>
      <c r="N96" s="59">
        <v>0</v>
      </c>
      <c r="O96" s="59"/>
      <c r="P96" s="15" t="s">
        <v>226</v>
      </c>
      <c r="Q96" s="12" t="s">
        <v>4</v>
      </c>
      <c r="R96" s="12" t="s">
        <v>15</v>
      </c>
      <c r="S96" s="12" t="s">
        <v>25</v>
      </c>
      <c r="T96" s="12">
        <v>1</v>
      </c>
      <c r="U96" s="13">
        <v>44056</v>
      </c>
      <c r="V96" s="12" t="s">
        <v>231</v>
      </c>
      <c r="W96" s="12" t="s">
        <v>92</v>
      </c>
      <c r="X96" s="12" t="s">
        <v>93</v>
      </c>
      <c r="Y96" s="13"/>
      <c r="Z96" s="59" t="s">
        <v>228</v>
      </c>
    </row>
    <row r="97" spans="1:26" s="20" customFormat="1" hidden="1" x14ac:dyDescent="0.3">
      <c r="A97" s="12" t="s">
        <v>85</v>
      </c>
      <c r="B97" s="12">
        <v>4638</v>
      </c>
      <c r="C97" s="11" t="s">
        <v>95</v>
      </c>
      <c r="D97" s="12" t="s">
        <v>1</v>
      </c>
      <c r="E97" s="12" t="s">
        <v>1185</v>
      </c>
      <c r="F97" s="12" t="s">
        <v>87</v>
      </c>
      <c r="G97" s="12" t="s">
        <v>113</v>
      </c>
      <c r="H97" s="12" t="s">
        <v>96</v>
      </c>
      <c r="I97" s="12" t="s">
        <v>89</v>
      </c>
      <c r="J97" s="11" t="s">
        <v>1272</v>
      </c>
      <c r="K97" s="11" t="s">
        <v>232</v>
      </c>
      <c r="L97" s="11" t="s">
        <v>1202</v>
      </c>
      <c r="M97" s="11" t="s">
        <v>233</v>
      </c>
      <c r="N97" s="58">
        <v>5303.62</v>
      </c>
      <c r="O97" s="58">
        <v>1410.56</v>
      </c>
      <c r="P97" s="12" t="s">
        <v>234</v>
      </c>
      <c r="Q97" s="12" t="s">
        <v>4</v>
      </c>
      <c r="R97" s="12" t="s">
        <v>13</v>
      </c>
      <c r="S97" s="12" t="s">
        <v>33</v>
      </c>
      <c r="T97" s="12">
        <v>1</v>
      </c>
      <c r="U97" s="13">
        <v>43900</v>
      </c>
      <c r="V97" s="12" t="s">
        <v>235</v>
      </c>
      <c r="W97" s="12" t="s">
        <v>92</v>
      </c>
      <c r="X97" s="12" t="s">
        <v>93</v>
      </c>
      <c r="Y97" s="13"/>
      <c r="Z97" s="75"/>
    </row>
    <row r="98" spans="1:26" s="20" customFormat="1" hidden="1" x14ac:dyDescent="0.3">
      <c r="A98" s="12" t="s">
        <v>85</v>
      </c>
      <c r="B98" s="12">
        <v>4638</v>
      </c>
      <c r="C98" s="11" t="s">
        <v>95</v>
      </c>
      <c r="D98" s="12" t="s">
        <v>1</v>
      </c>
      <c r="E98" s="12" t="s">
        <v>1185</v>
      </c>
      <c r="F98" s="12" t="s">
        <v>87</v>
      </c>
      <c r="G98" s="12" t="s">
        <v>113</v>
      </c>
      <c r="H98" s="12" t="s">
        <v>96</v>
      </c>
      <c r="I98" s="12" t="s">
        <v>89</v>
      </c>
      <c r="J98" s="11" t="s">
        <v>1272</v>
      </c>
      <c r="K98" s="11" t="s">
        <v>232</v>
      </c>
      <c r="L98" s="11" t="s">
        <v>1202</v>
      </c>
      <c r="M98" s="11" t="s">
        <v>233</v>
      </c>
      <c r="N98" s="58">
        <v>5303.62</v>
      </c>
      <c r="O98" s="58">
        <v>1410.56</v>
      </c>
      <c r="P98" s="12" t="s">
        <v>234</v>
      </c>
      <c r="Q98" s="12" t="s">
        <v>4</v>
      </c>
      <c r="R98" s="12" t="s">
        <v>15</v>
      </c>
      <c r="S98" s="12" t="s">
        <v>33</v>
      </c>
      <c r="T98" s="12">
        <v>1</v>
      </c>
      <c r="U98" s="13">
        <v>43962</v>
      </c>
      <c r="V98" s="12" t="s">
        <v>236</v>
      </c>
      <c r="W98" s="12" t="s">
        <v>92</v>
      </c>
      <c r="X98" s="12" t="s">
        <v>105</v>
      </c>
      <c r="Y98" s="13"/>
      <c r="Z98" s="75"/>
    </row>
    <row r="99" spans="1:26" s="20" customFormat="1" hidden="1" x14ac:dyDescent="0.3">
      <c r="A99" s="12" t="s">
        <v>85</v>
      </c>
      <c r="B99" s="12">
        <v>4638</v>
      </c>
      <c r="C99" s="11" t="s">
        <v>95</v>
      </c>
      <c r="D99" s="12" t="s">
        <v>1</v>
      </c>
      <c r="E99" s="12" t="s">
        <v>1185</v>
      </c>
      <c r="F99" s="12" t="s">
        <v>87</v>
      </c>
      <c r="G99" s="12" t="s">
        <v>113</v>
      </c>
      <c r="H99" s="12" t="s">
        <v>96</v>
      </c>
      <c r="I99" s="12" t="s">
        <v>89</v>
      </c>
      <c r="J99" s="11" t="s">
        <v>1272</v>
      </c>
      <c r="K99" s="11" t="s">
        <v>232</v>
      </c>
      <c r="L99" s="11" t="s">
        <v>1202</v>
      </c>
      <c r="M99" s="11" t="s">
        <v>233</v>
      </c>
      <c r="N99" s="58">
        <v>5303.62</v>
      </c>
      <c r="O99" s="58">
        <v>1410.56</v>
      </c>
      <c r="P99" s="12" t="s">
        <v>234</v>
      </c>
      <c r="Q99" s="12" t="s">
        <v>4</v>
      </c>
      <c r="R99" s="12" t="s">
        <v>15</v>
      </c>
      <c r="S99" s="12" t="s">
        <v>33</v>
      </c>
      <c r="T99" s="12">
        <v>1</v>
      </c>
      <c r="U99" s="13">
        <v>43991</v>
      </c>
      <c r="V99" s="12" t="s">
        <v>237</v>
      </c>
      <c r="W99" s="12" t="s">
        <v>92</v>
      </c>
      <c r="X99" s="12" t="s">
        <v>105</v>
      </c>
      <c r="Y99" s="13"/>
      <c r="Z99" s="75"/>
    </row>
    <row r="100" spans="1:26" s="20" customFormat="1" hidden="1" x14ac:dyDescent="0.3">
      <c r="A100" s="12" t="s">
        <v>85</v>
      </c>
      <c r="B100" s="12">
        <v>4638</v>
      </c>
      <c r="C100" s="11" t="s">
        <v>95</v>
      </c>
      <c r="D100" s="12" t="s">
        <v>1</v>
      </c>
      <c r="E100" s="12" t="s">
        <v>1185</v>
      </c>
      <c r="F100" s="12" t="s">
        <v>87</v>
      </c>
      <c r="G100" s="12" t="s">
        <v>113</v>
      </c>
      <c r="H100" s="12" t="s">
        <v>96</v>
      </c>
      <c r="I100" s="12" t="s">
        <v>89</v>
      </c>
      <c r="J100" s="11" t="s">
        <v>1272</v>
      </c>
      <c r="K100" s="11" t="s">
        <v>232</v>
      </c>
      <c r="L100" s="11" t="s">
        <v>1202</v>
      </c>
      <c r="M100" s="11" t="s">
        <v>233</v>
      </c>
      <c r="N100" s="58">
        <v>5303.62</v>
      </c>
      <c r="O100" s="58">
        <v>1410.56</v>
      </c>
      <c r="P100" s="12" t="s">
        <v>234</v>
      </c>
      <c r="Q100" s="12" t="s">
        <v>4</v>
      </c>
      <c r="R100" s="12" t="s">
        <v>15</v>
      </c>
      <c r="S100" s="12" t="s">
        <v>33</v>
      </c>
      <c r="T100" s="12">
        <v>1</v>
      </c>
      <c r="U100" s="13">
        <v>43998</v>
      </c>
      <c r="V100" s="12" t="s">
        <v>238</v>
      </c>
      <c r="W100" s="12" t="s">
        <v>92</v>
      </c>
      <c r="X100" s="12" t="s">
        <v>105</v>
      </c>
      <c r="Y100" s="13"/>
      <c r="Z100" s="75"/>
    </row>
    <row r="101" spans="1:26" s="20" customFormat="1" hidden="1" x14ac:dyDescent="0.3">
      <c r="A101" s="12" t="s">
        <v>85</v>
      </c>
      <c r="B101" s="12">
        <v>4638</v>
      </c>
      <c r="C101" s="11" t="s">
        <v>95</v>
      </c>
      <c r="D101" s="12" t="s">
        <v>1</v>
      </c>
      <c r="E101" s="12" t="s">
        <v>1185</v>
      </c>
      <c r="F101" s="12" t="s">
        <v>87</v>
      </c>
      <c r="G101" s="12" t="s">
        <v>113</v>
      </c>
      <c r="H101" s="12" t="s">
        <v>96</v>
      </c>
      <c r="I101" s="12" t="s">
        <v>89</v>
      </c>
      <c r="J101" s="11" t="s">
        <v>1272</v>
      </c>
      <c r="K101" s="11" t="s">
        <v>232</v>
      </c>
      <c r="L101" s="11" t="s">
        <v>1202</v>
      </c>
      <c r="M101" s="11" t="s">
        <v>233</v>
      </c>
      <c r="N101" s="58">
        <v>5303.62</v>
      </c>
      <c r="O101" s="58">
        <v>1410.56</v>
      </c>
      <c r="P101" s="12" t="s">
        <v>234</v>
      </c>
      <c r="Q101" s="12" t="s">
        <v>4</v>
      </c>
      <c r="R101" s="12" t="s">
        <v>15</v>
      </c>
      <c r="S101" s="12" t="s">
        <v>33</v>
      </c>
      <c r="T101" s="12">
        <v>1</v>
      </c>
      <c r="U101" s="13">
        <v>44004</v>
      </c>
      <c r="V101" s="12" t="s">
        <v>239</v>
      </c>
      <c r="W101" s="12" t="s">
        <v>92</v>
      </c>
      <c r="X101" s="12" t="s">
        <v>105</v>
      </c>
      <c r="Y101" s="13"/>
      <c r="Z101" s="75"/>
    </row>
    <row r="102" spans="1:26" s="20" customFormat="1" hidden="1" x14ac:dyDescent="0.3">
      <c r="A102" s="12" t="s">
        <v>85</v>
      </c>
      <c r="B102" s="12">
        <v>4638</v>
      </c>
      <c r="C102" s="11" t="s">
        <v>95</v>
      </c>
      <c r="D102" s="12" t="s">
        <v>1</v>
      </c>
      <c r="E102" s="12" t="s">
        <v>1185</v>
      </c>
      <c r="F102" s="12" t="s">
        <v>87</v>
      </c>
      <c r="G102" s="12" t="s">
        <v>113</v>
      </c>
      <c r="H102" s="12" t="s">
        <v>96</v>
      </c>
      <c r="I102" s="12" t="s">
        <v>89</v>
      </c>
      <c r="J102" s="11" t="s">
        <v>1272</v>
      </c>
      <c r="K102" s="11" t="s">
        <v>232</v>
      </c>
      <c r="L102" s="11" t="s">
        <v>1202</v>
      </c>
      <c r="M102" s="11" t="s">
        <v>233</v>
      </c>
      <c r="N102" s="58">
        <v>5303.62</v>
      </c>
      <c r="O102" s="58">
        <v>1410.56</v>
      </c>
      <c r="P102" s="12" t="s">
        <v>234</v>
      </c>
      <c r="Q102" s="12" t="s">
        <v>4</v>
      </c>
      <c r="R102" s="12" t="s">
        <v>15</v>
      </c>
      <c r="S102" s="12" t="s">
        <v>33</v>
      </c>
      <c r="T102" s="12">
        <v>1</v>
      </c>
      <c r="U102" s="13">
        <v>44015</v>
      </c>
      <c r="V102" s="12" t="s">
        <v>240</v>
      </c>
      <c r="W102" s="12" t="s">
        <v>92</v>
      </c>
      <c r="X102" s="12" t="s">
        <v>105</v>
      </c>
      <c r="Y102" s="13"/>
      <c r="Z102" s="75"/>
    </row>
    <row r="103" spans="1:26" s="20" customFormat="1" hidden="1" x14ac:dyDescent="0.3">
      <c r="A103" s="12" t="s">
        <v>85</v>
      </c>
      <c r="B103" s="12">
        <v>4638</v>
      </c>
      <c r="C103" s="11" t="s">
        <v>95</v>
      </c>
      <c r="D103" s="12" t="s">
        <v>1</v>
      </c>
      <c r="E103" s="12" t="s">
        <v>1185</v>
      </c>
      <c r="F103" s="12" t="s">
        <v>87</v>
      </c>
      <c r="G103" s="12" t="s">
        <v>113</v>
      </c>
      <c r="H103" s="12" t="s">
        <v>96</v>
      </c>
      <c r="I103" s="12" t="s">
        <v>89</v>
      </c>
      <c r="J103" s="11" t="s">
        <v>1272</v>
      </c>
      <c r="K103" s="11" t="s">
        <v>232</v>
      </c>
      <c r="L103" s="11" t="s">
        <v>1202</v>
      </c>
      <c r="M103" s="11" t="s">
        <v>233</v>
      </c>
      <c r="N103" s="58">
        <v>5303.62</v>
      </c>
      <c r="O103" s="58">
        <v>1410.56</v>
      </c>
      <c r="P103" s="12" t="s">
        <v>234</v>
      </c>
      <c r="Q103" s="12" t="s">
        <v>4</v>
      </c>
      <c r="R103" s="12" t="s">
        <v>15</v>
      </c>
      <c r="S103" s="12" t="s">
        <v>33</v>
      </c>
      <c r="T103" s="12">
        <v>1</v>
      </c>
      <c r="U103" s="13">
        <v>44036</v>
      </c>
      <c r="V103" s="12" t="s">
        <v>241</v>
      </c>
      <c r="W103" s="12" t="s">
        <v>92</v>
      </c>
      <c r="X103" s="12" t="s">
        <v>105</v>
      </c>
      <c r="Y103" s="13"/>
      <c r="Z103" s="75"/>
    </row>
    <row r="104" spans="1:26" s="20" customFormat="1" hidden="1" x14ac:dyDescent="0.3">
      <c r="A104" s="12" t="s">
        <v>85</v>
      </c>
      <c r="B104" s="12">
        <v>4638</v>
      </c>
      <c r="C104" s="11" t="s">
        <v>95</v>
      </c>
      <c r="D104" s="12" t="s">
        <v>1</v>
      </c>
      <c r="E104" s="12" t="s">
        <v>1185</v>
      </c>
      <c r="F104" s="12" t="s">
        <v>87</v>
      </c>
      <c r="G104" s="12" t="s">
        <v>113</v>
      </c>
      <c r="H104" s="12" t="s">
        <v>96</v>
      </c>
      <c r="I104" s="12" t="s">
        <v>89</v>
      </c>
      <c r="J104" s="11" t="s">
        <v>1272</v>
      </c>
      <c r="K104" s="11" t="s">
        <v>232</v>
      </c>
      <c r="L104" s="11" t="s">
        <v>1202</v>
      </c>
      <c r="M104" s="11" t="s">
        <v>233</v>
      </c>
      <c r="N104" s="58">
        <v>5303.62</v>
      </c>
      <c r="O104" s="58">
        <v>1410.56</v>
      </c>
      <c r="P104" s="12" t="s">
        <v>234</v>
      </c>
      <c r="Q104" s="12" t="s">
        <v>4</v>
      </c>
      <c r="R104" s="12" t="s">
        <v>15</v>
      </c>
      <c r="S104" s="12" t="s">
        <v>33</v>
      </c>
      <c r="T104" s="12">
        <v>1</v>
      </c>
      <c r="U104" s="13">
        <v>44048</v>
      </c>
      <c r="V104" s="12" t="s">
        <v>242</v>
      </c>
      <c r="W104" s="12" t="s">
        <v>92</v>
      </c>
      <c r="X104" s="12" t="s">
        <v>105</v>
      </c>
      <c r="Y104" s="13"/>
      <c r="Z104" s="75"/>
    </row>
    <row r="105" spans="1:26" s="20" customFormat="1" hidden="1" x14ac:dyDescent="0.3">
      <c r="A105" s="12" t="s">
        <v>85</v>
      </c>
      <c r="B105" s="12">
        <v>4942</v>
      </c>
      <c r="C105" s="11" t="s">
        <v>243</v>
      </c>
      <c r="D105" s="12" t="s">
        <v>1</v>
      </c>
      <c r="E105" s="12" t="s">
        <v>1185</v>
      </c>
      <c r="F105" s="12" t="s">
        <v>132</v>
      </c>
      <c r="G105" s="12" t="s">
        <v>113</v>
      </c>
      <c r="H105" s="12" t="s">
        <v>244</v>
      </c>
      <c r="I105" s="12" t="s">
        <v>115</v>
      </c>
      <c r="J105" s="11" t="s">
        <v>245</v>
      </c>
      <c r="K105" s="11" t="s">
        <v>245</v>
      </c>
      <c r="L105" s="11" t="s">
        <v>1195</v>
      </c>
      <c r="M105" s="11" t="s">
        <v>246</v>
      </c>
      <c r="N105" s="59">
        <v>222.89699999999999</v>
      </c>
      <c r="O105" s="59"/>
      <c r="P105" s="12" t="s">
        <v>247</v>
      </c>
      <c r="Q105" s="18" t="s">
        <v>12</v>
      </c>
      <c r="R105" s="12" t="s">
        <v>13</v>
      </c>
      <c r="S105" s="12" t="s">
        <v>25</v>
      </c>
      <c r="T105" s="12">
        <v>1</v>
      </c>
      <c r="U105" s="13">
        <v>44028</v>
      </c>
      <c r="V105" s="12" t="s">
        <v>248</v>
      </c>
      <c r="W105" s="12" t="s">
        <v>92</v>
      </c>
      <c r="X105" s="12" t="s">
        <v>93</v>
      </c>
      <c r="Y105" s="17">
        <v>44280</v>
      </c>
      <c r="Z105" s="75"/>
    </row>
    <row r="106" spans="1:26" s="20" customFormat="1" x14ac:dyDescent="0.3">
      <c r="A106" s="12" t="s">
        <v>85</v>
      </c>
      <c r="B106" s="12">
        <v>5240</v>
      </c>
      <c r="C106" s="11" t="s">
        <v>112</v>
      </c>
      <c r="D106" s="12" t="s">
        <v>1</v>
      </c>
      <c r="E106" s="12" t="s">
        <v>1185</v>
      </c>
      <c r="F106" s="12" t="s">
        <v>113</v>
      </c>
      <c r="G106" s="12" t="s">
        <v>113</v>
      </c>
      <c r="H106" s="12" t="s">
        <v>114</v>
      </c>
      <c r="I106" s="12" t="s">
        <v>115</v>
      </c>
      <c r="J106" s="11" t="s">
        <v>1244</v>
      </c>
      <c r="K106" s="11" t="s">
        <v>1244</v>
      </c>
      <c r="L106" s="11" t="s">
        <v>1194</v>
      </c>
      <c r="M106" s="11" t="s">
        <v>165</v>
      </c>
      <c r="N106" s="57">
        <v>11077.4</v>
      </c>
      <c r="O106" s="59"/>
      <c r="P106" s="12" t="s">
        <v>249</v>
      </c>
      <c r="Q106" s="12" t="s">
        <v>4</v>
      </c>
      <c r="R106" s="12" t="s">
        <v>16</v>
      </c>
      <c r="S106" s="12" t="s">
        <v>26</v>
      </c>
      <c r="T106" s="12">
        <v>1</v>
      </c>
      <c r="U106" s="13"/>
      <c r="V106" s="12" t="s">
        <v>250</v>
      </c>
      <c r="W106" s="12" t="s">
        <v>92</v>
      </c>
      <c r="X106" s="12" t="s">
        <v>93</v>
      </c>
      <c r="Y106" s="13"/>
      <c r="Z106" s="75"/>
    </row>
    <row r="107" spans="1:26" s="20" customFormat="1" hidden="1" x14ac:dyDescent="0.3">
      <c r="A107" s="12" t="s">
        <v>85</v>
      </c>
      <c r="B107" s="12">
        <v>5255</v>
      </c>
      <c r="C107" s="11" t="s">
        <v>100</v>
      </c>
      <c r="D107" s="12" t="s">
        <v>1</v>
      </c>
      <c r="E107" s="12" t="s">
        <v>1185</v>
      </c>
      <c r="F107" s="12" t="s">
        <v>87</v>
      </c>
      <c r="G107" s="12" t="s">
        <v>113</v>
      </c>
      <c r="H107" s="12" t="s">
        <v>101</v>
      </c>
      <c r="I107" s="12" t="s">
        <v>89</v>
      </c>
      <c r="J107" s="11" t="s">
        <v>102</v>
      </c>
      <c r="K107" s="11" t="s">
        <v>102</v>
      </c>
      <c r="L107" s="11" t="s">
        <v>1202</v>
      </c>
      <c r="M107" s="11" t="s">
        <v>103</v>
      </c>
      <c r="N107" s="57">
        <v>135829.68</v>
      </c>
      <c r="O107" s="59"/>
      <c r="P107" s="12">
        <v>0</v>
      </c>
      <c r="Q107" s="12" t="s">
        <v>4</v>
      </c>
      <c r="R107" s="12" t="s">
        <v>15</v>
      </c>
      <c r="S107" s="12" t="s">
        <v>19</v>
      </c>
      <c r="T107" s="12">
        <v>0</v>
      </c>
      <c r="U107" s="12"/>
      <c r="V107" s="12" t="s">
        <v>92</v>
      </c>
      <c r="W107" s="12" t="s">
        <v>92</v>
      </c>
      <c r="X107" s="12" t="s">
        <v>108</v>
      </c>
      <c r="Y107" s="13"/>
      <c r="Z107" s="75"/>
    </row>
    <row r="108" spans="1:26" s="20" customFormat="1" hidden="1" x14ac:dyDescent="0.3">
      <c r="A108" s="12" t="s">
        <v>85</v>
      </c>
      <c r="B108" s="12">
        <v>5255</v>
      </c>
      <c r="C108" s="11" t="s">
        <v>100</v>
      </c>
      <c r="D108" s="12" t="s">
        <v>1</v>
      </c>
      <c r="E108" s="12" t="s">
        <v>1185</v>
      </c>
      <c r="F108" s="12" t="s">
        <v>87</v>
      </c>
      <c r="G108" s="12" t="s">
        <v>113</v>
      </c>
      <c r="H108" s="12" t="s">
        <v>101</v>
      </c>
      <c r="I108" s="12" t="s">
        <v>89</v>
      </c>
      <c r="J108" s="11" t="s">
        <v>102</v>
      </c>
      <c r="K108" s="11" t="s">
        <v>102</v>
      </c>
      <c r="L108" s="11" t="s">
        <v>1202</v>
      </c>
      <c r="M108" s="11" t="s">
        <v>103</v>
      </c>
      <c r="N108" s="57">
        <v>135829.68</v>
      </c>
      <c r="O108" s="59"/>
      <c r="P108" s="12">
        <v>0</v>
      </c>
      <c r="Q108" s="12" t="s">
        <v>12</v>
      </c>
      <c r="R108" s="12" t="s">
        <v>15</v>
      </c>
      <c r="S108" s="12" t="s">
        <v>92</v>
      </c>
      <c r="T108" s="12">
        <v>1</v>
      </c>
      <c r="U108" s="13"/>
      <c r="V108" s="12" t="s">
        <v>251</v>
      </c>
      <c r="W108" s="12" t="s">
        <v>92</v>
      </c>
      <c r="X108" s="12" t="s">
        <v>93</v>
      </c>
      <c r="Y108" s="13">
        <v>43678</v>
      </c>
      <c r="Z108" s="75"/>
    </row>
    <row r="109" spans="1:26" s="20" customFormat="1" hidden="1" x14ac:dyDescent="0.3">
      <c r="A109" s="12" t="s">
        <v>85</v>
      </c>
      <c r="B109" s="12">
        <v>5255</v>
      </c>
      <c r="C109" s="11" t="s">
        <v>100</v>
      </c>
      <c r="D109" s="12" t="s">
        <v>1</v>
      </c>
      <c r="E109" s="12" t="s">
        <v>1185</v>
      </c>
      <c r="F109" s="12" t="s">
        <v>87</v>
      </c>
      <c r="G109" s="12" t="s">
        <v>113</v>
      </c>
      <c r="H109" s="12" t="s">
        <v>101</v>
      </c>
      <c r="I109" s="12" t="s">
        <v>89</v>
      </c>
      <c r="J109" s="11" t="s">
        <v>102</v>
      </c>
      <c r="K109" s="11" t="s">
        <v>102</v>
      </c>
      <c r="L109" s="11" t="s">
        <v>1202</v>
      </c>
      <c r="M109" s="11" t="s">
        <v>103</v>
      </c>
      <c r="N109" s="57">
        <v>135829.68</v>
      </c>
      <c r="O109" s="59"/>
      <c r="P109" s="12">
        <v>0</v>
      </c>
      <c r="Q109" s="12" t="s">
        <v>4</v>
      </c>
      <c r="R109" s="12" t="s">
        <v>15</v>
      </c>
      <c r="S109" s="12" t="s">
        <v>22</v>
      </c>
      <c r="T109" s="12">
        <v>1</v>
      </c>
      <c r="U109" s="13">
        <v>43997</v>
      </c>
      <c r="V109" s="12" t="s">
        <v>110</v>
      </c>
      <c r="W109" s="12" t="s">
        <v>92</v>
      </c>
      <c r="X109" s="12" t="s">
        <v>93</v>
      </c>
      <c r="Y109" s="13"/>
      <c r="Z109" s="75"/>
    </row>
    <row r="110" spans="1:26" s="20" customFormat="1" hidden="1" x14ac:dyDescent="0.3">
      <c r="A110" s="12" t="s">
        <v>85</v>
      </c>
      <c r="B110" s="12">
        <v>5255</v>
      </c>
      <c r="C110" s="11" t="s">
        <v>100</v>
      </c>
      <c r="D110" s="12" t="s">
        <v>1</v>
      </c>
      <c r="E110" s="12" t="s">
        <v>1185</v>
      </c>
      <c r="F110" s="12" t="s">
        <v>87</v>
      </c>
      <c r="G110" s="12" t="s">
        <v>113</v>
      </c>
      <c r="H110" s="12" t="s">
        <v>101</v>
      </c>
      <c r="I110" s="12" t="s">
        <v>89</v>
      </c>
      <c r="J110" s="11" t="s">
        <v>102</v>
      </c>
      <c r="K110" s="11" t="s">
        <v>102</v>
      </c>
      <c r="L110" s="11" t="s">
        <v>1202</v>
      </c>
      <c r="M110" s="11" t="s">
        <v>103</v>
      </c>
      <c r="N110" s="57">
        <v>135829.68</v>
      </c>
      <c r="O110" s="59"/>
      <c r="P110" s="12">
        <v>0</v>
      </c>
      <c r="Q110" s="12" t="s">
        <v>4</v>
      </c>
      <c r="R110" s="12" t="s">
        <v>15</v>
      </c>
      <c r="S110" s="12" t="s">
        <v>22</v>
      </c>
      <c r="T110" s="12">
        <v>1</v>
      </c>
      <c r="U110" s="13">
        <v>44027</v>
      </c>
      <c r="V110" s="12" t="s">
        <v>111</v>
      </c>
      <c r="W110" s="12" t="s">
        <v>92</v>
      </c>
      <c r="X110" s="12" t="s">
        <v>93</v>
      </c>
      <c r="Y110" s="13"/>
      <c r="Z110" s="75"/>
    </row>
    <row r="111" spans="1:26" s="20" customFormat="1" hidden="1" x14ac:dyDescent="0.3">
      <c r="A111" s="12" t="s">
        <v>85</v>
      </c>
      <c r="B111" s="12">
        <v>5256</v>
      </c>
      <c r="C111" s="11" t="s">
        <v>100</v>
      </c>
      <c r="D111" s="12" t="s">
        <v>1</v>
      </c>
      <c r="E111" s="12" t="s">
        <v>1185</v>
      </c>
      <c r="F111" s="12" t="s">
        <v>87</v>
      </c>
      <c r="G111" s="12" t="s">
        <v>113</v>
      </c>
      <c r="H111" s="12" t="s">
        <v>101</v>
      </c>
      <c r="I111" s="12" t="s">
        <v>89</v>
      </c>
      <c r="J111" s="11" t="s">
        <v>102</v>
      </c>
      <c r="K111" s="11" t="s">
        <v>102</v>
      </c>
      <c r="L111" s="11" t="s">
        <v>1202</v>
      </c>
      <c r="M111" s="11" t="s">
        <v>103</v>
      </c>
      <c r="N111" s="57">
        <v>266818.93</v>
      </c>
      <c r="O111" s="59"/>
      <c r="P111" s="12">
        <v>0</v>
      </c>
      <c r="Q111" s="12" t="s">
        <v>4</v>
      </c>
      <c r="R111" s="12" t="s">
        <v>13</v>
      </c>
      <c r="S111" s="12" t="s">
        <v>34</v>
      </c>
      <c r="T111" s="12">
        <v>1</v>
      </c>
      <c r="U111" s="13">
        <v>43944</v>
      </c>
      <c r="V111" s="12" t="s">
        <v>252</v>
      </c>
      <c r="W111" s="12" t="s">
        <v>92</v>
      </c>
      <c r="X111" s="12" t="s">
        <v>93</v>
      </c>
      <c r="Y111" s="13"/>
      <c r="Z111" s="75"/>
    </row>
    <row r="112" spans="1:26" s="20" customFormat="1" hidden="1" x14ac:dyDescent="0.3">
      <c r="A112" s="12" t="s">
        <v>85</v>
      </c>
      <c r="B112" s="12">
        <v>5256</v>
      </c>
      <c r="C112" s="11" t="s">
        <v>100</v>
      </c>
      <c r="D112" s="12" t="s">
        <v>1</v>
      </c>
      <c r="E112" s="12" t="s">
        <v>1185</v>
      </c>
      <c r="F112" s="12" t="s">
        <v>87</v>
      </c>
      <c r="G112" s="12" t="s">
        <v>113</v>
      </c>
      <c r="H112" s="12" t="s">
        <v>101</v>
      </c>
      <c r="I112" s="12" t="s">
        <v>89</v>
      </c>
      <c r="J112" s="11" t="s">
        <v>102</v>
      </c>
      <c r="K112" s="11" t="s">
        <v>102</v>
      </c>
      <c r="L112" s="11" t="s">
        <v>1202</v>
      </c>
      <c r="M112" s="11" t="s">
        <v>103</v>
      </c>
      <c r="N112" s="57">
        <v>266818.93</v>
      </c>
      <c r="O112" s="59"/>
      <c r="P112" s="12">
        <v>0</v>
      </c>
      <c r="Q112" s="12" t="s">
        <v>4</v>
      </c>
      <c r="R112" s="12" t="s">
        <v>13</v>
      </c>
      <c r="S112" s="12" t="s">
        <v>34</v>
      </c>
      <c r="T112" s="12">
        <v>1</v>
      </c>
      <c r="U112" s="13">
        <v>44028</v>
      </c>
      <c r="V112" s="12" t="s">
        <v>94</v>
      </c>
      <c r="W112" s="12" t="s">
        <v>92</v>
      </c>
      <c r="X112" s="12" t="s">
        <v>93</v>
      </c>
      <c r="Y112" s="13"/>
      <c r="Z112" s="75"/>
    </row>
    <row r="113" spans="1:26" s="20" customFormat="1" hidden="1" x14ac:dyDescent="0.3">
      <c r="A113" s="12" t="s">
        <v>85</v>
      </c>
      <c r="B113" s="12">
        <v>5256</v>
      </c>
      <c r="C113" s="11" t="s">
        <v>100</v>
      </c>
      <c r="D113" s="12" t="s">
        <v>1</v>
      </c>
      <c r="E113" s="12" t="s">
        <v>1185</v>
      </c>
      <c r="F113" s="12" t="s">
        <v>87</v>
      </c>
      <c r="G113" s="12" t="s">
        <v>113</v>
      </c>
      <c r="H113" s="12" t="s">
        <v>101</v>
      </c>
      <c r="I113" s="12" t="s">
        <v>89</v>
      </c>
      <c r="J113" s="11" t="s">
        <v>102</v>
      </c>
      <c r="K113" s="11" t="s">
        <v>102</v>
      </c>
      <c r="L113" s="11" t="s">
        <v>1202</v>
      </c>
      <c r="M113" s="11" t="s">
        <v>103</v>
      </c>
      <c r="N113" s="57">
        <v>266818.93</v>
      </c>
      <c r="O113" s="59"/>
      <c r="P113" s="12">
        <v>0</v>
      </c>
      <c r="Q113" s="12" t="s">
        <v>4</v>
      </c>
      <c r="R113" s="12" t="s">
        <v>15</v>
      </c>
      <c r="S113" s="12" t="s">
        <v>19</v>
      </c>
      <c r="T113" s="12">
        <v>0</v>
      </c>
      <c r="U113" s="12"/>
      <c r="V113" s="12" t="s">
        <v>92</v>
      </c>
      <c r="W113" s="12" t="s">
        <v>92</v>
      </c>
      <c r="X113" s="12" t="s">
        <v>108</v>
      </c>
      <c r="Y113" s="13"/>
      <c r="Z113" s="75"/>
    </row>
    <row r="114" spans="1:26" s="20" customFormat="1" hidden="1" x14ac:dyDescent="0.3">
      <c r="A114" s="12" t="s">
        <v>85</v>
      </c>
      <c r="B114" s="12">
        <v>5256</v>
      </c>
      <c r="C114" s="11" t="s">
        <v>100</v>
      </c>
      <c r="D114" s="12" t="s">
        <v>1</v>
      </c>
      <c r="E114" s="12" t="s">
        <v>1185</v>
      </c>
      <c r="F114" s="12" t="s">
        <v>87</v>
      </c>
      <c r="G114" s="12" t="s">
        <v>113</v>
      </c>
      <c r="H114" s="12" t="s">
        <v>101</v>
      </c>
      <c r="I114" s="12" t="s">
        <v>89</v>
      </c>
      <c r="J114" s="11" t="s">
        <v>102</v>
      </c>
      <c r="K114" s="11" t="s">
        <v>102</v>
      </c>
      <c r="L114" s="11" t="s">
        <v>1202</v>
      </c>
      <c r="M114" s="11" t="s">
        <v>103</v>
      </c>
      <c r="N114" s="57">
        <v>266818.93</v>
      </c>
      <c r="O114" s="59"/>
      <c r="P114" s="12">
        <v>0</v>
      </c>
      <c r="Q114" s="12" t="s">
        <v>12</v>
      </c>
      <c r="R114" s="12" t="s">
        <v>15</v>
      </c>
      <c r="S114" s="12" t="s">
        <v>92</v>
      </c>
      <c r="T114" s="12">
        <v>1</v>
      </c>
      <c r="U114" s="12"/>
      <c r="V114" s="12" t="s">
        <v>251</v>
      </c>
      <c r="W114" s="12" t="s">
        <v>92</v>
      </c>
      <c r="X114" s="12" t="s">
        <v>93</v>
      </c>
      <c r="Y114" s="13">
        <v>43647</v>
      </c>
      <c r="Z114" s="75"/>
    </row>
    <row r="115" spans="1:26" s="20" customFormat="1" hidden="1" x14ac:dyDescent="0.3">
      <c r="A115" s="12" t="s">
        <v>85</v>
      </c>
      <c r="B115" s="12">
        <v>5256</v>
      </c>
      <c r="C115" s="11" t="s">
        <v>100</v>
      </c>
      <c r="D115" s="12" t="s">
        <v>1</v>
      </c>
      <c r="E115" s="12" t="s">
        <v>1185</v>
      </c>
      <c r="F115" s="12" t="s">
        <v>87</v>
      </c>
      <c r="G115" s="12" t="s">
        <v>113</v>
      </c>
      <c r="H115" s="12" t="s">
        <v>101</v>
      </c>
      <c r="I115" s="12" t="s">
        <v>89</v>
      </c>
      <c r="J115" s="11" t="s">
        <v>102</v>
      </c>
      <c r="K115" s="11" t="s">
        <v>102</v>
      </c>
      <c r="L115" s="11" t="s">
        <v>1202</v>
      </c>
      <c r="M115" s="11" t="s">
        <v>103</v>
      </c>
      <c r="N115" s="57">
        <v>266818.93</v>
      </c>
      <c r="O115" s="59"/>
      <c r="P115" s="12">
        <v>0</v>
      </c>
      <c r="Q115" s="12" t="s">
        <v>4</v>
      </c>
      <c r="R115" s="12" t="s">
        <v>15</v>
      </c>
      <c r="S115" s="12" t="s">
        <v>22</v>
      </c>
      <c r="T115" s="12">
        <v>1</v>
      </c>
      <c r="U115" s="13">
        <v>43997</v>
      </c>
      <c r="V115" s="12" t="s">
        <v>110</v>
      </c>
      <c r="W115" s="12" t="s">
        <v>92</v>
      </c>
      <c r="X115" s="12" t="s">
        <v>93</v>
      </c>
      <c r="Y115" s="13"/>
      <c r="Z115" s="75"/>
    </row>
    <row r="116" spans="1:26" s="20" customFormat="1" hidden="1" x14ac:dyDescent="0.3">
      <c r="A116" s="12" t="s">
        <v>85</v>
      </c>
      <c r="B116" s="12">
        <v>5256</v>
      </c>
      <c r="C116" s="11" t="s">
        <v>100</v>
      </c>
      <c r="D116" s="12" t="s">
        <v>1</v>
      </c>
      <c r="E116" s="12" t="s">
        <v>1185</v>
      </c>
      <c r="F116" s="12" t="s">
        <v>87</v>
      </c>
      <c r="G116" s="12" t="s">
        <v>113</v>
      </c>
      <c r="H116" s="12" t="s">
        <v>101</v>
      </c>
      <c r="I116" s="12" t="s">
        <v>89</v>
      </c>
      <c r="J116" s="11" t="s">
        <v>102</v>
      </c>
      <c r="K116" s="11" t="s">
        <v>102</v>
      </c>
      <c r="L116" s="11" t="s">
        <v>1202</v>
      </c>
      <c r="M116" s="11" t="s">
        <v>103</v>
      </c>
      <c r="N116" s="57">
        <v>266818.93</v>
      </c>
      <c r="O116" s="59"/>
      <c r="P116" s="12">
        <v>0</v>
      </c>
      <c r="Q116" s="12" t="s">
        <v>4</v>
      </c>
      <c r="R116" s="12" t="s">
        <v>15</v>
      </c>
      <c r="S116" s="12" t="s">
        <v>22</v>
      </c>
      <c r="T116" s="12">
        <v>1</v>
      </c>
      <c r="U116" s="13">
        <v>44027</v>
      </c>
      <c r="V116" s="12" t="s">
        <v>111</v>
      </c>
      <c r="W116" s="12" t="s">
        <v>92</v>
      </c>
      <c r="X116" s="12" t="s">
        <v>93</v>
      </c>
      <c r="Y116" s="13"/>
      <c r="Z116" s="75"/>
    </row>
    <row r="117" spans="1:26" s="20" customFormat="1" hidden="1" x14ac:dyDescent="0.3">
      <c r="A117" s="12" t="s">
        <v>85</v>
      </c>
      <c r="B117" s="12">
        <v>5463</v>
      </c>
      <c r="C117" s="11" t="s">
        <v>95</v>
      </c>
      <c r="D117" s="12" t="s">
        <v>1</v>
      </c>
      <c r="E117" s="12" t="s">
        <v>1185</v>
      </c>
      <c r="F117" s="12" t="s">
        <v>113</v>
      </c>
      <c r="G117" s="12" t="s">
        <v>113</v>
      </c>
      <c r="H117" s="12" t="s">
        <v>96</v>
      </c>
      <c r="I117" s="12" t="s">
        <v>89</v>
      </c>
      <c r="J117" s="11" t="s">
        <v>1269</v>
      </c>
      <c r="K117" s="11" t="s">
        <v>1270</v>
      </c>
      <c r="L117" s="11" t="s">
        <v>1199</v>
      </c>
      <c r="M117" s="11" t="s">
        <v>253</v>
      </c>
      <c r="N117" s="58">
        <v>561</v>
      </c>
      <c r="O117" s="59"/>
      <c r="P117" s="56">
        <v>240640290001</v>
      </c>
      <c r="Q117" s="12" t="s">
        <v>12</v>
      </c>
      <c r="R117" s="12" t="s">
        <v>99</v>
      </c>
      <c r="S117" s="12" t="s">
        <v>99</v>
      </c>
      <c r="T117" s="12">
        <v>0</v>
      </c>
      <c r="U117" s="13"/>
      <c r="V117" s="12" t="s">
        <v>92</v>
      </c>
      <c r="W117" s="12" t="s">
        <v>92</v>
      </c>
      <c r="X117" s="12" t="s">
        <v>105</v>
      </c>
      <c r="Y117" s="13"/>
      <c r="Z117" s="75"/>
    </row>
    <row r="118" spans="1:26" s="20" customFormat="1" hidden="1" x14ac:dyDescent="0.3">
      <c r="A118" s="12" t="s">
        <v>85</v>
      </c>
      <c r="B118" s="12">
        <v>5566</v>
      </c>
      <c r="C118" s="11" t="s">
        <v>254</v>
      </c>
      <c r="D118" s="12" t="s">
        <v>1</v>
      </c>
      <c r="E118" s="12" t="s">
        <v>1185</v>
      </c>
      <c r="F118" s="12" t="s">
        <v>87</v>
      </c>
      <c r="G118" s="12" t="s">
        <v>113</v>
      </c>
      <c r="H118" s="12" t="s">
        <v>255</v>
      </c>
      <c r="I118" s="12" t="s">
        <v>89</v>
      </c>
      <c r="J118" s="11" t="s">
        <v>1236</v>
      </c>
      <c r="K118" s="11" t="s">
        <v>1236</v>
      </c>
      <c r="L118" s="11" t="s">
        <v>1199</v>
      </c>
      <c r="M118" s="11" t="s">
        <v>256</v>
      </c>
      <c r="N118" s="57">
        <v>1083.97</v>
      </c>
      <c r="O118" s="59"/>
      <c r="P118" s="12">
        <v>0</v>
      </c>
      <c r="Q118" s="12" t="s">
        <v>4</v>
      </c>
      <c r="R118" s="12" t="s">
        <v>16</v>
      </c>
      <c r="S118" s="12" t="s">
        <v>35</v>
      </c>
      <c r="T118" s="12">
        <v>1</v>
      </c>
      <c r="U118" s="13">
        <v>43962</v>
      </c>
      <c r="V118" s="12" t="s">
        <v>257</v>
      </c>
      <c r="W118" s="12" t="s">
        <v>92</v>
      </c>
      <c r="X118" s="12" t="s">
        <v>93</v>
      </c>
      <c r="Y118" s="13"/>
      <c r="Z118" s="75"/>
    </row>
    <row r="119" spans="1:26" s="20" customFormat="1" hidden="1" x14ac:dyDescent="0.3">
      <c r="A119" s="12" t="s">
        <v>85</v>
      </c>
      <c r="B119" s="12">
        <v>5566</v>
      </c>
      <c r="C119" s="11" t="s">
        <v>254</v>
      </c>
      <c r="D119" s="12" t="s">
        <v>1</v>
      </c>
      <c r="E119" s="12" t="s">
        <v>1185</v>
      </c>
      <c r="F119" s="12" t="s">
        <v>87</v>
      </c>
      <c r="G119" s="12" t="s">
        <v>113</v>
      </c>
      <c r="H119" s="12" t="s">
        <v>255</v>
      </c>
      <c r="I119" s="12" t="s">
        <v>89</v>
      </c>
      <c r="J119" s="11" t="s">
        <v>1236</v>
      </c>
      <c r="K119" s="11" t="s">
        <v>1236</v>
      </c>
      <c r="L119" s="11" t="s">
        <v>1199</v>
      </c>
      <c r="M119" s="11" t="s">
        <v>256</v>
      </c>
      <c r="N119" s="57">
        <v>1083.97</v>
      </c>
      <c r="O119" s="59"/>
      <c r="P119" s="12">
        <v>0</v>
      </c>
      <c r="Q119" s="12" t="s">
        <v>4</v>
      </c>
      <c r="R119" s="12" t="s">
        <v>16</v>
      </c>
      <c r="S119" s="12" t="s">
        <v>35</v>
      </c>
      <c r="T119" s="12">
        <v>1</v>
      </c>
      <c r="U119" s="13">
        <v>43802</v>
      </c>
      <c r="V119" s="12" t="s">
        <v>258</v>
      </c>
      <c r="W119" s="12" t="s">
        <v>92</v>
      </c>
      <c r="X119" s="12" t="s">
        <v>93</v>
      </c>
      <c r="Y119" s="13"/>
      <c r="Z119" s="75"/>
    </row>
    <row r="120" spans="1:26" s="20" customFormat="1" hidden="1" x14ac:dyDescent="0.3">
      <c r="A120" s="12" t="s">
        <v>85</v>
      </c>
      <c r="B120" s="12">
        <v>5566</v>
      </c>
      <c r="C120" s="11" t="s">
        <v>254</v>
      </c>
      <c r="D120" s="12" t="s">
        <v>1</v>
      </c>
      <c r="E120" s="12" t="s">
        <v>1185</v>
      </c>
      <c r="F120" s="12" t="s">
        <v>87</v>
      </c>
      <c r="G120" s="12" t="s">
        <v>113</v>
      </c>
      <c r="H120" s="12" t="s">
        <v>255</v>
      </c>
      <c r="I120" s="12" t="s">
        <v>89</v>
      </c>
      <c r="J120" s="11" t="s">
        <v>1236</v>
      </c>
      <c r="K120" s="11" t="s">
        <v>1236</v>
      </c>
      <c r="L120" s="11" t="s">
        <v>1199</v>
      </c>
      <c r="M120" s="11" t="s">
        <v>256</v>
      </c>
      <c r="N120" s="57">
        <v>1083.97</v>
      </c>
      <c r="O120" s="59"/>
      <c r="P120" s="12">
        <v>0</v>
      </c>
      <c r="Q120" s="12" t="s">
        <v>4</v>
      </c>
      <c r="R120" s="12" t="s">
        <v>13</v>
      </c>
      <c r="S120" s="12" t="s">
        <v>25</v>
      </c>
      <c r="T120" s="12">
        <v>0</v>
      </c>
      <c r="U120" s="12"/>
      <c r="V120" s="12" t="s">
        <v>92</v>
      </c>
      <c r="W120" s="12" t="s">
        <v>92</v>
      </c>
      <c r="X120" s="12" t="s">
        <v>93</v>
      </c>
      <c r="Y120" s="13"/>
      <c r="Z120" s="75"/>
    </row>
    <row r="121" spans="1:26" s="20" customFormat="1" hidden="1" x14ac:dyDescent="0.3">
      <c r="A121" s="12" t="s">
        <v>85</v>
      </c>
      <c r="B121" s="12">
        <v>5566</v>
      </c>
      <c r="C121" s="11" t="s">
        <v>254</v>
      </c>
      <c r="D121" s="12" t="s">
        <v>1</v>
      </c>
      <c r="E121" s="12" t="s">
        <v>1185</v>
      </c>
      <c r="F121" s="12" t="s">
        <v>87</v>
      </c>
      <c r="G121" s="12" t="s">
        <v>113</v>
      </c>
      <c r="H121" s="12" t="s">
        <v>255</v>
      </c>
      <c r="I121" s="12" t="s">
        <v>89</v>
      </c>
      <c r="J121" s="11" t="s">
        <v>1236</v>
      </c>
      <c r="K121" s="11" t="s">
        <v>1236</v>
      </c>
      <c r="L121" s="11" t="s">
        <v>1199</v>
      </c>
      <c r="M121" s="11" t="s">
        <v>256</v>
      </c>
      <c r="N121" s="57">
        <v>1083.97</v>
      </c>
      <c r="O121" s="59"/>
      <c r="P121" s="12">
        <v>0</v>
      </c>
      <c r="Q121" s="12" t="s">
        <v>4</v>
      </c>
      <c r="R121" s="12" t="s">
        <v>15</v>
      </c>
      <c r="S121" s="12" t="s">
        <v>22</v>
      </c>
      <c r="T121" s="12">
        <v>1</v>
      </c>
      <c r="U121" s="13">
        <v>43997</v>
      </c>
      <c r="V121" s="12" t="s">
        <v>110</v>
      </c>
      <c r="W121" s="12" t="s">
        <v>92</v>
      </c>
      <c r="X121" s="12" t="s">
        <v>93</v>
      </c>
      <c r="Y121" s="13"/>
      <c r="Z121" s="75"/>
    </row>
    <row r="122" spans="1:26" s="20" customFormat="1" hidden="1" x14ac:dyDescent="0.3">
      <c r="A122" s="12" t="s">
        <v>85</v>
      </c>
      <c r="B122" s="12">
        <v>5566</v>
      </c>
      <c r="C122" s="11" t="s">
        <v>254</v>
      </c>
      <c r="D122" s="12" t="s">
        <v>1</v>
      </c>
      <c r="E122" s="12" t="s">
        <v>1185</v>
      </c>
      <c r="F122" s="12" t="s">
        <v>87</v>
      </c>
      <c r="G122" s="12" t="s">
        <v>113</v>
      </c>
      <c r="H122" s="12" t="s">
        <v>255</v>
      </c>
      <c r="I122" s="12" t="s">
        <v>89</v>
      </c>
      <c r="J122" s="11" t="s">
        <v>1236</v>
      </c>
      <c r="K122" s="11" t="s">
        <v>1236</v>
      </c>
      <c r="L122" s="11" t="s">
        <v>1199</v>
      </c>
      <c r="M122" s="11" t="s">
        <v>256</v>
      </c>
      <c r="N122" s="57">
        <v>1083.97</v>
      </c>
      <c r="O122" s="59"/>
      <c r="P122" s="12">
        <v>0</v>
      </c>
      <c r="Q122" s="12" t="s">
        <v>4</v>
      </c>
      <c r="R122" s="12" t="s">
        <v>16</v>
      </c>
      <c r="S122" s="12" t="s">
        <v>35</v>
      </c>
      <c r="T122" s="12">
        <v>1</v>
      </c>
      <c r="U122" s="13">
        <v>43998</v>
      </c>
      <c r="V122" s="12" t="s">
        <v>259</v>
      </c>
      <c r="W122" s="12" t="s">
        <v>92</v>
      </c>
      <c r="X122" s="12" t="s">
        <v>93</v>
      </c>
      <c r="Y122" s="13"/>
      <c r="Z122" s="75"/>
    </row>
    <row r="123" spans="1:26" s="20" customFormat="1" hidden="1" x14ac:dyDescent="0.3">
      <c r="A123" s="12" t="s">
        <v>85</v>
      </c>
      <c r="B123" s="12">
        <v>5566</v>
      </c>
      <c r="C123" s="11" t="s">
        <v>254</v>
      </c>
      <c r="D123" s="12" t="s">
        <v>1</v>
      </c>
      <c r="E123" s="12" t="s">
        <v>1185</v>
      </c>
      <c r="F123" s="12" t="s">
        <v>87</v>
      </c>
      <c r="G123" s="12" t="s">
        <v>113</v>
      </c>
      <c r="H123" s="12" t="s">
        <v>255</v>
      </c>
      <c r="I123" s="12" t="s">
        <v>89</v>
      </c>
      <c r="J123" s="11" t="s">
        <v>1236</v>
      </c>
      <c r="K123" s="11" t="s">
        <v>1236</v>
      </c>
      <c r="L123" s="11" t="s">
        <v>1199</v>
      </c>
      <c r="M123" s="11" t="s">
        <v>256</v>
      </c>
      <c r="N123" s="57">
        <v>1083.97</v>
      </c>
      <c r="O123" s="59"/>
      <c r="P123" s="12">
        <v>0</v>
      </c>
      <c r="Q123" s="12" t="s">
        <v>4</v>
      </c>
      <c r="R123" s="12" t="s">
        <v>16</v>
      </c>
      <c r="S123" s="12" t="s">
        <v>35</v>
      </c>
      <c r="T123" s="12">
        <v>1</v>
      </c>
      <c r="U123" s="13">
        <v>44007</v>
      </c>
      <c r="V123" s="12" t="s">
        <v>260</v>
      </c>
      <c r="W123" s="12" t="s">
        <v>92</v>
      </c>
      <c r="X123" s="12" t="s">
        <v>93</v>
      </c>
      <c r="Y123" s="13"/>
      <c r="Z123" s="75"/>
    </row>
    <row r="124" spans="1:26" s="20" customFormat="1" hidden="1" x14ac:dyDescent="0.3">
      <c r="A124" s="12" t="s">
        <v>85</v>
      </c>
      <c r="B124" s="12">
        <v>5566</v>
      </c>
      <c r="C124" s="11" t="s">
        <v>254</v>
      </c>
      <c r="D124" s="12" t="s">
        <v>1</v>
      </c>
      <c r="E124" s="12" t="s">
        <v>1185</v>
      </c>
      <c r="F124" s="12" t="s">
        <v>87</v>
      </c>
      <c r="G124" s="12" t="s">
        <v>113</v>
      </c>
      <c r="H124" s="12" t="s">
        <v>255</v>
      </c>
      <c r="I124" s="12" t="s">
        <v>89</v>
      </c>
      <c r="J124" s="11" t="s">
        <v>1236</v>
      </c>
      <c r="K124" s="11" t="s">
        <v>1236</v>
      </c>
      <c r="L124" s="11" t="s">
        <v>1199</v>
      </c>
      <c r="M124" s="11" t="s">
        <v>256</v>
      </c>
      <c r="N124" s="57">
        <v>1083.97</v>
      </c>
      <c r="O124" s="59"/>
      <c r="P124" s="12">
        <v>0</v>
      </c>
      <c r="Q124" s="12" t="s">
        <v>4</v>
      </c>
      <c r="R124" s="12" t="s">
        <v>16</v>
      </c>
      <c r="S124" s="12" t="s">
        <v>35</v>
      </c>
      <c r="T124" s="12">
        <v>1</v>
      </c>
      <c r="U124" s="13">
        <v>44011</v>
      </c>
      <c r="V124" s="12" t="s">
        <v>261</v>
      </c>
      <c r="W124" s="12" t="s">
        <v>92</v>
      </c>
      <c r="X124" s="12" t="s">
        <v>93</v>
      </c>
      <c r="Y124" s="13"/>
      <c r="Z124" s="75"/>
    </row>
    <row r="125" spans="1:26" s="20" customFormat="1" hidden="1" x14ac:dyDescent="0.3">
      <c r="A125" s="12" t="s">
        <v>85</v>
      </c>
      <c r="B125" s="12">
        <v>5566</v>
      </c>
      <c r="C125" s="11" t="s">
        <v>254</v>
      </c>
      <c r="D125" s="12" t="s">
        <v>1</v>
      </c>
      <c r="E125" s="12" t="s">
        <v>1185</v>
      </c>
      <c r="F125" s="12" t="s">
        <v>87</v>
      </c>
      <c r="G125" s="12" t="s">
        <v>113</v>
      </c>
      <c r="H125" s="12" t="s">
        <v>255</v>
      </c>
      <c r="I125" s="12" t="s">
        <v>89</v>
      </c>
      <c r="J125" s="11" t="s">
        <v>1236</v>
      </c>
      <c r="K125" s="11" t="s">
        <v>1236</v>
      </c>
      <c r="L125" s="11" t="s">
        <v>1199</v>
      </c>
      <c r="M125" s="11" t="s">
        <v>256</v>
      </c>
      <c r="N125" s="57">
        <v>1083.97</v>
      </c>
      <c r="O125" s="59"/>
      <c r="P125" s="12">
        <v>0</v>
      </c>
      <c r="Q125" s="12" t="s">
        <v>4</v>
      </c>
      <c r="R125" s="12" t="s">
        <v>15</v>
      </c>
      <c r="S125" s="12" t="s">
        <v>22</v>
      </c>
      <c r="T125" s="12">
        <v>1</v>
      </c>
      <c r="U125" s="13">
        <v>44027</v>
      </c>
      <c r="V125" s="12" t="s">
        <v>111</v>
      </c>
      <c r="W125" s="12" t="s">
        <v>92</v>
      </c>
      <c r="X125" s="12" t="s">
        <v>93</v>
      </c>
      <c r="Y125" s="13"/>
      <c r="Z125" s="75"/>
    </row>
    <row r="126" spans="1:26" s="20" customFormat="1" hidden="1" x14ac:dyDescent="0.3">
      <c r="A126" s="12" t="s">
        <v>85</v>
      </c>
      <c r="B126" s="12">
        <v>5566</v>
      </c>
      <c r="C126" s="11" t="s">
        <v>254</v>
      </c>
      <c r="D126" s="12" t="s">
        <v>1</v>
      </c>
      <c r="E126" s="12" t="s">
        <v>1185</v>
      </c>
      <c r="F126" s="12" t="s">
        <v>87</v>
      </c>
      <c r="G126" s="12" t="s">
        <v>113</v>
      </c>
      <c r="H126" s="12" t="s">
        <v>255</v>
      </c>
      <c r="I126" s="12" t="s">
        <v>89</v>
      </c>
      <c r="J126" s="11" t="s">
        <v>1236</v>
      </c>
      <c r="K126" s="11" t="s">
        <v>1236</v>
      </c>
      <c r="L126" s="11" t="s">
        <v>1199</v>
      </c>
      <c r="M126" s="11" t="s">
        <v>256</v>
      </c>
      <c r="N126" s="57">
        <v>1083.97</v>
      </c>
      <c r="O126" s="59"/>
      <c r="P126" s="12">
        <v>0</v>
      </c>
      <c r="Q126" s="12" t="s">
        <v>4</v>
      </c>
      <c r="R126" s="12" t="s">
        <v>16</v>
      </c>
      <c r="S126" s="12" t="s">
        <v>35</v>
      </c>
      <c r="T126" s="12">
        <v>1</v>
      </c>
      <c r="U126" s="13">
        <v>44027</v>
      </c>
      <c r="V126" s="12" t="s">
        <v>262</v>
      </c>
      <c r="W126" s="12" t="s">
        <v>92</v>
      </c>
      <c r="X126" s="12" t="s">
        <v>93</v>
      </c>
      <c r="Y126" s="13"/>
      <c r="Z126" s="75"/>
    </row>
    <row r="127" spans="1:26" s="20" customFormat="1" hidden="1" x14ac:dyDescent="0.3">
      <c r="A127" s="12" t="s">
        <v>85</v>
      </c>
      <c r="B127" s="12">
        <v>5612</v>
      </c>
      <c r="C127" s="11" t="s">
        <v>263</v>
      </c>
      <c r="D127" s="12" t="s">
        <v>1</v>
      </c>
      <c r="E127" s="12" t="s">
        <v>1185</v>
      </c>
      <c r="F127" s="12" t="s">
        <v>87</v>
      </c>
      <c r="G127" s="12" t="s">
        <v>113</v>
      </c>
      <c r="H127" s="12" t="s">
        <v>96</v>
      </c>
      <c r="I127" s="12" t="s">
        <v>89</v>
      </c>
      <c r="J127" s="11" t="s">
        <v>264</v>
      </c>
      <c r="K127" s="11" t="s">
        <v>264</v>
      </c>
      <c r="L127" s="11" t="s">
        <v>1200</v>
      </c>
      <c r="M127" s="11" t="s">
        <v>265</v>
      </c>
      <c r="N127" s="59">
        <v>0</v>
      </c>
      <c r="O127" s="58">
        <v>130.88999999999999</v>
      </c>
      <c r="P127" s="12"/>
      <c r="Q127" s="12" t="s">
        <v>12</v>
      </c>
      <c r="R127" s="12" t="s">
        <v>99</v>
      </c>
      <c r="S127" s="12" t="s">
        <v>99</v>
      </c>
      <c r="T127" s="12">
        <v>1</v>
      </c>
      <c r="U127" s="13"/>
      <c r="V127" s="12" t="s">
        <v>266</v>
      </c>
      <c r="W127" s="12" t="s">
        <v>92</v>
      </c>
      <c r="X127" s="12" t="s">
        <v>93</v>
      </c>
      <c r="Y127" s="13">
        <v>43880</v>
      </c>
      <c r="Z127" s="75"/>
    </row>
    <row r="128" spans="1:26" s="20" customFormat="1" hidden="1" x14ac:dyDescent="0.3">
      <c r="A128" s="12" t="s">
        <v>85</v>
      </c>
      <c r="B128" s="12">
        <v>5709</v>
      </c>
      <c r="C128" s="11" t="s">
        <v>263</v>
      </c>
      <c r="D128" s="12" t="s">
        <v>1</v>
      </c>
      <c r="E128" s="12" t="s">
        <v>1185</v>
      </c>
      <c r="F128" s="12" t="s">
        <v>132</v>
      </c>
      <c r="G128" s="12" t="s">
        <v>113</v>
      </c>
      <c r="H128" s="12" t="s">
        <v>96</v>
      </c>
      <c r="I128" s="12" t="s">
        <v>89</v>
      </c>
      <c r="J128" s="11" t="s">
        <v>267</v>
      </c>
      <c r="K128" s="11" t="s">
        <v>267</v>
      </c>
      <c r="L128" s="11" t="s">
        <v>1202</v>
      </c>
      <c r="M128" s="11" t="s">
        <v>268</v>
      </c>
      <c r="N128" s="58">
        <v>26486.47</v>
      </c>
      <c r="O128" s="58">
        <v>5434</v>
      </c>
      <c r="P128" s="12" t="s">
        <v>269</v>
      </c>
      <c r="Q128" s="12" t="s">
        <v>4</v>
      </c>
      <c r="R128" s="12" t="s">
        <v>13</v>
      </c>
      <c r="S128" s="12" t="s">
        <v>25</v>
      </c>
      <c r="T128" s="12">
        <v>1</v>
      </c>
      <c r="U128" s="13">
        <v>44028</v>
      </c>
      <c r="V128" s="12" t="s">
        <v>94</v>
      </c>
      <c r="W128" s="12" t="s">
        <v>92</v>
      </c>
      <c r="X128" s="12" t="s">
        <v>93</v>
      </c>
      <c r="Y128" s="13"/>
      <c r="Z128" s="75"/>
    </row>
    <row r="129" spans="1:26" s="20" customFormat="1" hidden="1" x14ac:dyDescent="0.3">
      <c r="A129" s="12" t="s">
        <v>85</v>
      </c>
      <c r="B129" s="12">
        <v>5721</v>
      </c>
      <c r="C129" s="11" t="s">
        <v>95</v>
      </c>
      <c r="D129" s="12" t="s">
        <v>1</v>
      </c>
      <c r="E129" s="12" t="s">
        <v>1185</v>
      </c>
      <c r="F129" s="12" t="s">
        <v>87</v>
      </c>
      <c r="G129" s="12" t="s">
        <v>113</v>
      </c>
      <c r="H129" s="12" t="s">
        <v>96</v>
      </c>
      <c r="I129" s="12" t="s">
        <v>89</v>
      </c>
      <c r="J129" s="11" t="s">
        <v>1273</v>
      </c>
      <c r="K129" s="11" t="s">
        <v>270</v>
      </c>
      <c r="L129" s="11" t="s">
        <v>1199</v>
      </c>
      <c r="M129" s="11" t="s">
        <v>271</v>
      </c>
      <c r="N129" s="58">
        <v>616</v>
      </c>
      <c r="O129" s="59"/>
      <c r="P129" s="12"/>
      <c r="Q129" s="12" t="s">
        <v>12</v>
      </c>
      <c r="R129" s="12" t="s">
        <v>99</v>
      </c>
      <c r="S129" s="12" t="s">
        <v>99</v>
      </c>
      <c r="T129" s="12">
        <v>1</v>
      </c>
      <c r="U129" s="13">
        <v>44043</v>
      </c>
      <c r="V129" s="12" t="s">
        <v>272</v>
      </c>
      <c r="W129" s="12" t="s">
        <v>92</v>
      </c>
      <c r="X129" s="12" t="s">
        <v>93</v>
      </c>
      <c r="Y129" s="13">
        <v>44058</v>
      </c>
      <c r="Z129" s="75"/>
    </row>
    <row r="130" spans="1:26" s="20" customFormat="1" hidden="1" x14ac:dyDescent="0.3">
      <c r="A130" s="12" t="s">
        <v>85</v>
      </c>
      <c r="B130" s="12">
        <v>6010</v>
      </c>
      <c r="C130" s="11" t="s">
        <v>100</v>
      </c>
      <c r="D130" s="12" t="s">
        <v>1</v>
      </c>
      <c r="E130" s="12" t="s">
        <v>1185</v>
      </c>
      <c r="F130" s="12" t="s">
        <v>132</v>
      </c>
      <c r="G130" s="12" t="s">
        <v>87</v>
      </c>
      <c r="H130" s="12" t="s">
        <v>101</v>
      </c>
      <c r="I130" s="12" t="s">
        <v>89</v>
      </c>
      <c r="J130" s="11" t="s">
        <v>1274</v>
      </c>
      <c r="K130" s="11" t="s">
        <v>273</v>
      </c>
      <c r="L130" s="11" t="s">
        <v>1195</v>
      </c>
      <c r="M130" s="11" t="s">
        <v>274</v>
      </c>
      <c r="N130" s="58">
        <v>480</v>
      </c>
      <c r="O130" s="59"/>
      <c r="P130" s="12">
        <v>500260140001001</v>
      </c>
      <c r="Q130" s="12" t="s">
        <v>4</v>
      </c>
      <c r="R130" s="12" t="s">
        <v>15</v>
      </c>
      <c r="S130" s="12" t="s">
        <v>25</v>
      </c>
      <c r="T130" s="12">
        <v>1</v>
      </c>
      <c r="U130" s="13"/>
      <c r="V130" s="12" t="s">
        <v>275</v>
      </c>
      <c r="W130" s="12" t="s">
        <v>92</v>
      </c>
      <c r="X130" s="12" t="s">
        <v>105</v>
      </c>
      <c r="Y130" s="13"/>
      <c r="Z130" s="75"/>
    </row>
    <row r="131" spans="1:26" s="20" customFormat="1" hidden="1" x14ac:dyDescent="0.3">
      <c r="A131" s="12" t="s">
        <v>85</v>
      </c>
      <c r="B131" s="12">
        <v>6011</v>
      </c>
      <c r="C131" s="11" t="s">
        <v>100</v>
      </c>
      <c r="D131" s="12" t="s">
        <v>1</v>
      </c>
      <c r="E131" s="12" t="s">
        <v>1185</v>
      </c>
      <c r="F131" s="12" t="s">
        <v>87</v>
      </c>
      <c r="G131" s="12" t="s">
        <v>87</v>
      </c>
      <c r="H131" s="12" t="s">
        <v>101</v>
      </c>
      <c r="I131" s="12" t="s">
        <v>89</v>
      </c>
      <c r="J131" s="11" t="s">
        <v>1274</v>
      </c>
      <c r="K131" s="11" t="s">
        <v>273</v>
      </c>
      <c r="L131" s="11" t="s">
        <v>1195</v>
      </c>
      <c r="M131" s="11" t="s">
        <v>274</v>
      </c>
      <c r="N131" s="58">
        <v>480</v>
      </c>
      <c r="O131" s="59"/>
      <c r="P131" s="12" t="s">
        <v>276</v>
      </c>
      <c r="Q131" s="12" t="s">
        <v>12</v>
      </c>
      <c r="R131" s="12" t="s">
        <v>99</v>
      </c>
      <c r="S131" s="12" t="s">
        <v>99</v>
      </c>
      <c r="T131" s="12">
        <v>0</v>
      </c>
      <c r="U131" s="13"/>
      <c r="V131" s="12" t="s">
        <v>92</v>
      </c>
      <c r="W131" s="12" t="s">
        <v>92</v>
      </c>
      <c r="X131" s="12" t="s">
        <v>135</v>
      </c>
      <c r="Y131" s="13">
        <v>43556</v>
      </c>
      <c r="Z131" s="75"/>
    </row>
    <row r="132" spans="1:26" s="20" customFormat="1" hidden="1" x14ac:dyDescent="0.3">
      <c r="A132" s="12" t="s">
        <v>85</v>
      </c>
      <c r="B132" s="12">
        <v>6012</v>
      </c>
      <c r="C132" s="11" t="s">
        <v>100</v>
      </c>
      <c r="D132" s="12" t="s">
        <v>1</v>
      </c>
      <c r="E132" s="12" t="s">
        <v>1185</v>
      </c>
      <c r="F132" s="12" t="s">
        <v>87</v>
      </c>
      <c r="G132" s="12" t="s">
        <v>87</v>
      </c>
      <c r="H132" s="12" t="s">
        <v>101</v>
      </c>
      <c r="I132" s="12" t="s">
        <v>89</v>
      </c>
      <c r="J132" s="11" t="s">
        <v>1274</v>
      </c>
      <c r="K132" s="11" t="s">
        <v>273</v>
      </c>
      <c r="L132" s="11" t="s">
        <v>1195</v>
      </c>
      <c r="M132" s="11" t="s">
        <v>274</v>
      </c>
      <c r="N132" s="58">
        <v>480</v>
      </c>
      <c r="O132" s="59"/>
      <c r="P132" s="12" t="s">
        <v>277</v>
      </c>
      <c r="Q132" s="12" t="s">
        <v>12</v>
      </c>
      <c r="R132" s="12" t="s">
        <v>99</v>
      </c>
      <c r="S132" s="12" t="s">
        <v>99</v>
      </c>
      <c r="T132" s="12">
        <v>1</v>
      </c>
      <c r="U132" s="13"/>
      <c r="V132" s="12" t="s">
        <v>278</v>
      </c>
      <c r="W132" s="12" t="s">
        <v>92</v>
      </c>
      <c r="X132" s="12" t="s">
        <v>135</v>
      </c>
      <c r="Y132" s="13">
        <v>43556</v>
      </c>
      <c r="Z132" s="75"/>
    </row>
    <row r="133" spans="1:26" s="20" customFormat="1" hidden="1" x14ac:dyDescent="0.3">
      <c r="A133" s="12" t="s">
        <v>85</v>
      </c>
      <c r="B133" s="12">
        <v>6013</v>
      </c>
      <c r="C133" s="11" t="s">
        <v>100</v>
      </c>
      <c r="D133" s="12" t="s">
        <v>1</v>
      </c>
      <c r="E133" s="12" t="s">
        <v>1185</v>
      </c>
      <c r="F133" s="12" t="s">
        <v>87</v>
      </c>
      <c r="G133" s="12" t="s">
        <v>87</v>
      </c>
      <c r="H133" s="12" t="s">
        <v>101</v>
      </c>
      <c r="I133" s="12" t="s">
        <v>89</v>
      </c>
      <c r="J133" s="11" t="s">
        <v>1274</v>
      </c>
      <c r="K133" s="11" t="s">
        <v>273</v>
      </c>
      <c r="L133" s="11" t="s">
        <v>1195</v>
      </c>
      <c r="M133" s="11" t="s">
        <v>274</v>
      </c>
      <c r="N133" s="58">
        <v>480</v>
      </c>
      <c r="O133" s="59"/>
      <c r="P133" s="12" t="s">
        <v>279</v>
      </c>
      <c r="Q133" s="12" t="s">
        <v>12</v>
      </c>
      <c r="R133" s="12" t="s">
        <v>99</v>
      </c>
      <c r="S133" s="12" t="s">
        <v>99</v>
      </c>
      <c r="T133" s="12">
        <v>1</v>
      </c>
      <c r="U133" s="13"/>
      <c r="V133" s="12" t="s">
        <v>278</v>
      </c>
      <c r="W133" s="12" t="s">
        <v>92</v>
      </c>
      <c r="X133" s="12" t="s">
        <v>135</v>
      </c>
      <c r="Y133" s="13">
        <v>43556</v>
      </c>
      <c r="Z133" s="75"/>
    </row>
    <row r="134" spans="1:26" s="20" customFormat="1" hidden="1" x14ac:dyDescent="0.3">
      <c r="A134" s="12" t="s">
        <v>85</v>
      </c>
      <c r="B134" s="12">
        <v>6014</v>
      </c>
      <c r="C134" s="11" t="s">
        <v>100</v>
      </c>
      <c r="D134" s="12" t="s">
        <v>1</v>
      </c>
      <c r="E134" s="12" t="s">
        <v>1185</v>
      </c>
      <c r="F134" s="12" t="s">
        <v>87</v>
      </c>
      <c r="G134" s="12" t="s">
        <v>87</v>
      </c>
      <c r="H134" s="12" t="s">
        <v>101</v>
      </c>
      <c r="I134" s="12" t="s">
        <v>89</v>
      </c>
      <c r="J134" s="11" t="s">
        <v>1274</v>
      </c>
      <c r="K134" s="11" t="s">
        <v>273</v>
      </c>
      <c r="L134" s="11" t="s">
        <v>1195</v>
      </c>
      <c r="M134" s="11" t="s">
        <v>274</v>
      </c>
      <c r="N134" s="58">
        <v>480</v>
      </c>
      <c r="O134" s="59"/>
      <c r="P134" s="12" t="s">
        <v>279</v>
      </c>
      <c r="Q134" s="12" t="s">
        <v>12</v>
      </c>
      <c r="R134" s="12" t="s">
        <v>99</v>
      </c>
      <c r="S134" s="12" t="s">
        <v>99</v>
      </c>
      <c r="T134" s="12">
        <v>1</v>
      </c>
      <c r="U134" s="13"/>
      <c r="V134" s="12" t="s">
        <v>278</v>
      </c>
      <c r="W134" s="12" t="s">
        <v>92</v>
      </c>
      <c r="X134" s="12" t="s">
        <v>135</v>
      </c>
      <c r="Y134" s="13">
        <v>43556</v>
      </c>
      <c r="Z134" s="75"/>
    </row>
    <row r="135" spans="1:26" s="20" customFormat="1" hidden="1" x14ac:dyDescent="0.3">
      <c r="A135" s="12" t="s">
        <v>85</v>
      </c>
      <c r="B135" s="12">
        <v>6015</v>
      </c>
      <c r="C135" s="11" t="s">
        <v>100</v>
      </c>
      <c r="D135" s="12" t="s">
        <v>1</v>
      </c>
      <c r="E135" s="12" t="s">
        <v>1185</v>
      </c>
      <c r="F135" s="12" t="s">
        <v>87</v>
      </c>
      <c r="G135" s="12" t="s">
        <v>87</v>
      </c>
      <c r="H135" s="12" t="s">
        <v>101</v>
      </c>
      <c r="I135" s="12" t="s">
        <v>89</v>
      </c>
      <c r="J135" s="11" t="s">
        <v>1274</v>
      </c>
      <c r="K135" s="11" t="s">
        <v>273</v>
      </c>
      <c r="L135" s="11" t="s">
        <v>1195</v>
      </c>
      <c r="M135" s="11" t="s">
        <v>274</v>
      </c>
      <c r="N135" s="58">
        <v>480</v>
      </c>
      <c r="O135" s="59"/>
      <c r="P135" s="12" t="s">
        <v>280</v>
      </c>
      <c r="Q135" s="12" t="s">
        <v>12</v>
      </c>
      <c r="R135" s="12" t="s">
        <v>99</v>
      </c>
      <c r="S135" s="12" t="s">
        <v>99</v>
      </c>
      <c r="T135" s="12">
        <v>1</v>
      </c>
      <c r="U135" s="13"/>
      <c r="V135" s="12" t="s">
        <v>278</v>
      </c>
      <c r="W135" s="12" t="s">
        <v>92</v>
      </c>
      <c r="X135" s="12" t="s">
        <v>135</v>
      </c>
      <c r="Y135" s="13">
        <v>43556</v>
      </c>
      <c r="Z135" s="75"/>
    </row>
    <row r="136" spans="1:26" s="20" customFormat="1" hidden="1" x14ac:dyDescent="0.3">
      <c r="A136" s="12" t="s">
        <v>85</v>
      </c>
      <c r="B136" s="12">
        <v>6016</v>
      </c>
      <c r="C136" s="11" t="s">
        <v>100</v>
      </c>
      <c r="D136" s="12" t="s">
        <v>1</v>
      </c>
      <c r="E136" s="12" t="s">
        <v>1185</v>
      </c>
      <c r="F136" s="12" t="s">
        <v>87</v>
      </c>
      <c r="G136" s="12" t="s">
        <v>87</v>
      </c>
      <c r="H136" s="12" t="s">
        <v>101</v>
      </c>
      <c r="I136" s="12" t="s">
        <v>89</v>
      </c>
      <c r="J136" s="11" t="s">
        <v>1274</v>
      </c>
      <c r="K136" s="11" t="s">
        <v>273</v>
      </c>
      <c r="L136" s="11" t="s">
        <v>1195</v>
      </c>
      <c r="M136" s="11" t="s">
        <v>274</v>
      </c>
      <c r="N136" s="58">
        <v>480</v>
      </c>
      <c r="O136" s="59"/>
      <c r="P136" s="12" t="s">
        <v>281</v>
      </c>
      <c r="Q136" s="12" t="s">
        <v>12</v>
      </c>
      <c r="R136" s="12" t="s">
        <v>99</v>
      </c>
      <c r="S136" s="12" t="s">
        <v>99</v>
      </c>
      <c r="T136" s="12">
        <v>1</v>
      </c>
      <c r="U136" s="13"/>
      <c r="V136" s="12" t="s">
        <v>278</v>
      </c>
      <c r="W136" s="12" t="s">
        <v>92</v>
      </c>
      <c r="X136" s="12" t="s">
        <v>135</v>
      </c>
      <c r="Y136" s="13">
        <v>43556</v>
      </c>
      <c r="Z136" s="75"/>
    </row>
    <row r="137" spans="1:26" s="20" customFormat="1" hidden="1" x14ac:dyDescent="0.3">
      <c r="A137" s="12" t="s">
        <v>85</v>
      </c>
      <c r="B137" s="12">
        <v>6017</v>
      </c>
      <c r="C137" s="11" t="s">
        <v>100</v>
      </c>
      <c r="D137" s="12" t="s">
        <v>1</v>
      </c>
      <c r="E137" s="12" t="s">
        <v>1185</v>
      </c>
      <c r="F137" s="12" t="s">
        <v>87</v>
      </c>
      <c r="G137" s="12" t="s">
        <v>87</v>
      </c>
      <c r="H137" s="12" t="s">
        <v>101</v>
      </c>
      <c r="I137" s="12" t="s">
        <v>89</v>
      </c>
      <c r="J137" s="11" t="s">
        <v>1274</v>
      </c>
      <c r="K137" s="11" t="s">
        <v>273</v>
      </c>
      <c r="L137" s="11" t="s">
        <v>1195</v>
      </c>
      <c r="M137" s="11" t="s">
        <v>274</v>
      </c>
      <c r="N137" s="58">
        <v>480</v>
      </c>
      <c r="O137" s="59"/>
      <c r="P137" s="12" t="s">
        <v>282</v>
      </c>
      <c r="Q137" s="12" t="s">
        <v>12</v>
      </c>
      <c r="R137" s="12" t="s">
        <v>99</v>
      </c>
      <c r="S137" s="12" t="s">
        <v>99</v>
      </c>
      <c r="T137" s="12">
        <v>1</v>
      </c>
      <c r="U137" s="13"/>
      <c r="V137" s="12" t="s">
        <v>278</v>
      </c>
      <c r="W137" s="12" t="s">
        <v>92</v>
      </c>
      <c r="X137" s="12" t="s">
        <v>135</v>
      </c>
      <c r="Y137" s="13">
        <v>43556</v>
      </c>
      <c r="Z137" s="75"/>
    </row>
    <row r="138" spans="1:26" s="20" customFormat="1" hidden="1" x14ac:dyDescent="0.3">
      <c r="A138" s="12" t="s">
        <v>85</v>
      </c>
      <c r="B138" s="12">
        <v>6018</v>
      </c>
      <c r="C138" s="11" t="s">
        <v>100</v>
      </c>
      <c r="D138" s="12" t="s">
        <v>1</v>
      </c>
      <c r="E138" s="12" t="s">
        <v>1185</v>
      </c>
      <c r="F138" s="12" t="s">
        <v>87</v>
      </c>
      <c r="G138" s="12" t="s">
        <v>87</v>
      </c>
      <c r="H138" s="12" t="s">
        <v>101</v>
      </c>
      <c r="I138" s="12" t="s">
        <v>89</v>
      </c>
      <c r="J138" s="11" t="s">
        <v>1274</v>
      </c>
      <c r="K138" s="11" t="s">
        <v>273</v>
      </c>
      <c r="L138" s="11" t="s">
        <v>1195</v>
      </c>
      <c r="M138" s="11" t="s">
        <v>274</v>
      </c>
      <c r="N138" s="58">
        <v>480</v>
      </c>
      <c r="O138" s="59"/>
      <c r="P138" s="12" t="s">
        <v>283</v>
      </c>
      <c r="Q138" s="12" t="s">
        <v>12</v>
      </c>
      <c r="R138" s="12" t="s">
        <v>99</v>
      </c>
      <c r="S138" s="12" t="s">
        <v>99</v>
      </c>
      <c r="T138" s="12">
        <v>1</v>
      </c>
      <c r="U138" s="13"/>
      <c r="V138" s="12" t="s">
        <v>278</v>
      </c>
      <c r="W138" s="12" t="s">
        <v>92</v>
      </c>
      <c r="X138" s="12" t="s">
        <v>135</v>
      </c>
      <c r="Y138" s="13">
        <v>43556</v>
      </c>
      <c r="Z138" s="75"/>
    </row>
    <row r="139" spans="1:26" s="20" customFormat="1" hidden="1" x14ac:dyDescent="0.3">
      <c r="A139" s="12" t="s">
        <v>85</v>
      </c>
      <c r="B139" s="12">
        <v>6019</v>
      </c>
      <c r="C139" s="11" t="s">
        <v>100</v>
      </c>
      <c r="D139" s="12" t="s">
        <v>1</v>
      </c>
      <c r="E139" s="12" t="s">
        <v>1185</v>
      </c>
      <c r="F139" s="12" t="s">
        <v>87</v>
      </c>
      <c r="G139" s="12" t="s">
        <v>87</v>
      </c>
      <c r="H139" s="12" t="s">
        <v>101</v>
      </c>
      <c r="I139" s="12" t="s">
        <v>89</v>
      </c>
      <c r="J139" s="11" t="s">
        <v>1274</v>
      </c>
      <c r="K139" s="11" t="s">
        <v>273</v>
      </c>
      <c r="L139" s="11" t="s">
        <v>1195</v>
      </c>
      <c r="M139" s="11" t="s">
        <v>274</v>
      </c>
      <c r="N139" s="58">
        <v>480</v>
      </c>
      <c r="O139" s="59"/>
      <c r="P139" s="12" t="s">
        <v>284</v>
      </c>
      <c r="Q139" s="12" t="s">
        <v>12</v>
      </c>
      <c r="R139" s="12" t="s">
        <v>99</v>
      </c>
      <c r="S139" s="12" t="s">
        <v>99</v>
      </c>
      <c r="T139" s="12">
        <v>1</v>
      </c>
      <c r="U139" s="13"/>
      <c r="V139" s="12" t="s">
        <v>278</v>
      </c>
      <c r="W139" s="12" t="s">
        <v>92</v>
      </c>
      <c r="X139" s="12" t="s">
        <v>135</v>
      </c>
      <c r="Y139" s="13">
        <v>43556</v>
      </c>
      <c r="Z139" s="75"/>
    </row>
    <row r="140" spans="1:26" s="20" customFormat="1" hidden="1" x14ac:dyDescent="0.3">
      <c r="A140" s="12" t="s">
        <v>85</v>
      </c>
      <c r="B140" s="12">
        <v>6222</v>
      </c>
      <c r="C140" s="11" t="s">
        <v>100</v>
      </c>
      <c r="D140" s="12" t="s">
        <v>1</v>
      </c>
      <c r="E140" s="12" t="s">
        <v>1185</v>
      </c>
      <c r="F140" s="12" t="s">
        <v>87</v>
      </c>
      <c r="G140" s="12" t="s">
        <v>113</v>
      </c>
      <c r="H140" s="12" t="s">
        <v>101</v>
      </c>
      <c r="I140" s="12" t="s">
        <v>89</v>
      </c>
      <c r="J140" s="11" t="s">
        <v>102</v>
      </c>
      <c r="K140" s="11" t="s">
        <v>102</v>
      </c>
      <c r="L140" s="11" t="s">
        <v>1202</v>
      </c>
      <c r="M140" s="11" t="s">
        <v>103</v>
      </c>
      <c r="N140" s="57">
        <v>187334.81</v>
      </c>
      <c r="O140" s="59"/>
      <c r="P140" s="56">
        <v>670011735001000</v>
      </c>
      <c r="Q140" s="12" t="s">
        <v>12</v>
      </c>
      <c r="R140" s="12" t="s">
        <v>15</v>
      </c>
      <c r="S140" s="12" t="s">
        <v>92</v>
      </c>
      <c r="T140" s="12">
        <v>1</v>
      </c>
      <c r="U140" s="13"/>
      <c r="V140" s="12" t="s">
        <v>251</v>
      </c>
      <c r="W140" s="12" t="s">
        <v>92</v>
      </c>
      <c r="X140" s="12" t="s">
        <v>93</v>
      </c>
      <c r="Y140" s="13">
        <v>43678</v>
      </c>
      <c r="Z140" s="75"/>
    </row>
    <row r="141" spans="1:26" s="20" customFormat="1" hidden="1" x14ac:dyDescent="0.3">
      <c r="A141" s="12" t="s">
        <v>85</v>
      </c>
      <c r="B141" s="12">
        <v>6222</v>
      </c>
      <c r="C141" s="11" t="s">
        <v>100</v>
      </c>
      <c r="D141" s="12" t="s">
        <v>1</v>
      </c>
      <c r="E141" s="12" t="s">
        <v>1185</v>
      </c>
      <c r="F141" s="12" t="s">
        <v>87</v>
      </c>
      <c r="G141" s="12" t="s">
        <v>113</v>
      </c>
      <c r="H141" s="12" t="s">
        <v>101</v>
      </c>
      <c r="I141" s="12" t="s">
        <v>89</v>
      </c>
      <c r="J141" s="11" t="s">
        <v>102</v>
      </c>
      <c r="K141" s="11" t="s">
        <v>102</v>
      </c>
      <c r="L141" s="11" t="s">
        <v>1202</v>
      </c>
      <c r="M141" s="11" t="s">
        <v>103</v>
      </c>
      <c r="N141" s="57">
        <v>187334.81</v>
      </c>
      <c r="O141" s="59"/>
      <c r="P141" s="56">
        <v>670011735001000</v>
      </c>
      <c r="Q141" s="12" t="s">
        <v>4</v>
      </c>
      <c r="R141" s="12" t="s">
        <v>13</v>
      </c>
      <c r="S141" s="12" t="s">
        <v>34</v>
      </c>
      <c r="T141" s="12">
        <v>1</v>
      </c>
      <c r="U141" s="13">
        <v>43944</v>
      </c>
      <c r="V141" s="12" t="s">
        <v>252</v>
      </c>
      <c r="W141" s="12" t="s">
        <v>92</v>
      </c>
      <c r="X141" s="12" t="s">
        <v>93</v>
      </c>
      <c r="Y141" s="13"/>
      <c r="Z141" s="75"/>
    </row>
    <row r="142" spans="1:26" s="20" customFormat="1" hidden="1" x14ac:dyDescent="0.3">
      <c r="A142" s="12" t="s">
        <v>85</v>
      </c>
      <c r="B142" s="12">
        <v>6222</v>
      </c>
      <c r="C142" s="11" t="s">
        <v>100</v>
      </c>
      <c r="D142" s="12" t="s">
        <v>1</v>
      </c>
      <c r="E142" s="12" t="s">
        <v>1185</v>
      </c>
      <c r="F142" s="12" t="s">
        <v>87</v>
      </c>
      <c r="G142" s="12" t="s">
        <v>113</v>
      </c>
      <c r="H142" s="12" t="s">
        <v>101</v>
      </c>
      <c r="I142" s="12" t="s">
        <v>89</v>
      </c>
      <c r="J142" s="11" t="s">
        <v>102</v>
      </c>
      <c r="K142" s="11" t="s">
        <v>102</v>
      </c>
      <c r="L142" s="11" t="s">
        <v>1202</v>
      </c>
      <c r="M142" s="11" t="s">
        <v>103</v>
      </c>
      <c r="N142" s="57">
        <v>187334.81</v>
      </c>
      <c r="O142" s="59"/>
      <c r="P142" s="56">
        <v>670011735001000</v>
      </c>
      <c r="Q142" s="12" t="s">
        <v>4</v>
      </c>
      <c r="R142" s="12" t="s">
        <v>15</v>
      </c>
      <c r="S142" s="12" t="s">
        <v>19</v>
      </c>
      <c r="T142" s="12">
        <v>0</v>
      </c>
      <c r="U142" s="12"/>
      <c r="V142" s="12" t="s">
        <v>92</v>
      </c>
      <c r="W142" s="12" t="s">
        <v>92</v>
      </c>
      <c r="X142" s="12" t="s">
        <v>108</v>
      </c>
      <c r="Y142" s="13"/>
      <c r="Z142" s="75"/>
    </row>
    <row r="143" spans="1:26" s="20" customFormat="1" hidden="1" x14ac:dyDescent="0.3">
      <c r="A143" s="12" t="s">
        <v>85</v>
      </c>
      <c r="B143" s="12">
        <v>6222</v>
      </c>
      <c r="C143" s="11" t="s">
        <v>100</v>
      </c>
      <c r="D143" s="12" t="s">
        <v>1</v>
      </c>
      <c r="E143" s="12" t="s">
        <v>1185</v>
      </c>
      <c r="F143" s="12" t="s">
        <v>87</v>
      </c>
      <c r="G143" s="12" t="s">
        <v>113</v>
      </c>
      <c r="H143" s="12" t="s">
        <v>101</v>
      </c>
      <c r="I143" s="12" t="s">
        <v>89</v>
      </c>
      <c r="J143" s="11" t="s">
        <v>102</v>
      </c>
      <c r="K143" s="11" t="s">
        <v>102</v>
      </c>
      <c r="L143" s="11" t="s">
        <v>1202</v>
      </c>
      <c r="M143" s="11" t="s">
        <v>103</v>
      </c>
      <c r="N143" s="57">
        <v>187334.81</v>
      </c>
      <c r="O143" s="59"/>
      <c r="P143" s="56">
        <v>670011735001000</v>
      </c>
      <c r="Q143" s="12" t="s">
        <v>4</v>
      </c>
      <c r="R143" s="12" t="s">
        <v>15</v>
      </c>
      <c r="S143" s="12" t="s">
        <v>22</v>
      </c>
      <c r="T143" s="12">
        <v>1</v>
      </c>
      <c r="U143" s="13">
        <v>43997</v>
      </c>
      <c r="V143" s="12" t="s">
        <v>110</v>
      </c>
      <c r="W143" s="12" t="s">
        <v>92</v>
      </c>
      <c r="X143" s="12" t="s">
        <v>105</v>
      </c>
      <c r="Y143" s="13"/>
      <c r="Z143" s="75"/>
    </row>
    <row r="144" spans="1:26" s="20" customFormat="1" hidden="1" x14ac:dyDescent="0.3">
      <c r="A144" s="12" t="s">
        <v>85</v>
      </c>
      <c r="B144" s="12">
        <v>6222</v>
      </c>
      <c r="C144" s="11" t="s">
        <v>100</v>
      </c>
      <c r="D144" s="12" t="s">
        <v>1</v>
      </c>
      <c r="E144" s="12" t="s">
        <v>1185</v>
      </c>
      <c r="F144" s="12" t="s">
        <v>87</v>
      </c>
      <c r="G144" s="12" t="s">
        <v>113</v>
      </c>
      <c r="H144" s="12" t="s">
        <v>101</v>
      </c>
      <c r="I144" s="12" t="s">
        <v>89</v>
      </c>
      <c r="J144" s="11" t="s">
        <v>102</v>
      </c>
      <c r="K144" s="11" t="s">
        <v>102</v>
      </c>
      <c r="L144" s="11" t="s">
        <v>1202</v>
      </c>
      <c r="M144" s="11" t="s">
        <v>103</v>
      </c>
      <c r="N144" s="57">
        <v>187334.81</v>
      </c>
      <c r="O144" s="59"/>
      <c r="P144" s="56">
        <v>670011735001000</v>
      </c>
      <c r="Q144" s="12" t="s">
        <v>4</v>
      </c>
      <c r="R144" s="12" t="s">
        <v>15</v>
      </c>
      <c r="S144" s="12" t="s">
        <v>22</v>
      </c>
      <c r="T144" s="12">
        <v>1</v>
      </c>
      <c r="U144" s="13">
        <v>44027</v>
      </c>
      <c r="V144" s="12" t="s">
        <v>111</v>
      </c>
      <c r="W144" s="12" t="s">
        <v>92</v>
      </c>
      <c r="X144" s="12" t="s">
        <v>105</v>
      </c>
      <c r="Y144" s="13"/>
      <c r="Z144" s="75"/>
    </row>
    <row r="145" spans="1:26" s="20" customFormat="1" hidden="1" x14ac:dyDescent="0.3">
      <c r="A145" s="12" t="s">
        <v>85</v>
      </c>
      <c r="B145" s="12">
        <v>6222</v>
      </c>
      <c r="C145" s="11" t="s">
        <v>100</v>
      </c>
      <c r="D145" s="12" t="s">
        <v>1</v>
      </c>
      <c r="E145" s="12" t="s">
        <v>1185</v>
      </c>
      <c r="F145" s="12" t="s">
        <v>87</v>
      </c>
      <c r="G145" s="12" t="s">
        <v>113</v>
      </c>
      <c r="H145" s="12" t="s">
        <v>101</v>
      </c>
      <c r="I145" s="12" t="s">
        <v>89</v>
      </c>
      <c r="J145" s="11" t="s">
        <v>102</v>
      </c>
      <c r="K145" s="11" t="s">
        <v>102</v>
      </c>
      <c r="L145" s="11" t="s">
        <v>1202</v>
      </c>
      <c r="M145" s="11" t="s">
        <v>103</v>
      </c>
      <c r="N145" s="57">
        <v>187334.81</v>
      </c>
      <c r="O145" s="59"/>
      <c r="P145" s="56">
        <v>670011735001000</v>
      </c>
      <c r="Q145" s="12" t="s">
        <v>4</v>
      </c>
      <c r="R145" s="12" t="s">
        <v>13</v>
      </c>
      <c r="S145" s="12" t="s">
        <v>34</v>
      </c>
      <c r="T145" s="12">
        <v>1</v>
      </c>
      <c r="U145" s="13">
        <v>44028</v>
      </c>
      <c r="V145" s="12" t="s">
        <v>94</v>
      </c>
      <c r="W145" s="12" t="s">
        <v>92</v>
      </c>
      <c r="X145" s="12" t="s">
        <v>93</v>
      </c>
      <c r="Y145" s="13"/>
      <c r="Z145" s="75"/>
    </row>
    <row r="146" spans="1:26" s="20" customFormat="1" hidden="1" x14ac:dyDescent="0.3">
      <c r="A146" s="12" t="s">
        <v>85</v>
      </c>
      <c r="B146" s="12">
        <v>6234</v>
      </c>
      <c r="C146" s="11" t="s">
        <v>285</v>
      </c>
      <c r="D146" s="12" t="s">
        <v>1</v>
      </c>
      <c r="E146" s="12" t="s">
        <v>1185</v>
      </c>
      <c r="F146" s="12" t="s">
        <v>87</v>
      </c>
      <c r="G146" s="12" t="s">
        <v>87</v>
      </c>
      <c r="H146" s="12" t="s">
        <v>286</v>
      </c>
      <c r="I146" s="12" t="s">
        <v>125</v>
      </c>
      <c r="J146" s="11" t="s">
        <v>287</v>
      </c>
      <c r="K146" s="11" t="s">
        <v>287</v>
      </c>
      <c r="L146" s="11" t="s">
        <v>1194</v>
      </c>
      <c r="M146" s="11" t="s">
        <v>288</v>
      </c>
      <c r="N146" s="58">
        <v>420</v>
      </c>
      <c r="O146" s="59"/>
      <c r="P146" s="12">
        <v>36025009000</v>
      </c>
      <c r="Q146" s="12" t="s">
        <v>12</v>
      </c>
      <c r="R146" s="12" t="s">
        <v>99</v>
      </c>
      <c r="S146" s="12" t="s">
        <v>99</v>
      </c>
      <c r="T146" s="12">
        <v>0</v>
      </c>
      <c r="U146" s="13"/>
      <c r="V146" s="12" t="s">
        <v>92</v>
      </c>
      <c r="W146" s="12" t="s">
        <v>92</v>
      </c>
      <c r="X146" s="12" t="s">
        <v>135</v>
      </c>
      <c r="Y146" s="13"/>
      <c r="Z146" s="75"/>
    </row>
    <row r="147" spans="1:26" s="20" customFormat="1" hidden="1" x14ac:dyDescent="0.3">
      <c r="A147" s="12" t="s">
        <v>85</v>
      </c>
      <c r="B147" s="12">
        <v>6303</v>
      </c>
      <c r="C147" s="11" t="s">
        <v>130</v>
      </c>
      <c r="D147" s="12" t="s">
        <v>1</v>
      </c>
      <c r="E147" s="12" t="s">
        <v>1185</v>
      </c>
      <c r="F147" s="12" t="s">
        <v>87</v>
      </c>
      <c r="G147" s="12" t="s">
        <v>87</v>
      </c>
      <c r="H147" s="12" t="s">
        <v>96</v>
      </c>
      <c r="I147" s="12" t="s">
        <v>89</v>
      </c>
      <c r="J147" s="11" t="s">
        <v>205</v>
      </c>
      <c r="K147" s="11" t="s">
        <v>205</v>
      </c>
      <c r="L147" s="11" t="s">
        <v>1212</v>
      </c>
      <c r="M147" s="11" t="s">
        <v>206</v>
      </c>
      <c r="N147" s="58">
        <v>780</v>
      </c>
      <c r="O147" s="59"/>
      <c r="P147" s="12" t="s">
        <v>290</v>
      </c>
      <c r="Q147" s="12" t="s">
        <v>4</v>
      </c>
      <c r="R147" s="12" t="s">
        <v>13</v>
      </c>
      <c r="S147" s="12" t="s">
        <v>25</v>
      </c>
      <c r="T147" s="12">
        <v>1</v>
      </c>
      <c r="U147" s="13">
        <v>44028</v>
      </c>
      <c r="V147" s="12" t="s">
        <v>94</v>
      </c>
      <c r="W147" s="12" t="s">
        <v>92</v>
      </c>
      <c r="X147" s="12" t="s">
        <v>93</v>
      </c>
      <c r="Y147" s="13"/>
      <c r="Z147" s="75"/>
    </row>
    <row r="148" spans="1:26" s="20" customFormat="1" hidden="1" x14ac:dyDescent="0.3">
      <c r="A148" s="12" t="s">
        <v>85</v>
      </c>
      <c r="B148" s="12">
        <v>6360</v>
      </c>
      <c r="C148" s="11" t="s">
        <v>95</v>
      </c>
      <c r="D148" s="12" t="s">
        <v>1</v>
      </c>
      <c r="E148" s="12" t="s">
        <v>1185</v>
      </c>
      <c r="F148" s="12" t="s">
        <v>87</v>
      </c>
      <c r="G148" s="12" t="s">
        <v>87</v>
      </c>
      <c r="H148" s="12" t="s">
        <v>96</v>
      </c>
      <c r="I148" s="12" t="s">
        <v>89</v>
      </c>
      <c r="J148" s="11" t="s">
        <v>1201</v>
      </c>
      <c r="K148" s="11" t="s">
        <v>1201</v>
      </c>
      <c r="L148" s="11" t="s">
        <v>1195</v>
      </c>
      <c r="M148" s="11" t="s">
        <v>292</v>
      </c>
      <c r="N148" s="58">
        <v>626.13</v>
      </c>
      <c r="O148" s="59"/>
      <c r="P148" s="12"/>
      <c r="Q148" s="12" t="s">
        <v>12</v>
      </c>
      <c r="R148" s="12" t="s">
        <v>99</v>
      </c>
      <c r="S148" s="12" t="s">
        <v>99</v>
      </c>
      <c r="T148" s="12">
        <v>1</v>
      </c>
      <c r="U148" s="13"/>
      <c r="V148" s="12" t="s">
        <v>164</v>
      </c>
      <c r="W148" s="12" t="s">
        <v>92</v>
      </c>
      <c r="X148" s="12" t="s">
        <v>93</v>
      </c>
      <c r="Y148" s="13">
        <v>43880</v>
      </c>
      <c r="Z148" s="75"/>
    </row>
    <row r="149" spans="1:26" s="20" customFormat="1" hidden="1" x14ac:dyDescent="0.3">
      <c r="A149" s="12" t="s">
        <v>85</v>
      </c>
      <c r="B149" s="12">
        <v>6687</v>
      </c>
      <c r="C149" s="11" t="s">
        <v>100</v>
      </c>
      <c r="D149" s="12" t="s">
        <v>1</v>
      </c>
      <c r="E149" s="12" t="s">
        <v>1185</v>
      </c>
      <c r="F149" s="12" t="s">
        <v>87</v>
      </c>
      <c r="G149" s="12" t="s">
        <v>113</v>
      </c>
      <c r="H149" s="12" t="s">
        <v>101</v>
      </c>
      <c r="I149" s="12" t="s">
        <v>89</v>
      </c>
      <c r="J149" s="11" t="s">
        <v>102</v>
      </c>
      <c r="K149" s="11" t="s">
        <v>102</v>
      </c>
      <c r="L149" s="11" t="s">
        <v>1202</v>
      </c>
      <c r="M149" s="11" t="s">
        <v>103</v>
      </c>
      <c r="N149" s="57">
        <v>187685.22</v>
      </c>
      <c r="O149" s="59"/>
      <c r="P149" s="56">
        <v>670012069001001</v>
      </c>
      <c r="Q149" s="12" t="s">
        <v>12</v>
      </c>
      <c r="R149" s="12" t="s">
        <v>15</v>
      </c>
      <c r="S149" s="12" t="s">
        <v>92</v>
      </c>
      <c r="T149" s="12">
        <v>1</v>
      </c>
      <c r="U149" s="13"/>
      <c r="V149" s="12" t="s">
        <v>251</v>
      </c>
      <c r="W149" s="12" t="s">
        <v>92</v>
      </c>
      <c r="X149" s="12" t="s">
        <v>93</v>
      </c>
      <c r="Y149" s="13">
        <v>43678</v>
      </c>
      <c r="Z149" s="75"/>
    </row>
    <row r="150" spans="1:26" s="20" customFormat="1" hidden="1" x14ac:dyDescent="0.3">
      <c r="A150" s="12" t="s">
        <v>85</v>
      </c>
      <c r="B150" s="12">
        <v>6687</v>
      </c>
      <c r="C150" s="11" t="s">
        <v>100</v>
      </c>
      <c r="D150" s="12" t="s">
        <v>1</v>
      </c>
      <c r="E150" s="12" t="s">
        <v>1185</v>
      </c>
      <c r="F150" s="12" t="s">
        <v>87</v>
      </c>
      <c r="G150" s="12" t="s">
        <v>113</v>
      </c>
      <c r="H150" s="12" t="s">
        <v>101</v>
      </c>
      <c r="I150" s="12" t="s">
        <v>89</v>
      </c>
      <c r="J150" s="11" t="s">
        <v>102</v>
      </c>
      <c r="K150" s="11" t="s">
        <v>102</v>
      </c>
      <c r="L150" s="11" t="s">
        <v>1202</v>
      </c>
      <c r="M150" s="11" t="s">
        <v>103</v>
      </c>
      <c r="N150" s="57">
        <v>187685.22</v>
      </c>
      <c r="O150" s="59"/>
      <c r="P150" s="56">
        <v>670012069001001</v>
      </c>
      <c r="Q150" s="12" t="s">
        <v>4</v>
      </c>
      <c r="R150" s="12" t="s">
        <v>13</v>
      </c>
      <c r="S150" s="12" t="s">
        <v>34</v>
      </c>
      <c r="T150" s="12">
        <v>1</v>
      </c>
      <c r="U150" s="13">
        <v>43944</v>
      </c>
      <c r="V150" s="12" t="s">
        <v>252</v>
      </c>
      <c r="W150" s="12" t="s">
        <v>92</v>
      </c>
      <c r="X150" s="12" t="s">
        <v>93</v>
      </c>
      <c r="Y150" s="13"/>
      <c r="Z150" s="75"/>
    </row>
    <row r="151" spans="1:26" s="20" customFormat="1" hidden="1" x14ac:dyDescent="0.3">
      <c r="A151" s="12" t="s">
        <v>85</v>
      </c>
      <c r="B151" s="12">
        <v>6687</v>
      </c>
      <c r="C151" s="11" t="s">
        <v>100</v>
      </c>
      <c r="D151" s="12" t="s">
        <v>1</v>
      </c>
      <c r="E151" s="12" t="s">
        <v>1185</v>
      </c>
      <c r="F151" s="12" t="s">
        <v>87</v>
      </c>
      <c r="G151" s="12" t="s">
        <v>113</v>
      </c>
      <c r="H151" s="12" t="s">
        <v>101</v>
      </c>
      <c r="I151" s="12" t="s">
        <v>89</v>
      </c>
      <c r="J151" s="11" t="s">
        <v>102</v>
      </c>
      <c r="K151" s="11" t="s">
        <v>102</v>
      </c>
      <c r="L151" s="11" t="s">
        <v>1202</v>
      </c>
      <c r="M151" s="11" t="s">
        <v>103</v>
      </c>
      <c r="N151" s="57">
        <v>187685.22</v>
      </c>
      <c r="O151" s="59"/>
      <c r="P151" s="56">
        <v>670012069001001</v>
      </c>
      <c r="Q151" s="12" t="s">
        <v>4</v>
      </c>
      <c r="R151" s="12" t="s">
        <v>15</v>
      </c>
      <c r="S151" s="12" t="s">
        <v>19</v>
      </c>
      <c r="T151" s="12">
        <v>0</v>
      </c>
      <c r="U151" s="18"/>
      <c r="V151" s="12" t="s">
        <v>92</v>
      </c>
      <c r="W151" s="12" t="s">
        <v>92</v>
      </c>
      <c r="X151" s="12" t="s">
        <v>108</v>
      </c>
      <c r="Y151" s="13"/>
      <c r="Z151" s="75"/>
    </row>
    <row r="152" spans="1:26" s="20" customFormat="1" hidden="1" x14ac:dyDescent="0.3">
      <c r="A152" s="12" t="s">
        <v>85</v>
      </c>
      <c r="B152" s="12">
        <v>6687</v>
      </c>
      <c r="C152" s="11" t="s">
        <v>100</v>
      </c>
      <c r="D152" s="12" t="s">
        <v>1</v>
      </c>
      <c r="E152" s="12" t="s">
        <v>1185</v>
      </c>
      <c r="F152" s="12" t="s">
        <v>87</v>
      </c>
      <c r="G152" s="12" t="s">
        <v>113</v>
      </c>
      <c r="H152" s="12" t="s">
        <v>101</v>
      </c>
      <c r="I152" s="12" t="s">
        <v>89</v>
      </c>
      <c r="J152" s="11" t="s">
        <v>102</v>
      </c>
      <c r="K152" s="11" t="s">
        <v>102</v>
      </c>
      <c r="L152" s="11" t="s">
        <v>1202</v>
      </c>
      <c r="M152" s="11" t="s">
        <v>103</v>
      </c>
      <c r="N152" s="57">
        <v>187685.22</v>
      </c>
      <c r="O152" s="59"/>
      <c r="P152" s="56">
        <v>670012069001001</v>
      </c>
      <c r="Q152" s="12" t="s">
        <v>4</v>
      </c>
      <c r="R152" s="12" t="s">
        <v>15</v>
      </c>
      <c r="S152" s="12" t="s">
        <v>22</v>
      </c>
      <c r="T152" s="12">
        <v>1</v>
      </c>
      <c r="U152" s="13">
        <v>43997</v>
      </c>
      <c r="V152" s="12" t="s">
        <v>110</v>
      </c>
      <c r="W152" s="12" t="s">
        <v>92</v>
      </c>
      <c r="X152" s="12" t="s">
        <v>105</v>
      </c>
      <c r="Y152" s="13"/>
      <c r="Z152" s="75"/>
    </row>
    <row r="153" spans="1:26" s="20" customFormat="1" hidden="1" x14ac:dyDescent="0.3">
      <c r="A153" s="12" t="s">
        <v>85</v>
      </c>
      <c r="B153" s="12">
        <v>6687</v>
      </c>
      <c r="C153" s="11" t="s">
        <v>100</v>
      </c>
      <c r="D153" s="12" t="s">
        <v>1</v>
      </c>
      <c r="E153" s="12" t="s">
        <v>1185</v>
      </c>
      <c r="F153" s="12" t="s">
        <v>87</v>
      </c>
      <c r="G153" s="12" t="s">
        <v>113</v>
      </c>
      <c r="H153" s="12" t="s">
        <v>101</v>
      </c>
      <c r="I153" s="12" t="s">
        <v>89</v>
      </c>
      <c r="J153" s="11" t="s">
        <v>102</v>
      </c>
      <c r="K153" s="11" t="s">
        <v>102</v>
      </c>
      <c r="L153" s="11" t="s">
        <v>1202</v>
      </c>
      <c r="M153" s="11" t="s">
        <v>103</v>
      </c>
      <c r="N153" s="57">
        <v>187685.22</v>
      </c>
      <c r="O153" s="59"/>
      <c r="P153" s="56">
        <v>670012069001001</v>
      </c>
      <c r="Q153" s="12" t="s">
        <v>4</v>
      </c>
      <c r="R153" s="12" t="s">
        <v>15</v>
      </c>
      <c r="S153" s="12" t="s">
        <v>22</v>
      </c>
      <c r="T153" s="12">
        <v>1</v>
      </c>
      <c r="U153" s="13">
        <v>44027</v>
      </c>
      <c r="V153" s="12" t="s">
        <v>111</v>
      </c>
      <c r="W153" s="12" t="s">
        <v>92</v>
      </c>
      <c r="X153" s="12" t="s">
        <v>105</v>
      </c>
      <c r="Y153" s="13"/>
      <c r="Z153" s="75"/>
    </row>
    <row r="154" spans="1:26" s="20" customFormat="1" hidden="1" x14ac:dyDescent="0.3">
      <c r="A154" s="12" t="s">
        <v>85</v>
      </c>
      <c r="B154" s="12">
        <v>6687</v>
      </c>
      <c r="C154" s="11" t="s">
        <v>100</v>
      </c>
      <c r="D154" s="12" t="s">
        <v>1</v>
      </c>
      <c r="E154" s="12" t="s">
        <v>1185</v>
      </c>
      <c r="F154" s="12" t="s">
        <v>87</v>
      </c>
      <c r="G154" s="12" t="s">
        <v>113</v>
      </c>
      <c r="H154" s="12" t="s">
        <v>101</v>
      </c>
      <c r="I154" s="12" t="s">
        <v>89</v>
      </c>
      <c r="J154" s="11" t="s">
        <v>102</v>
      </c>
      <c r="K154" s="11" t="s">
        <v>102</v>
      </c>
      <c r="L154" s="11" t="s">
        <v>1202</v>
      </c>
      <c r="M154" s="11" t="s">
        <v>103</v>
      </c>
      <c r="N154" s="57">
        <v>187685.22</v>
      </c>
      <c r="O154" s="59"/>
      <c r="P154" s="56">
        <v>670012069001001</v>
      </c>
      <c r="Q154" s="12" t="s">
        <v>4</v>
      </c>
      <c r="R154" s="12" t="s">
        <v>13</v>
      </c>
      <c r="S154" s="12" t="s">
        <v>34</v>
      </c>
      <c r="T154" s="12">
        <v>1</v>
      </c>
      <c r="U154" s="13">
        <v>44028</v>
      </c>
      <c r="V154" s="12" t="s">
        <v>94</v>
      </c>
      <c r="W154" s="12" t="s">
        <v>92</v>
      </c>
      <c r="X154" s="12" t="s">
        <v>93</v>
      </c>
      <c r="Y154" s="13"/>
      <c r="Z154" s="75"/>
    </row>
    <row r="155" spans="1:26" s="20" customFormat="1" hidden="1" x14ac:dyDescent="0.3">
      <c r="A155" s="12" t="s">
        <v>85</v>
      </c>
      <c r="B155" s="12">
        <v>6688</v>
      </c>
      <c r="C155" s="11" t="s">
        <v>100</v>
      </c>
      <c r="D155" s="12" t="s">
        <v>1</v>
      </c>
      <c r="E155" s="12" t="s">
        <v>1185</v>
      </c>
      <c r="F155" s="12" t="s">
        <v>87</v>
      </c>
      <c r="G155" s="12" t="s">
        <v>113</v>
      </c>
      <c r="H155" s="12" t="s">
        <v>101</v>
      </c>
      <c r="I155" s="12" t="s">
        <v>89</v>
      </c>
      <c r="J155" s="11" t="s">
        <v>102</v>
      </c>
      <c r="K155" s="11" t="s">
        <v>102</v>
      </c>
      <c r="L155" s="11" t="s">
        <v>1202</v>
      </c>
      <c r="M155" s="11" t="s">
        <v>103</v>
      </c>
      <c r="N155" s="57">
        <v>48400</v>
      </c>
      <c r="O155" s="59"/>
      <c r="P155" s="12">
        <v>0</v>
      </c>
      <c r="Q155" s="12" t="s">
        <v>12</v>
      </c>
      <c r="R155" s="12" t="s">
        <v>15</v>
      </c>
      <c r="S155" s="12" t="s">
        <v>92</v>
      </c>
      <c r="T155" s="12">
        <v>1</v>
      </c>
      <c r="U155" s="13"/>
      <c r="V155" s="12" t="s">
        <v>251</v>
      </c>
      <c r="W155" s="12" t="s">
        <v>92</v>
      </c>
      <c r="X155" s="12" t="s">
        <v>93</v>
      </c>
      <c r="Y155" s="13">
        <v>43678</v>
      </c>
      <c r="Z155" s="75"/>
    </row>
    <row r="156" spans="1:26" s="20" customFormat="1" hidden="1" x14ac:dyDescent="0.3">
      <c r="A156" s="12" t="s">
        <v>85</v>
      </c>
      <c r="B156" s="12">
        <v>6688</v>
      </c>
      <c r="C156" s="11" t="s">
        <v>100</v>
      </c>
      <c r="D156" s="12" t="s">
        <v>1</v>
      </c>
      <c r="E156" s="12" t="s">
        <v>1185</v>
      </c>
      <c r="F156" s="12" t="s">
        <v>87</v>
      </c>
      <c r="G156" s="12" t="s">
        <v>113</v>
      </c>
      <c r="H156" s="12" t="s">
        <v>101</v>
      </c>
      <c r="I156" s="12" t="s">
        <v>89</v>
      </c>
      <c r="J156" s="11" t="s">
        <v>102</v>
      </c>
      <c r="K156" s="11" t="s">
        <v>102</v>
      </c>
      <c r="L156" s="11" t="s">
        <v>1202</v>
      </c>
      <c r="M156" s="11" t="s">
        <v>103</v>
      </c>
      <c r="N156" s="57">
        <v>48400</v>
      </c>
      <c r="O156" s="59"/>
      <c r="P156" s="12">
        <v>0</v>
      </c>
      <c r="Q156" s="12" t="s">
        <v>4</v>
      </c>
      <c r="R156" s="12" t="s">
        <v>13</v>
      </c>
      <c r="S156" s="12" t="s">
        <v>34</v>
      </c>
      <c r="T156" s="12">
        <v>1</v>
      </c>
      <c r="U156" s="13">
        <v>43944</v>
      </c>
      <c r="V156" s="12" t="s">
        <v>252</v>
      </c>
      <c r="W156" s="12" t="s">
        <v>92</v>
      </c>
      <c r="X156" s="12" t="s">
        <v>93</v>
      </c>
      <c r="Y156" s="13"/>
      <c r="Z156" s="75"/>
    </row>
    <row r="157" spans="1:26" s="20" customFormat="1" hidden="1" x14ac:dyDescent="0.3">
      <c r="A157" s="12" t="s">
        <v>85</v>
      </c>
      <c r="B157" s="12">
        <v>6688</v>
      </c>
      <c r="C157" s="11" t="s">
        <v>100</v>
      </c>
      <c r="D157" s="12" t="s">
        <v>1</v>
      </c>
      <c r="E157" s="12" t="s">
        <v>1185</v>
      </c>
      <c r="F157" s="12" t="s">
        <v>87</v>
      </c>
      <c r="G157" s="12" t="s">
        <v>113</v>
      </c>
      <c r="H157" s="12" t="s">
        <v>101</v>
      </c>
      <c r="I157" s="12" t="s">
        <v>89</v>
      </c>
      <c r="J157" s="11" t="s">
        <v>102</v>
      </c>
      <c r="K157" s="11" t="s">
        <v>102</v>
      </c>
      <c r="L157" s="11" t="s">
        <v>1202</v>
      </c>
      <c r="M157" s="11" t="s">
        <v>103</v>
      </c>
      <c r="N157" s="57">
        <v>48400</v>
      </c>
      <c r="O157" s="59"/>
      <c r="P157" s="12">
        <v>0</v>
      </c>
      <c r="Q157" s="12" t="s">
        <v>4</v>
      </c>
      <c r="R157" s="12" t="s">
        <v>15</v>
      </c>
      <c r="S157" s="12" t="s">
        <v>19</v>
      </c>
      <c r="T157" s="12">
        <v>0</v>
      </c>
      <c r="U157" s="12"/>
      <c r="V157" s="12" t="s">
        <v>92</v>
      </c>
      <c r="W157" s="12" t="s">
        <v>92</v>
      </c>
      <c r="X157" s="12" t="s">
        <v>108</v>
      </c>
      <c r="Y157" s="13"/>
      <c r="Z157" s="75"/>
    </row>
    <row r="158" spans="1:26" s="20" customFormat="1" hidden="1" x14ac:dyDescent="0.3">
      <c r="A158" s="12" t="s">
        <v>85</v>
      </c>
      <c r="B158" s="12">
        <v>6688</v>
      </c>
      <c r="C158" s="11" t="s">
        <v>100</v>
      </c>
      <c r="D158" s="12" t="s">
        <v>1</v>
      </c>
      <c r="E158" s="12" t="s">
        <v>1185</v>
      </c>
      <c r="F158" s="12" t="s">
        <v>87</v>
      </c>
      <c r="G158" s="12" t="s">
        <v>113</v>
      </c>
      <c r="H158" s="12" t="s">
        <v>101</v>
      </c>
      <c r="I158" s="12" t="s">
        <v>89</v>
      </c>
      <c r="J158" s="11" t="s">
        <v>102</v>
      </c>
      <c r="K158" s="11" t="s">
        <v>102</v>
      </c>
      <c r="L158" s="11" t="s">
        <v>1202</v>
      </c>
      <c r="M158" s="11" t="s">
        <v>103</v>
      </c>
      <c r="N158" s="57">
        <v>48400</v>
      </c>
      <c r="O158" s="59"/>
      <c r="P158" s="12">
        <v>0</v>
      </c>
      <c r="Q158" s="12" t="s">
        <v>4</v>
      </c>
      <c r="R158" s="12" t="s">
        <v>15</v>
      </c>
      <c r="S158" s="12" t="s">
        <v>22</v>
      </c>
      <c r="T158" s="12">
        <v>1</v>
      </c>
      <c r="U158" s="13">
        <v>43997</v>
      </c>
      <c r="V158" s="12" t="s">
        <v>110</v>
      </c>
      <c r="W158" s="12" t="s">
        <v>92</v>
      </c>
      <c r="X158" s="12" t="s">
        <v>105</v>
      </c>
      <c r="Y158" s="13"/>
      <c r="Z158" s="75"/>
    </row>
    <row r="159" spans="1:26" s="20" customFormat="1" hidden="1" x14ac:dyDescent="0.3">
      <c r="A159" s="12" t="s">
        <v>85</v>
      </c>
      <c r="B159" s="12">
        <v>6688</v>
      </c>
      <c r="C159" s="11" t="s">
        <v>100</v>
      </c>
      <c r="D159" s="12" t="s">
        <v>1</v>
      </c>
      <c r="E159" s="12" t="s">
        <v>1185</v>
      </c>
      <c r="F159" s="12" t="s">
        <v>87</v>
      </c>
      <c r="G159" s="12" t="s">
        <v>113</v>
      </c>
      <c r="H159" s="12" t="s">
        <v>101</v>
      </c>
      <c r="I159" s="12" t="s">
        <v>89</v>
      </c>
      <c r="J159" s="11" t="s">
        <v>102</v>
      </c>
      <c r="K159" s="11" t="s">
        <v>102</v>
      </c>
      <c r="L159" s="11" t="s">
        <v>1202</v>
      </c>
      <c r="M159" s="11" t="s">
        <v>103</v>
      </c>
      <c r="N159" s="57">
        <v>48400</v>
      </c>
      <c r="O159" s="59"/>
      <c r="P159" s="12">
        <v>0</v>
      </c>
      <c r="Q159" s="12" t="s">
        <v>4</v>
      </c>
      <c r="R159" s="12" t="s">
        <v>15</v>
      </c>
      <c r="S159" s="12" t="s">
        <v>22</v>
      </c>
      <c r="T159" s="12">
        <v>1</v>
      </c>
      <c r="U159" s="13">
        <v>44027</v>
      </c>
      <c r="V159" s="12" t="s">
        <v>111</v>
      </c>
      <c r="W159" s="12" t="s">
        <v>92</v>
      </c>
      <c r="X159" s="12" t="s">
        <v>105</v>
      </c>
      <c r="Y159" s="13"/>
      <c r="Z159" s="75"/>
    </row>
    <row r="160" spans="1:26" s="20" customFormat="1" hidden="1" x14ac:dyDescent="0.3">
      <c r="A160" s="12" t="s">
        <v>85</v>
      </c>
      <c r="B160" s="12">
        <v>6688</v>
      </c>
      <c r="C160" s="11" t="s">
        <v>100</v>
      </c>
      <c r="D160" s="12" t="s">
        <v>1</v>
      </c>
      <c r="E160" s="12" t="s">
        <v>1185</v>
      </c>
      <c r="F160" s="12" t="s">
        <v>87</v>
      </c>
      <c r="G160" s="12" t="s">
        <v>113</v>
      </c>
      <c r="H160" s="12" t="s">
        <v>101</v>
      </c>
      <c r="I160" s="12" t="s">
        <v>89</v>
      </c>
      <c r="J160" s="11" t="s">
        <v>102</v>
      </c>
      <c r="K160" s="11" t="s">
        <v>102</v>
      </c>
      <c r="L160" s="11" t="s">
        <v>1202</v>
      </c>
      <c r="M160" s="11" t="s">
        <v>103</v>
      </c>
      <c r="N160" s="57">
        <v>48400</v>
      </c>
      <c r="O160" s="59"/>
      <c r="P160" s="12">
        <v>0</v>
      </c>
      <c r="Q160" s="12" t="s">
        <v>4</v>
      </c>
      <c r="R160" s="12" t="s">
        <v>13</v>
      </c>
      <c r="S160" s="12" t="s">
        <v>34</v>
      </c>
      <c r="T160" s="12">
        <v>1</v>
      </c>
      <c r="U160" s="13">
        <v>44028</v>
      </c>
      <c r="V160" s="12" t="s">
        <v>94</v>
      </c>
      <c r="W160" s="12" t="s">
        <v>92</v>
      </c>
      <c r="X160" s="12" t="s">
        <v>93</v>
      </c>
      <c r="Y160" s="13"/>
      <c r="Z160" s="75"/>
    </row>
    <row r="161" spans="1:26" s="20" customFormat="1" hidden="1" x14ac:dyDescent="0.3">
      <c r="A161" s="12" t="s">
        <v>85</v>
      </c>
      <c r="B161" s="12">
        <v>6689</v>
      </c>
      <c r="C161" s="11" t="s">
        <v>100</v>
      </c>
      <c r="D161" s="12" t="s">
        <v>1</v>
      </c>
      <c r="E161" s="12" t="s">
        <v>1185</v>
      </c>
      <c r="F161" s="12" t="s">
        <v>87</v>
      </c>
      <c r="G161" s="12" t="s">
        <v>113</v>
      </c>
      <c r="H161" s="12" t="s">
        <v>101</v>
      </c>
      <c r="I161" s="12" t="s">
        <v>89</v>
      </c>
      <c r="J161" s="11" t="s">
        <v>102</v>
      </c>
      <c r="K161" s="11" t="s">
        <v>102</v>
      </c>
      <c r="L161" s="11" t="s">
        <v>1219</v>
      </c>
      <c r="M161" s="11" t="s">
        <v>103</v>
      </c>
      <c r="N161" s="57">
        <v>828850</v>
      </c>
      <c r="O161" s="59"/>
      <c r="P161" s="12">
        <v>0</v>
      </c>
      <c r="Q161" s="12" t="s">
        <v>12</v>
      </c>
      <c r="R161" s="12" t="s">
        <v>15</v>
      </c>
      <c r="S161" s="12" t="s">
        <v>92</v>
      </c>
      <c r="T161" s="12">
        <v>1</v>
      </c>
      <c r="U161" s="13"/>
      <c r="V161" s="12" t="s">
        <v>251</v>
      </c>
      <c r="W161" s="12" t="s">
        <v>92</v>
      </c>
      <c r="X161" s="12" t="s">
        <v>93</v>
      </c>
      <c r="Y161" s="13">
        <v>43647</v>
      </c>
      <c r="Z161" s="75"/>
    </row>
    <row r="162" spans="1:26" s="20" customFormat="1" hidden="1" x14ac:dyDescent="0.3">
      <c r="A162" s="12" t="s">
        <v>85</v>
      </c>
      <c r="B162" s="12">
        <v>6689</v>
      </c>
      <c r="C162" s="11" t="s">
        <v>100</v>
      </c>
      <c r="D162" s="12" t="s">
        <v>1</v>
      </c>
      <c r="E162" s="12" t="s">
        <v>1185</v>
      </c>
      <c r="F162" s="12" t="s">
        <v>87</v>
      </c>
      <c r="G162" s="12" t="s">
        <v>113</v>
      </c>
      <c r="H162" s="12" t="s">
        <v>101</v>
      </c>
      <c r="I162" s="12" t="s">
        <v>89</v>
      </c>
      <c r="J162" s="11" t="s">
        <v>102</v>
      </c>
      <c r="K162" s="11" t="s">
        <v>102</v>
      </c>
      <c r="L162" s="11" t="s">
        <v>1219</v>
      </c>
      <c r="M162" s="11" t="s">
        <v>103</v>
      </c>
      <c r="N162" s="57">
        <v>828850</v>
      </c>
      <c r="O162" s="59"/>
      <c r="P162" s="12">
        <v>0</v>
      </c>
      <c r="Q162" s="12" t="s">
        <v>4</v>
      </c>
      <c r="R162" s="12" t="s">
        <v>15</v>
      </c>
      <c r="S162" s="12" t="s">
        <v>19</v>
      </c>
      <c r="T162" s="12">
        <v>0</v>
      </c>
      <c r="U162" s="13">
        <v>44362</v>
      </c>
      <c r="V162" s="12" t="s">
        <v>1189</v>
      </c>
      <c r="W162" s="12" t="s">
        <v>92</v>
      </c>
      <c r="X162" s="12" t="s">
        <v>108</v>
      </c>
      <c r="Y162" s="13">
        <v>44362</v>
      </c>
      <c r="Z162" s="75"/>
    </row>
    <row r="163" spans="1:26" s="20" customFormat="1" hidden="1" x14ac:dyDescent="0.3">
      <c r="A163" s="12" t="s">
        <v>85</v>
      </c>
      <c r="B163" s="12">
        <v>6689</v>
      </c>
      <c r="C163" s="11" t="s">
        <v>100</v>
      </c>
      <c r="D163" s="12" t="s">
        <v>1</v>
      </c>
      <c r="E163" s="12" t="s">
        <v>1185</v>
      </c>
      <c r="F163" s="12" t="s">
        <v>87</v>
      </c>
      <c r="G163" s="12" t="s">
        <v>113</v>
      </c>
      <c r="H163" s="12" t="s">
        <v>101</v>
      </c>
      <c r="I163" s="12" t="s">
        <v>89</v>
      </c>
      <c r="J163" s="11" t="s">
        <v>102</v>
      </c>
      <c r="K163" s="11" t="s">
        <v>102</v>
      </c>
      <c r="L163" s="11" t="s">
        <v>1219</v>
      </c>
      <c r="M163" s="11" t="s">
        <v>103</v>
      </c>
      <c r="N163" s="57">
        <v>828850</v>
      </c>
      <c r="O163" s="59"/>
      <c r="P163" s="12">
        <v>0</v>
      </c>
      <c r="Q163" s="12" t="s">
        <v>4</v>
      </c>
      <c r="R163" s="12" t="s">
        <v>15</v>
      </c>
      <c r="S163" s="12" t="s">
        <v>22</v>
      </c>
      <c r="T163" s="12">
        <v>1</v>
      </c>
      <c r="U163" s="13">
        <v>43997</v>
      </c>
      <c r="V163" s="12" t="s">
        <v>110</v>
      </c>
      <c r="W163" s="12" t="s">
        <v>92</v>
      </c>
      <c r="X163" s="12" t="s">
        <v>105</v>
      </c>
      <c r="Y163" s="13"/>
      <c r="Z163" s="75"/>
    </row>
    <row r="164" spans="1:26" s="20" customFormat="1" hidden="1" x14ac:dyDescent="0.3">
      <c r="A164" s="12" t="s">
        <v>85</v>
      </c>
      <c r="B164" s="12">
        <v>6689</v>
      </c>
      <c r="C164" s="11" t="s">
        <v>100</v>
      </c>
      <c r="D164" s="12" t="s">
        <v>1</v>
      </c>
      <c r="E164" s="12" t="s">
        <v>1185</v>
      </c>
      <c r="F164" s="12" t="s">
        <v>87</v>
      </c>
      <c r="G164" s="12" t="s">
        <v>113</v>
      </c>
      <c r="H164" s="12" t="s">
        <v>101</v>
      </c>
      <c r="I164" s="12" t="s">
        <v>89</v>
      </c>
      <c r="J164" s="11" t="s">
        <v>102</v>
      </c>
      <c r="K164" s="11" t="s">
        <v>102</v>
      </c>
      <c r="L164" s="11" t="s">
        <v>1219</v>
      </c>
      <c r="M164" s="11" t="s">
        <v>103</v>
      </c>
      <c r="N164" s="57">
        <v>828850</v>
      </c>
      <c r="O164" s="59"/>
      <c r="P164" s="12">
        <v>0</v>
      </c>
      <c r="Q164" s="12" t="s">
        <v>4</v>
      </c>
      <c r="R164" s="12" t="s">
        <v>13</v>
      </c>
      <c r="S164" s="12" t="s">
        <v>34</v>
      </c>
      <c r="T164" s="12">
        <v>1</v>
      </c>
      <c r="U164" s="13">
        <v>43944</v>
      </c>
      <c r="V164" s="12" t="s">
        <v>252</v>
      </c>
      <c r="W164" s="12" t="s">
        <v>92</v>
      </c>
      <c r="X164" s="12" t="s">
        <v>93</v>
      </c>
      <c r="Y164" s="13"/>
      <c r="Z164" s="75"/>
    </row>
    <row r="165" spans="1:26" s="20" customFormat="1" hidden="1" x14ac:dyDescent="0.3">
      <c r="A165" s="12" t="s">
        <v>85</v>
      </c>
      <c r="B165" s="12">
        <v>6689</v>
      </c>
      <c r="C165" s="11" t="s">
        <v>100</v>
      </c>
      <c r="D165" s="12" t="s">
        <v>1</v>
      </c>
      <c r="E165" s="12" t="s">
        <v>1185</v>
      </c>
      <c r="F165" s="12" t="s">
        <v>87</v>
      </c>
      <c r="G165" s="12" t="s">
        <v>113</v>
      </c>
      <c r="H165" s="12" t="s">
        <v>101</v>
      </c>
      <c r="I165" s="12" t="s">
        <v>89</v>
      </c>
      <c r="J165" s="11" t="s">
        <v>102</v>
      </c>
      <c r="K165" s="11" t="s">
        <v>102</v>
      </c>
      <c r="L165" s="11" t="s">
        <v>1219</v>
      </c>
      <c r="M165" s="11" t="s">
        <v>103</v>
      </c>
      <c r="N165" s="57">
        <v>828850</v>
      </c>
      <c r="O165" s="59"/>
      <c r="P165" s="12">
        <v>0</v>
      </c>
      <c r="Q165" s="12" t="s">
        <v>4</v>
      </c>
      <c r="R165" s="12" t="s">
        <v>15</v>
      </c>
      <c r="S165" s="12" t="s">
        <v>22</v>
      </c>
      <c r="T165" s="12">
        <v>1</v>
      </c>
      <c r="U165" s="13">
        <v>44027</v>
      </c>
      <c r="V165" s="12" t="s">
        <v>111</v>
      </c>
      <c r="W165" s="12" t="s">
        <v>92</v>
      </c>
      <c r="X165" s="12" t="s">
        <v>105</v>
      </c>
      <c r="Y165" s="13"/>
      <c r="Z165" s="75"/>
    </row>
    <row r="166" spans="1:26" s="20" customFormat="1" hidden="1" x14ac:dyDescent="0.3">
      <c r="A166" s="12" t="s">
        <v>85</v>
      </c>
      <c r="B166" s="12">
        <v>6689</v>
      </c>
      <c r="C166" s="11" t="s">
        <v>100</v>
      </c>
      <c r="D166" s="12" t="s">
        <v>1</v>
      </c>
      <c r="E166" s="12" t="s">
        <v>1185</v>
      </c>
      <c r="F166" s="12" t="s">
        <v>87</v>
      </c>
      <c r="G166" s="12" t="s">
        <v>113</v>
      </c>
      <c r="H166" s="12" t="s">
        <v>101</v>
      </c>
      <c r="I166" s="12" t="s">
        <v>89</v>
      </c>
      <c r="J166" s="11" t="s">
        <v>102</v>
      </c>
      <c r="K166" s="11" t="s">
        <v>102</v>
      </c>
      <c r="L166" s="11" t="s">
        <v>1219</v>
      </c>
      <c r="M166" s="11" t="s">
        <v>103</v>
      </c>
      <c r="N166" s="57">
        <v>828850</v>
      </c>
      <c r="O166" s="59"/>
      <c r="P166" s="12">
        <v>0</v>
      </c>
      <c r="Q166" s="12" t="s">
        <v>4</v>
      </c>
      <c r="R166" s="12" t="s">
        <v>13</v>
      </c>
      <c r="S166" s="12" t="s">
        <v>34</v>
      </c>
      <c r="T166" s="12">
        <v>1</v>
      </c>
      <c r="U166" s="13">
        <v>44028</v>
      </c>
      <c r="V166" s="12" t="s">
        <v>94</v>
      </c>
      <c r="W166" s="12" t="s">
        <v>92</v>
      </c>
      <c r="X166" s="12" t="s">
        <v>93</v>
      </c>
      <c r="Y166" s="13"/>
      <c r="Z166" s="75"/>
    </row>
    <row r="167" spans="1:26" s="20" customFormat="1" hidden="1" x14ac:dyDescent="0.3">
      <c r="A167" s="12" t="s">
        <v>85</v>
      </c>
      <c r="B167" s="12">
        <v>6966</v>
      </c>
      <c r="C167" s="11" t="s">
        <v>95</v>
      </c>
      <c r="D167" s="12" t="s">
        <v>1</v>
      </c>
      <c r="E167" s="12" t="s">
        <v>1185</v>
      </c>
      <c r="F167" s="12" t="s">
        <v>87</v>
      </c>
      <c r="G167" s="12" t="s">
        <v>113</v>
      </c>
      <c r="H167" s="12" t="s">
        <v>96</v>
      </c>
      <c r="I167" s="12" t="s">
        <v>89</v>
      </c>
      <c r="J167" s="11" t="s">
        <v>293</v>
      </c>
      <c r="K167" s="11" t="s">
        <v>293</v>
      </c>
      <c r="L167" s="11" t="s">
        <v>1202</v>
      </c>
      <c r="M167" s="11" t="s">
        <v>294</v>
      </c>
      <c r="N167" s="58">
        <v>973.5</v>
      </c>
      <c r="O167" s="58"/>
      <c r="P167" s="12"/>
      <c r="Q167" s="12" t="s">
        <v>12</v>
      </c>
      <c r="R167" s="12" t="s">
        <v>99</v>
      </c>
      <c r="S167" s="12" t="s">
        <v>99</v>
      </c>
      <c r="T167" s="12">
        <v>1</v>
      </c>
      <c r="U167" s="13"/>
      <c r="V167" s="12" t="s">
        <v>164</v>
      </c>
      <c r="W167" s="12" t="s">
        <v>92</v>
      </c>
      <c r="X167" s="12" t="s">
        <v>93</v>
      </c>
      <c r="Y167" s="13">
        <v>43880</v>
      </c>
      <c r="Z167" s="75"/>
    </row>
    <row r="168" spans="1:26" s="20" customFormat="1" hidden="1" x14ac:dyDescent="0.3">
      <c r="A168" s="12" t="s">
        <v>85</v>
      </c>
      <c r="B168" s="12">
        <v>7067</v>
      </c>
      <c r="C168" s="11" t="s">
        <v>295</v>
      </c>
      <c r="D168" s="12" t="s">
        <v>1</v>
      </c>
      <c r="E168" s="12" t="s">
        <v>1185</v>
      </c>
      <c r="F168" s="12" t="s">
        <v>87</v>
      </c>
      <c r="G168" s="12" t="s">
        <v>113</v>
      </c>
      <c r="H168" s="12" t="s">
        <v>296</v>
      </c>
      <c r="I168" s="12" t="s">
        <v>89</v>
      </c>
      <c r="J168" s="11" t="s">
        <v>297</v>
      </c>
      <c r="K168" s="11" t="s">
        <v>297</v>
      </c>
      <c r="L168" s="11" t="s">
        <v>1199</v>
      </c>
      <c r="M168" s="11" t="s">
        <v>298</v>
      </c>
      <c r="N168" s="57">
        <v>4312.34</v>
      </c>
      <c r="O168" s="59"/>
      <c r="P168" s="12" t="s">
        <v>299</v>
      </c>
      <c r="Q168" s="12" t="s">
        <v>4</v>
      </c>
      <c r="R168" s="12" t="s">
        <v>13</v>
      </c>
      <c r="S168" s="12" t="s">
        <v>25</v>
      </c>
      <c r="T168" s="12">
        <v>1</v>
      </c>
      <c r="U168" s="13">
        <v>44028</v>
      </c>
      <c r="V168" s="12" t="s">
        <v>94</v>
      </c>
      <c r="W168" s="12" t="s">
        <v>92</v>
      </c>
      <c r="X168" s="12" t="s">
        <v>93</v>
      </c>
      <c r="Y168" s="13"/>
      <c r="Z168" s="75"/>
    </row>
    <row r="169" spans="1:26" s="20" customFormat="1" hidden="1" x14ac:dyDescent="0.3">
      <c r="A169" s="12" t="s">
        <v>85</v>
      </c>
      <c r="B169" s="12">
        <v>7323</v>
      </c>
      <c r="C169" s="11" t="s">
        <v>95</v>
      </c>
      <c r="D169" s="12" t="s">
        <v>1</v>
      </c>
      <c r="E169" s="12" t="s">
        <v>1185</v>
      </c>
      <c r="F169" s="12" t="s">
        <v>87</v>
      </c>
      <c r="G169" s="12" t="s">
        <v>113</v>
      </c>
      <c r="H169" s="12" t="s">
        <v>96</v>
      </c>
      <c r="I169" s="12" t="s">
        <v>89</v>
      </c>
      <c r="J169" s="11" t="s">
        <v>293</v>
      </c>
      <c r="K169" s="11" t="s">
        <v>293</v>
      </c>
      <c r="L169" s="11" t="s">
        <v>1202</v>
      </c>
      <c r="M169" s="11" t="s">
        <v>294</v>
      </c>
      <c r="N169" s="58">
        <v>660</v>
      </c>
      <c r="O169" s="58"/>
      <c r="P169" s="12"/>
      <c r="Q169" s="12" t="s">
        <v>12</v>
      </c>
      <c r="R169" s="12" t="s">
        <v>99</v>
      </c>
      <c r="S169" s="12" t="s">
        <v>99</v>
      </c>
      <c r="T169" s="12">
        <v>1</v>
      </c>
      <c r="U169" s="13"/>
      <c r="V169" s="12" t="s">
        <v>164</v>
      </c>
      <c r="W169" s="12" t="s">
        <v>92</v>
      </c>
      <c r="X169" s="12" t="s">
        <v>93</v>
      </c>
      <c r="Y169" s="13">
        <v>43880</v>
      </c>
      <c r="Z169" s="75"/>
    </row>
    <row r="170" spans="1:26" s="20" customFormat="1" hidden="1" x14ac:dyDescent="0.3">
      <c r="A170" s="12" t="s">
        <v>85</v>
      </c>
      <c r="B170" s="12">
        <v>7397</v>
      </c>
      <c r="C170" s="11" t="s">
        <v>95</v>
      </c>
      <c r="D170" s="12" t="s">
        <v>1</v>
      </c>
      <c r="E170" s="12" t="s">
        <v>1185</v>
      </c>
      <c r="F170" s="12" t="s">
        <v>113</v>
      </c>
      <c r="G170" s="12" t="s">
        <v>132</v>
      </c>
      <c r="H170" s="12" t="s">
        <v>96</v>
      </c>
      <c r="I170" s="12" t="s">
        <v>89</v>
      </c>
      <c r="J170" s="11" t="s">
        <v>1269</v>
      </c>
      <c r="K170" s="11" t="s">
        <v>300</v>
      </c>
      <c r="L170" s="11" t="s">
        <v>1199</v>
      </c>
      <c r="M170" s="11" t="s">
        <v>301</v>
      </c>
      <c r="N170" s="58">
        <v>3924.36</v>
      </c>
      <c r="O170" s="58">
        <v>1525.17</v>
      </c>
      <c r="P170" s="56">
        <v>240640130001</v>
      </c>
      <c r="Q170" s="12" t="s">
        <v>4</v>
      </c>
      <c r="R170" s="12" t="s">
        <v>15</v>
      </c>
      <c r="S170" s="12" t="s">
        <v>36</v>
      </c>
      <c r="T170" s="12">
        <v>0</v>
      </c>
      <c r="U170" s="13"/>
      <c r="V170" s="12" t="s">
        <v>92</v>
      </c>
      <c r="W170" s="12" t="s">
        <v>92</v>
      </c>
      <c r="X170" s="12" t="s">
        <v>108</v>
      </c>
      <c r="Y170" s="13"/>
      <c r="Z170" s="75"/>
    </row>
    <row r="171" spans="1:26" s="20" customFormat="1" hidden="1" x14ac:dyDescent="0.3">
      <c r="A171" s="12" t="s">
        <v>85</v>
      </c>
      <c r="B171" s="12">
        <v>7589</v>
      </c>
      <c r="C171" s="11" t="s">
        <v>95</v>
      </c>
      <c r="D171" s="12" t="s">
        <v>1</v>
      </c>
      <c r="E171" s="12" t="s">
        <v>1185</v>
      </c>
      <c r="F171" s="12" t="s">
        <v>87</v>
      </c>
      <c r="G171" s="12" t="s">
        <v>113</v>
      </c>
      <c r="H171" s="12" t="s">
        <v>96</v>
      </c>
      <c r="I171" s="12" t="s">
        <v>89</v>
      </c>
      <c r="J171" s="11" t="s">
        <v>302</v>
      </c>
      <c r="K171" s="11" t="s">
        <v>302</v>
      </c>
      <c r="L171" s="11" t="s">
        <v>1199</v>
      </c>
      <c r="M171" s="11" t="s">
        <v>303</v>
      </c>
      <c r="N171" s="58">
        <v>1002.98</v>
      </c>
      <c r="O171" s="58"/>
      <c r="P171" s="12"/>
      <c r="Q171" s="12" t="s">
        <v>4</v>
      </c>
      <c r="R171" s="12" t="s">
        <v>1190</v>
      </c>
      <c r="S171" s="12" t="s">
        <v>37</v>
      </c>
      <c r="T171" s="12">
        <v>1</v>
      </c>
      <c r="U171" s="13">
        <v>43814</v>
      </c>
      <c r="V171" s="12" t="s">
        <v>304</v>
      </c>
      <c r="W171" s="12">
        <v>80866</v>
      </c>
      <c r="X171" s="12" t="s">
        <v>93</v>
      </c>
      <c r="Y171" s="13"/>
      <c r="Z171" s="75"/>
    </row>
    <row r="172" spans="1:26" s="20" customFormat="1" hidden="1" x14ac:dyDescent="0.3">
      <c r="A172" s="12" t="s">
        <v>85</v>
      </c>
      <c r="B172" s="12">
        <v>7589</v>
      </c>
      <c r="C172" s="11" t="s">
        <v>95</v>
      </c>
      <c r="D172" s="12" t="s">
        <v>1</v>
      </c>
      <c r="E172" s="12" t="s">
        <v>1185</v>
      </c>
      <c r="F172" s="12" t="s">
        <v>87</v>
      </c>
      <c r="G172" s="12" t="s">
        <v>113</v>
      </c>
      <c r="H172" s="12" t="s">
        <v>96</v>
      </c>
      <c r="I172" s="12" t="s">
        <v>89</v>
      </c>
      <c r="J172" s="11" t="s">
        <v>302</v>
      </c>
      <c r="K172" s="11" t="s">
        <v>302</v>
      </c>
      <c r="L172" s="11" t="s">
        <v>1199</v>
      </c>
      <c r="M172" s="11" t="s">
        <v>303</v>
      </c>
      <c r="N172" s="58">
        <v>1002.98</v>
      </c>
      <c r="O172" s="58"/>
      <c r="P172" s="12"/>
      <c r="Q172" s="12" t="s">
        <v>12</v>
      </c>
      <c r="R172" s="12" t="s">
        <v>15</v>
      </c>
      <c r="S172" s="12" t="s">
        <v>92</v>
      </c>
      <c r="T172" s="12">
        <v>1</v>
      </c>
      <c r="U172" s="13"/>
      <c r="V172" s="12" t="s">
        <v>164</v>
      </c>
      <c r="W172" s="12" t="s">
        <v>92</v>
      </c>
      <c r="X172" s="12" t="s">
        <v>93</v>
      </c>
      <c r="Y172" s="13">
        <v>43880</v>
      </c>
      <c r="Z172" s="75"/>
    </row>
    <row r="173" spans="1:26" s="20" customFormat="1" hidden="1" x14ac:dyDescent="0.3">
      <c r="A173" s="12" t="s">
        <v>85</v>
      </c>
      <c r="B173" s="12">
        <v>7589</v>
      </c>
      <c r="C173" s="11" t="s">
        <v>95</v>
      </c>
      <c r="D173" s="12" t="s">
        <v>1</v>
      </c>
      <c r="E173" s="12" t="s">
        <v>1185</v>
      </c>
      <c r="F173" s="12" t="s">
        <v>87</v>
      </c>
      <c r="G173" s="12" t="s">
        <v>113</v>
      </c>
      <c r="H173" s="12" t="s">
        <v>96</v>
      </c>
      <c r="I173" s="12" t="s">
        <v>89</v>
      </c>
      <c r="J173" s="11" t="s">
        <v>302</v>
      </c>
      <c r="K173" s="11" t="s">
        <v>302</v>
      </c>
      <c r="L173" s="11" t="s">
        <v>1199</v>
      </c>
      <c r="M173" s="11" t="s">
        <v>303</v>
      </c>
      <c r="N173" s="58">
        <v>1002.98</v>
      </c>
      <c r="O173" s="58"/>
      <c r="P173" s="12"/>
      <c r="Q173" s="12" t="s">
        <v>4</v>
      </c>
      <c r="R173" s="12" t="s">
        <v>1190</v>
      </c>
      <c r="S173" s="12" t="s">
        <v>37</v>
      </c>
      <c r="T173" s="12">
        <v>1</v>
      </c>
      <c r="U173" s="13">
        <v>43847</v>
      </c>
      <c r="V173" s="12" t="s">
        <v>305</v>
      </c>
      <c r="W173" s="12" t="s">
        <v>92</v>
      </c>
      <c r="X173" s="12" t="s">
        <v>93</v>
      </c>
      <c r="Y173" s="13"/>
      <c r="Z173" s="75"/>
    </row>
    <row r="174" spans="1:26" s="20" customFormat="1" hidden="1" x14ac:dyDescent="0.3">
      <c r="A174" s="12" t="s">
        <v>85</v>
      </c>
      <c r="B174" s="12">
        <v>7589</v>
      </c>
      <c r="C174" s="11" t="s">
        <v>95</v>
      </c>
      <c r="D174" s="12" t="s">
        <v>1</v>
      </c>
      <c r="E174" s="12" t="s">
        <v>1185</v>
      </c>
      <c r="F174" s="12" t="s">
        <v>87</v>
      </c>
      <c r="G174" s="12" t="s">
        <v>113</v>
      </c>
      <c r="H174" s="12" t="s">
        <v>96</v>
      </c>
      <c r="I174" s="12" t="s">
        <v>89</v>
      </c>
      <c r="J174" s="11" t="s">
        <v>302</v>
      </c>
      <c r="K174" s="11" t="s">
        <v>302</v>
      </c>
      <c r="L174" s="11" t="s">
        <v>1199</v>
      </c>
      <c r="M174" s="11" t="s">
        <v>303</v>
      </c>
      <c r="N174" s="58">
        <v>1002.98</v>
      </c>
      <c r="O174" s="58"/>
      <c r="P174" s="12"/>
      <c r="Q174" s="12" t="s">
        <v>4</v>
      </c>
      <c r="R174" s="12" t="s">
        <v>1190</v>
      </c>
      <c r="S174" s="12" t="s">
        <v>37</v>
      </c>
      <c r="T174" s="12">
        <v>1</v>
      </c>
      <c r="U174" s="13">
        <v>43938</v>
      </c>
      <c r="V174" s="12" t="s">
        <v>306</v>
      </c>
      <c r="W174" s="12" t="s">
        <v>92</v>
      </c>
      <c r="X174" s="12" t="s">
        <v>93</v>
      </c>
      <c r="Y174" s="13"/>
      <c r="Z174" s="75"/>
    </row>
    <row r="175" spans="1:26" s="20" customFormat="1" hidden="1" x14ac:dyDescent="0.3">
      <c r="A175" s="12" t="s">
        <v>85</v>
      </c>
      <c r="B175" s="12">
        <v>7589</v>
      </c>
      <c r="C175" s="11" t="s">
        <v>95</v>
      </c>
      <c r="D175" s="12" t="s">
        <v>1</v>
      </c>
      <c r="E175" s="12" t="s">
        <v>1185</v>
      </c>
      <c r="F175" s="12" t="s">
        <v>87</v>
      </c>
      <c r="G175" s="12" t="s">
        <v>113</v>
      </c>
      <c r="H175" s="12" t="s">
        <v>96</v>
      </c>
      <c r="I175" s="12" t="s">
        <v>89</v>
      </c>
      <c r="J175" s="11" t="s">
        <v>302</v>
      </c>
      <c r="K175" s="11" t="s">
        <v>302</v>
      </c>
      <c r="L175" s="11" t="s">
        <v>1199</v>
      </c>
      <c r="M175" s="11" t="s">
        <v>303</v>
      </c>
      <c r="N175" s="58">
        <v>1002.98</v>
      </c>
      <c r="O175" s="58"/>
      <c r="P175" s="12"/>
      <c r="Q175" s="12" t="s">
        <v>4</v>
      </c>
      <c r="R175" s="12" t="s">
        <v>1190</v>
      </c>
      <c r="S175" s="12" t="s">
        <v>37</v>
      </c>
      <c r="T175" s="12">
        <v>1</v>
      </c>
      <c r="U175" s="13">
        <v>43962</v>
      </c>
      <c r="V175" s="12" t="s">
        <v>307</v>
      </c>
      <c r="W175" s="12" t="s">
        <v>92</v>
      </c>
      <c r="X175" s="12" t="s">
        <v>93</v>
      </c>
      <c r="Y175" s="13"/>
      <c r="Z175" s="75"/>
    </row>
    <row r="176" spans="1:26" s="20" customFormat="1" hidden="1" x14ac:dyDescent="0.3">
      <c r="A176" s="12" t="s">
        <v>85</v>
      </c>
      <c r="B176" s="12">
        <v>7589</v>
      </c>
      <c r="C176" s="11" t="s">
        <v>95</v>
      </c>
      <c r="D176" s="12" t="s">
        <v>1</v>
      </c>
      <c r="E176" s="12" t="s">
        <v>1185</v>
      </c>
      <c r="F176" s="12" t="s">
        <v>87</v>
      </c>
      <c r="G176" s="12" t="s">
        <v>113</v>
      </c>
      <c r="H176" s="12" t="s">
        <v>96</v>
      </c>
      <c r="I176" s="12" t="s">
        <v>89</v>
      </c>
      <c r="J176" s="11" t="s">
        <v>302</v>
      </c>
      <c r="K176" s="11" t="s">
        <v>302</v>
      </c>
      <c r="L176" s="11" t="s">
        <v>1199</v>
      </c>
      <c r="M176" s="11" t="s">
        <v>303</v>
      </c>
      <c r="N176" s="58">
        <v>1002.98</v>
      </c>
      <c r="O176" s="58"/>
      <c r="P176" s="12"/>
      <c r="Q176" s="12" t="s">
        <v>4</v>
      </c>
      <c r="R176" s="12" t="s">
        <v>1190</v>
      </c>
      <c r="S176" s="12" t="s">
        <v>37</v>
      </c>
      <c r="T176" s="12">
        <v>1</v>
      </c>
      <c r="U176" s="13">
        <v>43878</v>
      </c>
      <c r="V176" s="12" t="s">
        <v>308</v>
      </c>
      <c r="W176" s="12" t="s">
        <v>92</v>
      </c>
      <c r="X176" s="12" t="s">
        <v>93</v>
      </c>
      <c r="Y176" s="13"/>
      <c r="Z176" s="75"/>
    </row>
    <row r="177" spans="1:26" s="20" customFormat="1" hidden="1" x14ac:dyDescent="0.3">
      <c r="A177" s="12" t="s">
        <v>85</v>
      </c>
      <c r="B177" s="12">
        <v>7589</v>
      </c>
      <c r="C177" s="11" t="s">
        <v>95</v>
      </c>
      <c r="D177" s="12" t="s">
        <v>1</v>
      </c>
      <c r="E177" s="12" t="s">
        <v>1185</v>
      </c>
      <c r="F177" s="12" t="s">
        <v>87</v>
      </c>
      <c r="G177" s="12" t="s">
        <v>113</v>
      </c>
      <c r="H177" s="12" t="s">
        <v>96</v>
      </c>
      <c r="I177" s="12" t="s">
        <v>89</v>
      </c>
      <c r="J177" s="11" t="s">
        <v>302</v>
      </c>
      <c r="K177" s="11" t="s">
        <v>302</v>
      </c>
      <c r="L177" s="11" t="s">
        <v>1199</v>
      </c>
      <c r="M177" s="11" t="s">
        <v>303</v>
      </c>
      <c r="N177" s="58">
        <v>1002.98</v>
      </c>
      <c r="O177" s="58"/>
      <c r="P177" s="12"/>
      <c r="Q177" s="12" t="s">
        <v>4</v>
      </c>
      <c r="R177" s="12" t="s">
        <v>1190</v>
      </c>
      <c r="S177" s="12" t="s">
        <v>37</v>
      </c>
      <c r="T177" s="12">
        <v>1</v>
      </c>
      <c r="U177" s="13">
        <v>43907</v>
      </c>
      <c r="V177" s="12" t="s">
        <v>309</v>
      </c>
      <c r="W177" s="12" t="s">
        <v>92</v>
      </c>
      <c r="X177" s="12" t="s">
        <v>93</v>
      </c>
      <c r="Y177" s="13"/>
      <c r="Z177" s="75"/>
    </row>
    <row r="178" spans="1:26" s="20" customFormat="1" hidden="1" x14ac:dyDescent="0.3">
      <c r="A178" s="12" t="s">
        <v>85</v>
      </c>
      <c r="B178" s="12">
        <v>7589</v>
      </c>
      <c r="C178" s="11" t="s">
        <v>95</v>
      </c>
      <c r="D178" s="12" t="s">
        <v>1</v>
      </c>
      <c r="E178" s="12" t="s">
        <v>1185</v>
      </c>
      <c r="F178" s="12" t="s">
        <v>87</v>
      </c>
      <c r="G178" s="12" t="s">
        <v>113</v>
      </c>
      <c r="H178" s="12" t="s">
        <v>96</v>
      </c>
      <c r="I178" s="12" t="s">
        <v>89</v>
      </c>
      <c r="J178" s="11" t="s">
        <v>302</v>
      </c>
      <c r="K178" s="11" t="s">
        <v>302</v>
      </c>
      <c r="L178" s="11" t="s">
        <v>1199</v>
      </c>
      <c r="M178" s="11" t="s">
        <v>303</v>
      </c>
      <c r="N178" s="58">
        <v>1002.98</v>
      </c>
      <c r="O178" s="58"/>
      <c r="P178" s="12"/>
      <c r="Q178" s="12" t="s">
        <v>4</v>
      </c>
      <c r="R178" s="12" t="s">
        <v>1190</v>
      </c>
      <c r="S178" s="12" t="s">
        <v>37</v>
      </c>
      <c r="T178" s="12">
        <v>1</v>
      </c>
      <c r="U178" s="13">
        <v>43998</v>
      </c>
      <c r="V178" s="12" t="s">
        <v>310</v>
      </c>
      <c r="W178" s="12" t="s">
        <v>92</v>
      </c>
      <c r="X178" s="12" t="s">
        <v>93</v>
      </c>
      <c r="Y178" s="13"/>
      <c r="Z178" s="75"/>
    </row>
    <row r="179" spans="1:26" s="20" customFormat="1" hidden="1" x14ac:dyDescent="0.3">
      <c r="A179" s="12" t="s">
        <v>85</v>
      </c>
      <c r="B179" s="12">
        <v>7589</v>
      </c>
      <c r="C179" s="11" t="s">
        <v>95</v>
      </c>
      <c r="D179" s="12" t="s">
        <v>1</v>
      </c>
      <c r="E179" s="12" t="s">
        <v>1185</v>
      </c>
      <c r="F179" s="12" t="s">
        <v>87</v>
      </c>
      <c r="G179" s="12" t="s">
        <v>113</v>
      </c>
      <c r="H179" s="12" t="s">
        <v>96</v>
      </c>
      <c r="I179" s="12" t="s">
        <v>89</v>
      </c>
      <c r="J179" s="11" t="s">
        <v>302</v>
      </c>
      <c r="K179" s="11" t="s">
        <v>302</v>
      </c>
      <c r="L179" s="11" t="s">
        <v>1199</v>
      </c>
      <c r="M179" s="11" t="s">
        <v>303</v>
      </c>
      <c r="N179" s="58">
        <v>1002.98</v>
      </c>
      <c r="O179" s="58"/>
      <c r="P179" s="12"/>
      <c r="Q179" s="12" t="s">
        <v>4</v>
      </c>
      <c r="R179" s="12" t="s">
        <v>1190</v>
      </c>
      <c r="S179" s="12" t="s">
        <v>37</v>
      </c>
      <c r="T179" s="12">
        <v>1</v>
      </c>
      <c r="U179" s="13">
        <v>44027</v>
      </c>
      <c r="V179" s="12" t="s">
        <v>310</v>
      </c>
      <c r="W179" s="12" t="s">
        <v>92</v>
      </c>
      <c r="X179" s="12" t="s">
        <v>93</v>
      </c>
      <c r="Y179" s="13"/>
      <c r="Z179" s="75"/>
    </row>
    <row r="180" spans="1:26" s="20" customFormat="1" hidden="1" x14ac:dyDescent="0.3">
      <c r="A180" s="12" t="s">
        <v>85</v>
      </c>
      <c r="B180" s="12">
        <v>7837</v>
      </c>
      <c r="C180" s="11" t="s">
        <v>95</v>
      </c>
      <c r="D180" s="12" t="s">
        <v>1</v>
      </c>
      <c r="E180" s="12" t="s">
        <v>1185</v>
      </c>
      <c r="F180" s="12" t="s">
        <v>87</v>
      </c>
      <c r="G180" s="12" t="s">
        <v>113</v>
      </c>
      <c r="H180" s="12" t="s">
        <v>96</v>
      </c>
      <c r="I180" s="12" t="s">
        <v>89</v>
      </c>
      <c r="J180" s="11" t="s">
        <v>293</v>
      </c>
      <c r="K180" s="11" t="s">
        <v>293</v>
      </c>
      <c r="L180" s="11" t="s">
        <v>1202</v>
      </c>
      <c r="M180" s="11" t="s">
        <v>311</v>
      </c>
      <c r="N180" s="58">
        <v>660</v>
      </c>
      <c r="O180" s="59"/>
      <c r="P180" s="12"/>
      <c r="Q180" s="12" t="s">
        <v>12</v>
      </c>
      <c r="R180" s="12" t="s">
        <v>99</v>
      </c>
      <c r="S180" s="12" t="s">
        <v>99</v>
      </c>
      <c r="T180" s="12">
        <v>1</v>
      </c>
      <c r="U180" s="13">
        <v>44028</v>
      </c>
      <c r="V180" s="12" t="s">
        <v>94</v>
      </c>
      <c r="W180" s="12" t="s">
        <v>92</v>
      </c>
      <c r="X180" s="12" t="s">
        <v>93</v>
      </c>
      <c r="Y180" s="13">
        <v>44097</v>
      </c>
      <c r="Z180" s="75"/>
    </row>
    <row r="181" spans="1:26" s="20" customFormat="1" hidden="1" x14ac:dyDescent="0.3">
      <c r="A181" s="12" t="s">
        <v>85</v>
      </c>
      <c r="B181" s="12">
        <v>8125</v>
      </c>
      <c r="C181" s="11" t="s">
        <v>130</v>
      </c>
      <c r="D181" s="12" t="s">
        <v>1</v>
      </c>
      <c r="E181" s="12" t="s">
        <v>1185</v>
      </c>
      <c r="F181" s="12" t="s">
        <v>131</v>
      </c>
      <c r="G181" s="12" t="s">
        <v>132</v>
      </c>
      <c r="H181" s="12" t="s">
        <v>312</v>
      </c>
      <c r="I181" s="12" t="s">
        <v>89</v>
      </c>
      <c r="J181" s="11" t="s">
        <v>1241</v>
      </c>
      <c r="K181" s="11" t="s">
        <v>133</v>
      </c>
      <c r="L181" s="11" t="s">
        <v>1194</v>
      </c>
      <c r="M181" s="11" t="s">
        <v>134</v>
      </c>
      <c r="N181" s="59">
        <v>0</v>
      </c>
      <c r="O181" s="59">
        <v>86.66</v>
      </c>
      <c r="P181" s="12" t="s">
        <v>313</v>
      </c>
      <c r="Q181" s="12" t="s">
        <v>12</v>
      </c>
      <c r="R181" s="12" t="s">
        <v>99</v>
      </c>
      <c r="S181" s="12" t="s">
        <v>99</v>
      </c>
      <c r="T181" s="12">
        <v>0</v>
      </c>
      <c r="U181" s="13"/>
      <c r="V181" s="12" t="s">
        <v>92</v>
      </c>
      <c r="W181" s="12" t="s">
        <v>92</v>
      </c>
      <c r="X181" s="12" t="s">
        <v>135</v>
      </c>
      <c r="Y181" s="13"/>
      <c r="Z181" s="59" t="s">
        <v>228</v>
      </c>
    </row>
    <row r="182" spans="1:26" s="20" customFormat="1" ht="12" hidden="1" x14ac:dyDescent="0.3">
      <c r="A182" s="12" t="s">
        <v>85</v>
      </c>
      <c r="B182" s="12">
        <v>8348</v>
      </c>
      <c r="C182" s="11" t="s">
        <v>314</v>
      </c>
      <c r="D182" s="12" t="s">
        <v>1</v>
      </c>
      <c r="E182" s="12" t="s">
        <v>1185</v>
      </c>
      <c r="F182" s="12" t="s">
        <v>132</v>
      </c>
      <c r="G182" s="12" t="s">
        <v>132</v>
      </c>
      <c r="H182" s="12" t="s">
        <v>315</v>
      </c>
      <c r="I182" s="12" t="s">
        <v>89</v>
      </c>
      <c r="J182" s="11" t="s">
        <v>316</v>
      </c>
      <c r="K182" s="11" t="s">
        <v>316</v>
      </c>
      <c r="L182" s="11" t="s">
        <v>1195</v>
      </c>
      <c r="M182" s="11" t="s">
        <v>317</v>
      </c>
      <c r="N182" s="58">
        <v>1</v>
      </c>
      <c r="O182" s="59"/>
      <c r="P182" s="12" t="s">
        <v>318</v>
      </c>
      <c r="Q182" s="12" t="s">
        <v>4</v>
      </c>
      <c r="R182" s="12" t="s">
        <v>15</v>
      </c>
      <c r="S182" s="12" t="s">
        <v>25</v>
      </c>
      <c r="T182" s="12">
        <v>1</v>
      </c>
      <c r="U182" s="13">
        <v>43724</v>
      </c>
      <c r="V182" s="12" t="s">
        <v>319</v>
      </c>
      <c r="W182" s="12" t="s">
        <v>92</v>
      </c>
      <c r="X182" s="12" t="s">
        <v>93</v>
      </c>
      <c r="Y182" s="13"/>
      <c r="Z182" s="75"/>
    </row>
    <row r="183" spans="1:26" s="20" customFormat="1" hidden="1" x14ac:dyDescent="0.3">
      <c r="A183" s="12" t="s">
        <v>85</v>
      </c>
      <c r="B183" s="12">
        <v>8348</v>
      </c>
      <c r="C183" s="11" t="s">
        <v>314</v>
      </c>
      <c r="D183" s="12" t="s">
        <v>1</v>
      </c>
      <c r="E183" s="12" t="s">
        <v>1185</v>
      </c>
      <c r="F183" s="12" t="s">
        <v>132</v>
      </c>
      <c r="G183" s="12" t="s">
        <v>132</v>
      </c>
      <c r="H183" s="12" t="s">
        <v>315</v>
      </c>
      <c r="I183" s="12" t="s">
        <v>89</v>
      </c>
      <c r="J183" s="11" t="s">
        <v>316</v>
      </c>
      <c r="K183" s="11" t="s">
        <v>316</v>
      </c>
      <c r="L183" s="11" t="s">
        <v>1195</v>
      </c>
      <c r="M183" s="11" t="s">
        <v>317</v>
      </c>
      <c r="N183" s="58">
        <v>1</v>
      </c>
      <c r="O183" s="59"/>
      <c r="P183" s="12" t="s">
        <v>318</v>
      </c>
      <c r="Q183" s="12" t="s">
        <v>4</v>
      </c>
      <c r="R183" s="12" t="s">
        <v>15</v>
      </c>
      <c r="S183" s="12" t="s">
        <v>25</v>
      </c>
      <c r="T183" s="12">
        <v>1</v>
      </c>
      <c r="U183" s="13">
        <v>43779</v>
      </c>
      <c r="V183" s="12" t="s">
        <v>320</v>
      </c>
      <c r="W183" s="12" t="s">
        <v>92</v>
      </c>
      <c r="X183" s="12" t="s">
        <v>93</v>
      </c>
      <c r="Y183" s="13"/>
      <c r="Z183" s="75"/>
    </row>
    <row r="184" spans="1:26" s="20" customFormat="1" hidden="1" x14ac:dyDescent="0.3">
      <c r="A184" s="12" t="s">
        <v>85</v>
      </c>
      <c r="B184" s="12">
        <v>8348</v>
      </c>
      <c r="C184" s="11" t="s">
        <v>314</v>
      </c>
      <c r="D184" s="12" t="s">
        <v>1</v>
      </c>
      <c r="E184" s="12" t="s">
        <v>1185</v>
      </c>
      <c r="F184" s="12" t="s">
        <v>132</v>
      </c>
      <c r="G184" s="12" t="s">
        <v>132</v>
      </c>
      <c r="H184" s="12" t="s">
        <v>315</v>
      </c>
      <c r="I184" s="12" t="s">
        <v>89</v>
      </c>
      <c r="J184" s="11" t="s">
        <v>316</v>
      </c>
      <c r="K184" s="11" t="s">
        <v>316</v>
      </c>
      <c r="L184" s="11" t="s">
        <v>1195</v>
      </c>
      <c r="M184" s="11" t="s">
        <v>317</v>
      </c>
      <c r="N184" s="58">
        <v>1</v>
      </c>
      <c r="O184" s="59"/>
      <c r="P184" s="12" t="s">
        <v>318</v>
      </c>
      <c r="Q184" s="12" t="s">
        <v>4</v>
      </c>
      <c r="R184" s="12" t="s">
        <v>15</v>
      </c>
      <c r="S184" s="12" t="s">
        <v>25</v>
      </c>
      <c r="T184" s="12">
        <v>1</v>
      </c>
      <c r="U184" s="13">
        <v>43814</v>
      </c>
      <c r="V184" s="12" t="s">
        <v>321</v>
      </c>
      <c r="W184" s="12" t="s">
        <v>92</v>
      </c>
      <c r="X184" s="12" t="s">
        <v>93</v>
      </c>
      <c r="Y184" s="13"/>
      <c r="Z184" s="75"/>
    </row>
    <row r="185" spans="1:26" s="21" customFormat="1" hidden="1" x14ac:dyDescent="0.3">
      <c r="A185" s="12" t="s">
        <v>85</v>
      </c>
      <c r="B185" s="12">
        <v>8348</v>
      </c>
      <c r="C185" s="11" t="s">
        <v>314</v>
      </c>
      <c r="D185" s="12" t="s">
        <v>1</v>
      </c>
      <c r="E185" s="12" t="s">
        <v>1185</v>
      </c>
      <c r="F185" s="12" t="s">
        <v>132</v>
      </c>
      <c r="G185" s="12" t="s">
        <v>132</v>
      </c>
      <c r="H185" s="12" t="s">
        <v>315</v>
      </c>
      <c r="I185" s="12" t="s">
        <v>89</v>
      </c>
      <c r="J185" s="11" t="s">
        <v>316</v>
      </c>
      <c r="K185" s="11" t="s">
        <v>316</v>
      </c>
      <c r="L185" s="11" t="s">
        <v>1195</v>
      </c>
      <c r="M185" s="11" t="s">
        <v>317</v>
      </c>
      <c r="N185" s="58">
        <v>1</v>
      </c>
      <c r="O185" s="59"/>
      <c r="P185" s="12" t="s">
        <v>318</v>
      </c>
      <c r="Q185" s="12" t="s">
        <v>4</v>
      </c>
      <c r="R185" s="12" t="s">
        <v>15</v>
      </c>
      <c r="S185" s="12" t="s">
        <v>25</v>
      </c>
      <c r="T185" s="12">
        <v>1</v>
      </c>
      <c r="U185" s="13">
        <v>43847</v>
      </c>
      <c r="V185" s="12" t="s">
        <v>322</v>
      </c>
      <c r="W185" s="12" t="s">
        <v>92</v>
      </c>
      <c r="X185" s="12" t="s">
        <v>93</v>
      </c>
      <c r="Y185" s="13"/>
      <c r="Z185" s="75"/>
    </row>
    <row r="186" spans="1:26" s="20" customFormat="1" hidden="1" x14ac:dyDescent="0.3">
      <c r="A186" s="12" t="s">
        <v>85</v>
      </c>
      <c r="B186" s="12">
        <v>8348</v>
      </c>
      <c r="C186" s="11" t="s">
        <v>314</v>
      </c>
      <c r="D186" s="12" t="s">
        <v>1</v>
      </c>
      <c r="E186" s="12" t="s">
        <v>1185</v>
      </c>
      <c r="F186" s="12" t="s">
        <v>132</v>
      </c>
      <c r="G186" s="12" t="s">
        <v>132</v>
      </c>
      <c r="H186" s="12" t="s">
        <v>315</v>
      </c>
      <c r="I186" s="12" t="s">
        <v>89</v>
      </c>
      <c r="J186" s="11" t="s">
        <v>316</v>
      </c>
      <c r="K186" s="11" t="s">
        <v>316</v>
      </c>
      <c r="L186" s="11" t="s">
        <v>1195</v>
      </c>
      <c r="M186" s="11" t="s">
        <v>317</v>
      </c>
      <c r="N186" s="58">
        <v>1</v>
      </c>
      <c r="O186" s="59"/>
      <c r="P186" s="12" t="s">
        <v>318</v>
      </c>
      <c r="Q186" s="12" t="s">
        <v>4</v>
      </c>
      <c r="R186" s="12" t="s">
        <v>15</v>
      </c>
      <c r="S186" s="12" t="s">
        <v>25</v>
      </c>
      <c r="T186" s="12">
        <v>1</v>
      </c>
      <c r="U186" s="13">
        <v>43879</v>
      </c>
      <c r="V186" s="12" t="s">
        <v>323</v>
      </c>
      <c r="W186" s="12" t="s">
        <v>92</v>
      </c>
      <c r="X186" s="12" t="s">
        <v>93</v>
      </c>
      <c r="Y186" s="13"/>
      <c r="Z186" s="75"/>
    </row>
    <row r="187" spans="1:26" s="20" customFormat="1" hidden="1" x14ac:dyDescent="0.3">
      <c r="A187" s="12" t="s">
        <v>85</v>
      </c>
      <c r="B187" s="12">
        <v>8348</v>
      </c>
      <c r="C187" s="11" t="s">
        <v>314</v>
      </c>
      <c r="D187" s="12" t="s">
        <v>1</v>
      </c>
      <c r="E187" s="12" t="s">
        <v>1185</v>
      </c>
      <c r="F187" s="12" t="s">
        <v>132</v>
      </c>
      <c r="G187" s="12" t="s">
        <v>132</v>
      </c>
      <c r="H187" s="12" t="s">
        <v>315</v>
      </c>
      <c r="I187" s="12" t="s">
        <v>89</v>
      </c>
      <c r="J187" s="11" t="s">
        <v>316</v>
      </c>
      <c r="K187" s="11" t="s">
        <v>316</v>
      </c>
      <c r="L187" s="11" t="s">
        <v>1195</v>
      </c>
      <c r="M187" s="11" t="s">
        <v>317</v>
      </c>
      <c r="N187" s="58">
        <v>1</v>
      </c>
      <c r="O187" s="59"/>
      <c r="P187" s="12" t="s">
        <v>318</v>
      </c>
      <c r="Q187" s="12" t="s">
        <v>4</v>
      </c>
      <c r="R187" s="12" t="s">
        <v>15</v>
      </c>
      <c r="S187" s="12" t="s">
        <v>25</v>
      </c>
      <c r="T187" s="12">
        <v>1</v>
      </c>
      <c r="U187" s="13">
        <v>43906</v>
      </c>
      <c r="V187" s="12" t="s">
        <v>324</v>
      </c>
      <c r="W187" s="12" t="s">
        <v>92</v>
      </c>
      <c r="X187" s="12" t="s">
        <v>93</v>
      </c>
      <c r="Y187" s="13"/>
      <c r="Z187" s="75"/>
    </row>
    <row r="188" spans="1:26" s="20" customFormat="1" hidden="1" x14ac:dyDescent="0.3">
      <c r="A188" s="12" t="s">
        <v>85</v>
      </c>
      <c r="B188" s="12">
        <v>8348</v>
      </c>
      <c r="C188" s="11" t="s">
        <v>314</v>
      </c>
      <c r="D188" s="12" t="s">
        <v>1</v>
      </c>
      <c r="E188" s="12" t="s">
        <v>1185</v>
      </c>
      <c r="F188" s="12" t="s">
        <v>132</v>
      </c>
      <c r="G188" s="12" t="s">
        <v>132</v>
      </c>
      <c r="H188" s="12" t="s">
        <v>315</v>
      </c>
      <c r="I188" s="12" t="s">
        <v>89</v>
      </c>
      <c r="J188" s="11" t="s">
        <v>316</v>
      </c>
      <c r="K188" s="11" t="s">
        <v>316</v>
      </c>
      <c r="L188" s="11" t="s">
        <v>1195</v>
      </c>
      <c r="M188" s="11" t="s">
        <v>317</v>
      </c>
      <c r="N188" s="58">
        <v>1</v>
      </c>
      <c r="O188" s="59"/>
      <c r="P188" s="12" t="s">
        <v>318</v>
      </c>
      <c r="Q188" s="12" t="s">
        <v>4</v>
      </c>
      <c r="R188" s="12" t="s">
        <v>15</v>
      </c>
      <c r="S188" s="12" t="s">
        <v>25</v>
      </c>
      <c r="T188" s="12">
        <v>1</v>
      </c>
      <c r="U188" s="13">
        <v>43938</v>
      </c>
      <c r="V188" s="12" t="s">
        <v>324</v>
      </c>
      <c r="W188" s="12" t="s">
        <v>92</v>
      </c>
      <c r="X188" s="12" t="s">
        <v>93</v>
      </c>
      <c r="Y188" s="13"/>
      <c r="Z188" s="75"/>
    </row>
    <row r="189" spans="1:26" s="20" customFormat="1" hidden="1" x14ac:dyDescent="0.3">
      <c r="A189" s="12" t="s">
        <v>85</v>
      </c>
      <c r="B189" s="12">
        <v>8348</v>
      </c>
      <c r="C189" s="11" t="s">
        <v>314</v>
      </c>
      <c r="D189" s="12" t="s">
        <v>1</v>
      </c>
      <c r="E189" s="12" t="s">
        <v>1185</v>
      </c>
      <c r="F189" s="12" t="s">
        <v>132</v>
      </c>
      <c r="G189" s="12" t="s">
        <v>132</v>
      </c>
      <c r="H189" s="12" t="s">
        <v>315</v>
      </c>
      <c r="I189" s="12" t="s">
        <v>89</v>
      </c>
      <c r="J189" s="11" t="s">
        <v>316</v>
      </c>
      <c r="K189" s="11" t="s">
        <v>316</v>
      </c>
      <c r="L189" s="11" t="s">
        <v>1195</v>
      </c>
      <c r="M189" s="11" t="s">
        <v>317</v>
      </c>
      <c r="N189" s="58">
        <v>1</v>
      </c>
      <c r="O189" s="59"/>
      <c r="P189" s="12" t="s">
        <v>318</v>
      </c>
      <c r="Q189" s="12" t="s">
        <v>4</v>
      </c>
      <c r="R189" s="12" t="s">
        <v>15</v>
      </c>
      <c r="S189" s="12" t="s">
        <v>25</v>
      </c>
      <c r="T189" s="12">
        <v>1</v>
      </c>
      <c r="U189" s="13">
        <v>43962</v>
      </c>
      <c r="V189" s="12" t="s">
        <v>325</v>
      </c>
      <c r="W189" s="12" t="s">
        <v>92</v>
      </c>
      <c r="X189" s="12" t="s">
        <v>93</v>
      </c>
      <c r="Y189" s="13"/>
      <c r="Z189" s="75"/>
    </row>
    <row r="190" spans="1:26" s="20" customFormat="1" hidden="1" x14ac:dyDescent="0.3">
      <c r="A190" s="12" t="s">
        <v>85</v>
      </c>
      <c r="B190" s="12">
        <v>8348</v>
      </c>
      <c r="C190" s="11" t="s">
        <v>314</v>
      </c>
      <c r="D190" s="12" t="s">
        <v>1</v>
      </c>
      <c r="E190" s="12" t="s">
        <v>1185</v>
      </c>
      <c r="F190" s="12" t="s">
        <v>132</v>
      </c>
      <c r="G190" s="12" t="s">
        <v>132</v>
      </c>
      <c r="H190" s="12" t="s">
        <v>315</v>
      </c>
      <c r="I190" s="12" t="s">
        <v>89</v>
      </c>
      <c r="J190" s="11" t="s">
        <v>316</v>
      </c>
      <c r="K190" s="11" t="s">
        <v>316</v>
      </c>
      <c r="L190" s="11" t="s">
        <v>1195</v>
      </c>
      <c r="M190" s="11" t="s">
        <v>317</v>
      </c>
      <c r="N190" s="58">
        <v>1</v>
      </c>
      <c r="O190" s="59"/>
      <c r="P190" s="12" t="s">
        <v>318</v>
      </c>
      <c r="Q190" s="12" t="s">
        <v>4</v>
      </c>
      <c r="R190" s="12" t="s">
        <v>15</v>
      </c>
      <c r="S190" s="12" t="s">
        <v>25</v>
      </c>
      <c r="T190" s="12">
        <v>1</v>
      </c>
      <c r="U190" s="13">
        <v>43998</v>
      </c>
      <c r="V190" s="12" t="s">
        <v>326</v>
      </c>
      <c r="W190" s="12" t="s">
        <v>92</v>
      </c>
      <c r="X190" s="12" t="s">
        <v>93</v>
      </c>
      <c r="Y190" s="13"/>
      <c r="Z190" s="75"/>
    </row>
    <row r="191" spans="1:26" s="20" customFormat="1" hidden="1" x14ac:dyDescent="0.3">
      <c r="A191" s="12" t="s">
        <v>85</v>
      </c>
      <c r="B191" s="12">
        <v>8348</v>
      </c>
      <c r="C191" s="11" t="s">
        <v>314</v>
      </c>
      <c r="D191" s="12" t="s">
        <v>1</v>
      </c>
      <c r="E191" s="12" t="s">
        <v>1185</v>
      </c>
      <c r="F191" s="12" t="s">
        <v>132</v>
      </c>
      <c r="G191" s="12" t="s">
        <v>132</v>
      </c>
      <c r="H191" s="12" t="s">
        <v>315</v>
      </c>
      <c r="I191" s="12" t="s">
        <v>89</v>
      </c>
      <c r="J191" s="11" t="s">
        <v>316</v>
      </c>
      <c r="K191" s="11" t="s">
        <v>316</v>
      </c>
      <c r="L191" s="11" t="s">
        <v>1195</v>
      </c>
      <c r="M191" s="11" t="s">
        <v>317</v>
      </c>
      <c r="N191" s="58">
        <v>1</v>
      </c>
      <c r="O191" s="59"/>
      <c r="P191" s="12" t="s">
        <v>318</v>
      </c>
      <c r="Q191" s="12" t="s">
        <v>4</v>
      </c>
      <c r="R191" s="12" t="s">
        <v>15</v>
      </c>
      <c r="S191" s="12" t="s">
        <v>25</v>
      </c>
      <c r="T191" s="12">
        <v>1</v>
      </c>
      <c r="U191" s="13">
        <v>44028</v>
      </c>
      <c r="V191" s="12" t="s">
        <v>327</v>
      </c>
      <c r="W191" s="12" t="s">
        <v>92</v>
      </c>
      <c r="X191" s="12" t="s">
        <v>93</v>
      </c>
      <c r="Y191" s="13"/>
      <c r="Z191" s="75"/>
    </row>
    <row r="192" spans="1:26" s="20" customFormat="1" hidden="1" x14ac:dyDescent="0.3">
      <c r="A192" s="12" t="s">
        <v>85</v>
      </c>
      <c r="B192" s="12">
        <v>8644</v>
      </c>
      <c r="C192" s="11" t="s">
        <v>95</v>
      </c>
      <c r="D192" s="12" t="s">
        <v>1</v>
      </c>
      <c r="E192" s="12" t="s">
        <v>1185</v>
      </c>
      <c r="F192" s="12" t="s">
        <v>87</v>
      </c>
      <c r="G192" s="12" t="s">
        <v>113</v>
      </c>
      <c r="H192" s="12" t="s">
        <v>96</v>
      </c>
      <c r="I192" s="12" t="s">
        <v>89</v>
      </c>
      <c r="J192" s="11" t="s">
        <v>1263</v>
      </c>
      <c r="K192" s="11" t="s">
        <v>1203</v>
      </c>
      <c r="L192" s="11" t="s">
        <v>1195</v>
      </c>
      <c r="M192" s="11" t="s">
        <v>328</v>
      </c>
      <c r="N192" s="59">
        <v>0</v>
      </c>
      <c r="O192" s="59"/>
      <c r="P192" s="12"/>
      <c r="Q192" s="12" t="s">
        <v>12</v>
      </c>
      <c r="R192" s="12" t="s">
        <v>99</v>
      </c>
      <c r="S192" s="12" t="s">
        <v>99</v>
      </c>
      <c r="T192" s="12">
        <v>0</v>
      </c>
      <c r="U192" s="13"/>
      <c r="V192" s="12" t="s">
        <v>92</v>
      </c>
      <c r="W192" s="12" t="s">
        <v>92</v>
      </c>
      <c r="X192" s="12" t="s">
        <v>135</v>
      </c>
      <c r="Y192" s="13"/>
      <c r="Z192" s="59" t="s">
        <v>228</v>
      </c>
    </row>
    <row r="193" spans="1:26" s="20" customFormat="1" hidden="1" x14ac:dyDescent="0.3">
      <c r="A193" s="12" t="s">
        <v>85</v>
      </c>
      <c r="B193" s="12">
        <v>8675</v>
      </c>
      <c r="C193" s="11" t="s">
        <v>95</v>
      </c>
      <c r="D193" s="12" t="s">
        <v>1</v>
      </c>
      <c r="E193" s="12" t="s">
        <v>1185</v>
      </c>
      <c r="F193" s="12" t="s">
        <v>87</v>
      </c>
      <c r="G193" s="12" t="s">
        <v>113</v>
      </c>
      <c r="H193" s="12" t="s">
        <v>96</v>
      </c>
      <c r="I193" s="12" t="s">
        <v>89</v>
      </c>
      <c r="J193" s="11" t="s">
        <v>293</v>
      </c>
      <c r="K193" s="11" t="s">
        <v>293</v>
      </c>
      <c r="L193" s="11" t="s">
        <v>1199</v>
      </c>
      <c r="M193" s="11" t="s">
        <v>294</v>
      </c>
      <c r="N193" s="58">
        <v>252</v>
      </c>
      <c r="O193" s="59"/>
      <c r="P193" s="12"/>
      <c r="Q193" s="12" t="s">
        <v>12</v>
      </c>
      <c r="R193" s="12" t="s">
        <v>15</v>
      </c>
      <c r="S193" s="12" t="s">
        <v>92</v>
      </c>
      <c r="T193" s="12">
        <v>1</v>
      </c>
      <c r="U193" s="13"/>
      <c r="V193" s="12" t="s">
        <v>164</v>
      </c>
      <c r="W193" s="12" t="s">
        <v>92</v>
      </c>
      <c r="X193" s="12" t="s">
        <v>93</v>
      </c>
      <c r="Y193" s="13">
        <v>43880</v>
      </c>
      <c r="Z193" s="75"/>
    </row>
    <row r="194" spans="1:26" s="20" customFormat="1" hidden="1" x14ac:dyDescent="0.3">
      <c r="A194" s="12" t="s">
        <v>85</v>
      </c>
      <c r="B194" s="12">
        <v>8675</v>
      </c>
      <c r="C194" s="11" t="s">
        <v>95</v>
      </c>
      <c r="D194" s="12" t="s">
        <v>1</v>
      </c>
      <c r="E194" s="12" t="s">
        <v>1185</v>
      </c>
      <c r="F194" s="12" t="s">
        <v>87</v>
      </c>
      <c r="G194" s="12" t="s">
        <v>113</v>
      </c>
      <c r="H194" s="12" t="s">
        <v>96</v>
      </c>
      <c r="I194" s="12" t="s">
        <v>89</v>
      </c>
      <c r="J194" s="11" t="s">
        <v>293</v>
      </c>
      <c r="K194" s="11" t="s">
        <v>293</v>
      </c>
      <c r="L194" s="11" t="s">
        <v>1199</v>
      </c>
      <c r="M194" s="11" t="s">
        <v>294</v>
      </c>
      <c r="N194" s="58">
        <v>252</v>
      </c>
      <c r="O194" s="59"/>
      <c r="P194" s="12"/>
      <c r="Q194" s="12" t="s">
        <v>4</v>
      </c>
      <c r="R194" s="12" t="s">
        <v>1190</v>
      </c>
      <c r="S194" s="12" t="s">
        <v>37</v>
      </c>
      <c r="T194" s="12">
        <v>1</v>
      </c>
      <c r="U194" s="13">
        <v>43814</v>
      </c>
      <c r="V194" s="12" t="s">
        <v>304</v>
      </c>
      <c r="W194" s="12" t="s">
        <v>92</v>
      </c>
      <c r="X194" s="12" t="s">
        <v>93</v>
      </c>
      <c r="Y194" s="13"/>
      <c r="Z194" s="75"/>
    </row>
    <row r="195" spans="1:26" s="20" customFormat="1" hidden="1" x14ac:dyDescent="0.3">
      <c r="A195" s="12" t="s">
        <v>85</v>
      </c>
      <c r="B195" s="12">
        <v>8675</v>
      </c>
      <c r="C195" s="11" t="s">
        <v>95</v>
      </c>
      <c r="D195" s="12" t="s">
        <v>1</v>
      </c>
      <c r="E195" s="12" t="s">
        <v>1185</v>
      </c>
      <c r="F195" s="12" t="s">
        <v>87</v>
      </c>
      <c r="G195" s="12" t="s">
        <v>113</v>
      </c>
      <c r="H195" s="12" t="s">
        <v>96</v>
      </c>
      <c r="I195" s="12" t="s">
        <v>89</v>
      </c>
      <c r="J195" s="11" t="s">
        <v>293</v>
      </c>
      <c r="K195" s="11" t="s">
        <v>293</v>
      </c>
      <c r="L195" s="11" t="s">
        <v>1199</v>
      </c>
      <c r="M195" s="11" t="s">
        <v>294</v>
      </c>
      <c r="N195" s="58">
        <v>252</v>
      </c>
      <c r="O195" s="59"/>
      <c r="P195" s="12"/>
      <c r="Q195" s="12" t="s">
        <v>4</v>
      </c>
      <c r="R195" s="12" t="s">
        <v>1190</v>
      </c>
      <c r="S195" s="12" t="s">
        <v>37</v>
      </c>
      <c r="T195" s="12">
        <v>1</v>
      </c>
      <c r="U195" s="13">
        <v>43847</v>
      </c>
      <c r="V195" s="12" t="s">
        <v>305</v>
      </c>
      <c r="W195" s="12" t="s">
        <v>92</v>
      </c>
      <c r="X195" s="12" t="s">
        <v>93</v>
      </c>
      <c r="Y195" s="13"/>
      <c r="Z195" s="75"/>
    </row>
    <row r="196" spans="1:26" s="20" customFormat="1" hidden="1" x14ac:dyDescent="0.3">
      <c r="A196" s="12" t="s">
        <v>85</v>
      </c>
      <c r="B196" s="12">
        <v>8675</v>
      </c>
      <c r="C196" s="11" t="s">
        <v>95</v>
      </c>
      <c r="D196" s="12" t="s">
        <v>1</v>
      </c>
      <c r="E196" s="12" t="s">
        <v>1185</v>
      </c>
      <c r="F196" s="12" t="s">
        <v>87</v>
      </c>
      <c r="G196" s="12" t="s">
        <v>113</v>
      </c>
      <c r="H196" s="12" t="s">
        <v>96</v>
      </c>
      <c r="I196" s="12" t="s">
        <v>89</v>
      </c>
      <c r="J196" s="11" t="s">
        <v>293</v>
      </c>
      <c r="K196" s="11" t="s">
        <v>293</v>
      </c>
      <c r="L196" s="11" t="s">
        <v>1199</v>
      </c>
      <c r="M196" s="11" t="s">
        <v>294</v>
      </c>
      <c r="N196" s="58">
        <v>252</v>
      </c>
      <c r="O196" s="59"/>
      <c r="P196" s="12"/>
      <c r="Q196" s="12" t="s">
        <v>4</v>
      </c>
      <c r="R196" s="12" t="s">
        <v>1190</v>
      </c>
      <c r="S196" s="12" t="s">
        <v>37</v>
      </c>
      <c r="T196" s="12">
        <v>1</v>
      </c>
      <c r="U196" s="13">
        <v>43878</v>
      </c>
      <c r="V196" s="12" t="s">
        <v>308</v>
      </c>
      <c r="W196" s="12" t="s">
        <v>92</v>
      </c>
      <c r="X196" s="12" t="s">
        <v>93</v>
      </c>
      <c r="Y196" s="13"/>
      <c r="Z196" s="75"/>
    </row>
    <row r="197" spans="1:26" s="20" customFormat="1" hidden="1" x14ac:dyDescent="0.3">
      <c r="A197" s="12" t="s">
        <v>85</v>
      </c>
      <c r="B197" s="12">
        <v>8675</v>
      </c>
      <c r="C197" s="11" t="s">
        <v>95</v>
      </c>
      <c r="D197" s="12" t="s">
        <v>1</v>
      </c>
      <c r="E197" s="12" t="s">
        <v>1185</v>
      </c>
      <c r="F197" s="12" t="s">
        <v>87</v>
      </c>
      <c r="G197" s="12" t="s">
        <v>113</v>
      </c>
      <c r="H197" s="12" t="s">
        <v>96</v>
      </c>
      <c r="I197" s="12" t="s">
        <v>89</v>
      </c>
      <c r="J197" s="11" t="s">
        <v>293</v>
      </c>
      <c r="K197" s="11" t="s">
        <v>293</v>
      </c>
      <c r="L197" s="11" t="s">
        <v>1199</v>
      </c>
      <c r="M197" s="11" t="s">
        <v>294</v>
      </c>
      <c r="N197" s="58">
        <v>252</v>
      </c>
      <c r="O197" s="59"/>
      <c r="P197" s="12"/>
      <c r="Q197" s="12" t="s">
        <v>4</v>
      </c>
      <c r="R197" s="12" t="s">
        <v>1190</v>
      </c>
      <c r="S197" s="12" t="s">
        <v>37</v>
      </c>
      <c r="T197" s="12">
        <v>1</v>
      </c>
      <c r="U197" s="13">
        <v>43907</v>
      </c>
      <c r="V197" s="12" t="s">
        <v>309</v>
      </c>
      <c r="W197" s="12" t="s">
        <v>92</v>
      </c>
      <c r="X197" s="12" t="s">
        <v>93</v>
      </c>
      <c r="Y197" s="13"/>
      <c r="Z197" s="75"/>
    </row>
    <row r="198" spans="1:26" s="20" customFormat="1" hidden="1" x14ac:dyDescent="0.3">
      <c r="A198" s="12" t="s">
        <v>85</v>
      </c>
      <c r="B198" s="12">
        <v>8675</v>
      </c>
      <c r="C198" s="11" t="s">
        <v>95</v>
      </c>
      <c r="D198" s="12" t="s">
        <v>1</v>
      </c>
      <c r="E198" s="12" t="s">
        <v>1185</v>
      </c>
      <c r="F198" s="12" t="s">
        <v>87</v>
      </c>
      <c r="G198" s="12" t="s">
        <v>113</v>
      </c>
      <c r="H198" s="12" t="s">
        <v>96</v>
      </c>
      <c r="I198" s="12" t="s">
        <v>89</v>
      </c>
      <c r="J198" s="11" t="s">
        <v>293</v>
      </c>
      <c r="K198" s="11" t="s">
        <v>293</v>
      </c>
      <c r="L198" s="11" t="s">
        <v>1199</v>
      </c>
      <c r="M198" s="11" t="s">
        <v>294</v>
      </c>
      <c r="N198" s="58">
        <v>252</v>
      </c>
      <c r="O198" s="59"/>
      <c r="P198" s="12"/>
      <c r="Q198" s="12" t="s">
        <v>4</v>
      </c>
      <c r="R198" s="12" t="s">
        <v>1190</v>
      </c>
      <c r="S198" s="12" t="s">
        <v>37</v>
      </c>
      <c r="T198" s="12">
        <v>1</v>
      </c>
      <c r="U198" s="13">
        <v>43938</v>
      </c>
      <c r="V198" s="12" t="s">
        <v>329</v>
      </c>
      <c r="W198" s="12" t="s">
        <v>92</v>
      </c>
      <c r="X198" s="12" t="s">
        <v>93</v>
      </c>
      <c r="Y198" s="13"/>
      <c r="Z198" s="75"/>
    </row>
    <row r="199" spans="1:26" s="20" customFormat="1" hidden="1" x14ac:dyDescent="0.3">
      <c r="A199" s="12" t="s">
        <v>85</v>
      </c>
      <c r="B199" s="12">
        <v>8675</v>
      </c>
      <c r="C199" s="11" t="s">
        <v>95</v>
      </c>
      <c r="D199" s="12" t="s">
        <v>1</v>
      </c>
      <c r="E199" s="12" t="s">
        <v>1185</v>
      </c>
      <c r="F199" s="12" t="s">
        <v>87</v>
      </c>
      <c r="G199" s="12" t="s">
        <v>113</v>
      </c>
      <c r="H199" s="12" t="s">
        <v>96</v>
      </c>
      <c r="I199" s="12" t="s">
        <v>89</v>
      </c>
      <c r="J199" s="11" t="s">
        <v>293</v>
      </c>
      <c r="K199" s="11" t="s">
        <v>293</v>
      </c>
      <c r="L199" s="11" t="s">
        <v>1199</v>
      </c>
      <c r="M199" s="11" t="s">
        <v>294</v>
      </c>
      <c r="N199" s="58">
        <v>252</v>
      </c>
      <c r="O199" s="59"/>
      <c r="P199" s="12"/>
      <c r="Q199" s="12" t="s">
        <v>4</v>
      </c>
      <c r="R199" s="12" t="s">
        <v>1190</v>
      </c>
      <c r="S199" s="12" t="s">
        <v>37</v>
      </c>
      <c r="T199" s="12">
        <v>1</v>
      </c>
      <c r="U199" s="13">
        <v>43962</v>
      </c>
      <c r="V199" s="12" t="s">
        <v>307</v>
      </c>
      <c r="W199" s="12" t="s">
        <v>92</v>
      </c>
      <c r="X199" s="12" t="s">
        <v>93</v>
      </c>
      <c r="Y199" s="13"/>
      <c r="Z199" s="75"/>
    </row>
    <row r="200" spans="1:26" s="20" customFormat="1" hidden="1" x14ac:dyDescent="0.3">
      <c r="A200" s="12" t="s">
        <v>85</v>
      </c>
      <c r="B200" s="12">
        <v>8675</v>
      </c>
      <c r="C200" s="11" t="s">
        <v>95</v>
      </c>
      <c r="D200" s="12" t="s">
        <v>1</v>
      </c>
      <c r="E200" s="12" t="s">
        <v>1185</v>
      </c>
      <c r="F200" s="12" t="s">
        <v>87</v>
      </c>
      <c r="G200" s="12" t="s">
        <v>113</v>
      </c>
      <c r="H200" s="12" t="s">
        <v>96</v>
      </c>
      <c r="I200" s="12" t="s">
        <v>89</v>
      </c>
      <c r="J200" s="11" t="s">
        <v>293</v>
      </c>
      <c r="K200" s="11" t="s">
        <v>293</v>
      </c>
      <c r="L200" s="11" t="s">
        <v>1199</v>
      </c>
      <c r="M200" s="11" t="s">
        <v>294</v>
      </c>
      <c r="N200" s="58">
        <v>252</v>
      </c>
      <c r="O200" s="59"/>
      <c r="P200" s="12"/>
      <c r="Q200" s="12" t="s">
        <v>4</v>
      </c>
      <c r="R200" s="12" t="s">
        <v>1190</v>
      </c>
      <c r="S200" s="12" t="s">
        <v>37</v>
      </c>
      <c r="T200" s="12">
        <v>1</v>
      </c>
      <c r="U200" s="13">
        <v>43998</v>
      </c>
      <c r="V200" s="12" t="s">
        <v>310</v>
      </c>
      <c r="W200" s="12" t="s">
        <v>92</v>
      </c>
      <c r="X200" s="12" t="s">
        <v>93</v>
      </c>
      <c r="Y200" s="13"/>
      <c r="Z200" s="75"/>
    </row>
    <row r="201" spans="1:26" s="20" customFormat="1" hidden="1" x14ac:dyDescent="0.3">
      <c r="A201" s="12" t="s">
        <v>85</v>
      </c>
      <c r="B201" s="12">
        <v>8675</v>
      </c>
      <c r="C201" s="11" t="s">
        <v>95</v>
      </c>
      <c r="D201" s="12" t="s">
        <v>1</v>
      </c>
      <c r="E201" s="12" t="s">
        <v>1185</v>
      </c>
      <c r="F201" s="12" t="s">
        <v>87</v>
      </c>
      <c r="G201" s="12" t="s">
        <v>113</v>
      </c>
      <c r="H201" s="12" t="s">
        <v>96</v>
      </c>
      <c r="I201" s="12" t="s">
        <v>89</v>
      </c>
      <c r="J201" s="11" t="s">
        <v>293</v>
      </c>
      <c r="K201" s="11" t="s">
        <v>293</v>
      </c>
      <c r="L201" s="11" t="s">
        <v>1199</v>
      </c>
      <c r="M201" s="11" t="s">
        <v>294</v>
      </c>
      <c r="N201" s="58">
        <v>252</v>
      </c>
      <c r="O201" s="59"/>
      <c r="P201" s="12"/>
      <c r="Q201" s="12" t="s">
        <v>4</v>
      </c>
      <c r="R201" s="12" t="s">
        <v>1190</v>
      </c>
      <c r="S201" s="12" t="s">
        <v>37</v>
      </c>
      <c r="T201" s="12">
        <v>1</v>
      </c>
      <c r="U201" s="13">
        <v>44027</v>
      </c>
      <c r="V201" s="12" t="s">
        <v>310</v>
      </c>
      <c r="W201" s="12" t="s">
        <v>92</v>
      </c>
      <c r="X201" s="12" t="s">
        <v>93</v>
      </c>
      <c r="Y201" s="13"/>
      <c r="Z201" s="75"/>
    </row>
    <row r="202" spans="1:26" s="20" customFormat="1" hidden="1" x14ac:dyDescent="0.3">
      <c r="A202" s="12" t="s">
        <v>85</v>
      </c>
      <c r="B202" s="12">
        <v>8794</v>
      </c>
      <c r="C202" s="11" t="s">
        <v>95</v>
      </c>
      <c r="D202" s="12" t="s">
        <v>1</v>
      </c>
      <c r="E202" s="12" t="s">
        <v>1185</v>
      </c>
      <c r="F202" s="12" t="s">
        <v>87</v>
      </c>
      <c r="G202" s="12" t="s">
        <v>113</v>
      </c>
      <c r="H202" s="12" t="s">
        <v>96</v>
      </c>
      <c r="I202" s="12" t="s">
        <v>89</v>
      </c>
      <c r="J202" s="11" t="s">
        <v>330</v>
      </c>
      <c r="K202" s="11" t="s">
        <v>330</v>
      </c>
      <c r="L202" s="11" t="s">
        <v>1202</v>
      </c>
      <c r="M202" s="11" t="s">
        <v>331</v>
      </c>
      <c r="N202" s="58">
        <v>584.91999999999996</v>
      </c>
      <c r="O202" s="59"/>
      <c r="P202" s="12"/>
      <c r="Q202" s="12" t="s">
        <v>12</v>
      </c>
      <c r="R202" s="12" t="s">
        <v>99</v>
      </c>
      <c r="S202" s="12" t="s">
        <v>99</v>
      </c>
      <c r="T202" s="12">
        <v>1</v>
      </c>
      <c r="U202" s="13"/>
      <c r="V202" s="12" t="s">
        <v>164</v>
      </c>
      <c r="W202" s="12" t="s">
        <v>92</v>
      </c>
      <c r="X202" s="12" t="s">
        <v>93</v>
      </c>
      <c r="Y202" s="13">
        <v>43880</v>
      </c>
      <c r="Z202" s="75"/>
    </row>
    <row r="203" spans="1:26" s="20" customFormat="1" hidden="1" x14ac:dyDescent="0.3">
      <c r="A203" s="12" t="s">
        <v>85</v>
      </c>
      <c r="B203" s="12">
        <v>8795</v>
      </c>
      <c r="C203" s="11" t="s">
        <v>95</v>
      </c>
      <c r="D203" s="12" t="s">
        <v>1</v>
      </c>
      <c r="E203" s="12" t="s">
        <v>1185</v>
      </c>
      <c r="F203" s="12" t="s">
        <v>87</v>
      </c>
      <c r="G203" s="12" t="s">
        <v>113</v>
      </c>
      <c r="H203" s="12" t="s">
        <v>96</v>
      </c>
      <c r="I203" s="12" t="s">
        <v>89</v>
      </c>
      <c r="J203" s="11" t="s">
        <v>330</v>
      </c>
      <c r="K203" s="11" t="s">
        <v>330</v>
      </c>
      <c r="L203" s="11" t="s">
        <v>1202</v>
      </c>
      <c r="M203" s="11" t="s">
        <v>332</v>
      </c>
      <c r="N203" s="58">
        <v>584.91999999999996</v>
      </c>
      <c r="O203" s="59"/>
      <c r="P203" s="12"/>
      <c r="Q203" s="12" t="s">
        <v>12</v>
      </c>
      <c r="R203" s="12" t="s">
        <v>99</v>
      </c>
      <c r="S203" s="12" t="s">
        <v>99</v>
      </c>
      <c r="T203" s="12">
        <v>1</v>
      </c>
      <c r="U203" s="13"/>
      <c r="V203" s="12" t="s">
        <v>164</v>
      </c>
      <c r="W203" s="12" t="s">
        <v>92</v>
      </c>
      <c r="X203" s="12" t="s">
        <v>93</v>
      </c>
      <c r="Y203" s="13">
        <v>43880</v>
      </c>
      <c r="Z203" s="75"/>
    </row>
    <row r="204" spans="1:26" s="20" customFormat="1" hidden="1" x14ac:dyDescent="0.3">
      <c r="A204" s="12" t="s">
        <v>85</v>
      </c>
      <c r="B204" s="12">
        <v>8796</v>
      </c>
      <c r="C204" s="11" t="s">
        <v>95</v>
      </c>
      <c r="D204" s="12" t="s">
        <v>1</v>
      </c>
      <c r="E204" s="12" t="s">
        <v>1185</v>
      </c>
      <c r="F204" s="12" t="s">
        <v>87</v>
      </c>
      <c r="G204" s="12" t="s">
        <v>113</v>
      </c>
      <c r="H204" s="12" t="s">
        <v>96</v>
      </c>
      <c r="I204" s="12" t="s">
        <v>89</v>
      </c>
      <c r="J204" s="11" t="s">
        <v>330</v>
      </c>
      <c r="K204" s="11" t="s">
        <v>330</v>
      </c>
      <c r="L204" s="11" t="s">
        <v>1202</v>
      </c>
      <c r="M204" s="11" t="s">
        <v>332</v>
      </c>
      <c r="N204" s="58">
        <v>766.17</v>
      </c>
      <c r="O204" s="59"/>
      <c r="P204" s="12"/>
      <c r="Q204" s="12" t="s">
        <v>12</v>
      </c>
      <c r="R204" s="12" t="s">
        <v>99</v>
      </c>
      <c r="S204" s="12" t="s">
        <v>99</v>
      </c>
      <c r="T204" s="12">
        <v>1</v>
      </c>
      <c r="U204" s="13"/>
      <c r="V204" s="12" t="s">
        <v>164</v>
      </c>
      <c r="W204" s="12" t="s">
        <v>92</v>
      </c>
      <c r="X204" s="12" t="s">
        <v>93</v>
      </c>
      <c r="Y204" s="13">
        <v>43880</v>
      </c>
      <c r="Z204" s="75"/>
    </row>
    <row r="205" spans="1:26" s="20" customFormat="1" hidden="1" x14ac:dyDescent="0.3">
      <c r="A205" s="12" t="s">
        <v>85</v>
      </c>
      <c r="B205" s="12">
        <v>8851</v>
      </c>
      <c r="C205" s="11" t="s">
        <v>333</v>
      </c>
      <c r="D205" s="12" t="s">
        <v>1</v>
      </c>
      <c r="E205" s="12" t="s">
        <v>1185</v>
      </c>
      <c r="F205" s="12" t="s">
        <v>132</v>
      </c>
      <c r="G205" s="12" t="s">
        <v>87</v>
      </c>
      <c r="H205" s="12" t="s">
        <v>334</v>
      </c>
      <c r="I205" s="12" t="s">
        <v>89</v>
      </c>
      <c r="J205" s="11" t="s">
        <v>335</v>
      </c>
      <c r="K205" s="11" t="s">
        <v>335</v>
      </c>
      <c r="L205" s="11" t="s">
        <v>1195</v>
      </c>
      <c r="M205" s="11" t="s">
        <v>336</v>
      </c>
      <c r="N205" s="57">
        <v>2500.17</v>
      </c>
      <c r="O205" s="59"/>
      <c r="P205" s="12" t="s">
        <v>337</v>
      </c>
      <c r="Q205" s="12" t="s">
        <v>4</v>
      </c>
      <c r="R205" s="12" t="s">
        <v>15</v>
      </c>
      <c r="S205" s="12" t="s">
        <v>25</v>
      </c>
      <c r="T205" s="12">
        <v>1</v>
      </c>
      <c r="U205" s="13">
        <v>43893</v>
      </c>
      <c r="V205" s="12" t="s">
        <v>338</v>
      </c>
      <c r="W205" s="12" t="s">
        <v>92</v>
      </c>
      <c r="X205" s="12" t="s">
        <v>93</v>
      </c>
      <c r="Y205" s="13"/>
      <c r="Z205" s="75"/>
    </row>
    <row r="206" spans="1:26" s="20" customFormat="1" hidden="1" x14ac:dyDescent="0.3">
      <c r="A206" s="12" t="s">
        <v>85</v>
      </c>
      <c r="B206" s="12">
        <v>8851</v>
      </c>
      <c r="C206" s="11" t="s">
        <v>333</v>
      </c>
      <c r="D206" s="12" t="s">
        <v>1</v>
      </c>
      <c r="E206" s="12" t="s">
        <v>1185</v>
      </c>
      <c r="F206" s="12" t="s">
        <v>132</v>
      </c>
      <c r="G206" s="12" t="s">
        <v>87</v>
      </c>
      <c r="H206" s="12" t="s">
        <v>334</v>
      </c>
      <c r="I206" s="12" t="s">
        <v>89</v>
      </c>
      <c r="J206" s="11" t="s">
        <v>335</v>
      </c>
      <c r="K206" s="11" t="s">
        <v>335</v>
      </c>
      <c r="L206" s="11" t="s">
        <v>1195</v>
      </c>
      <c r="M206" s="11" t="s">
        <v>336</v>
      </c>
      <c r="N206" s="57">
        <v>2500.17</v>
      </c>
      <c r="O206" s="59"/>
      <c r="P206" s="12" t="s">
        <v>337</v>
      </c>
      <c r="Q206" s="12" t="s">
        <v>4</v>
      </c>
      <c r="R206" s="12" t="s">
        <v>15</v>
      </c>
      <c r="S206" s="12" t="s">
        <v>25</v>
      </c>
      <c r="T206" s="12">
        <v>1</v>
      </c>
      <c r="U206" s="13">
        <v>43962</v>
      </c>
      <c r="V206" s="12" t="s">
        <v>339</v>
      </c>
      <c r="W206" s="12" t="s">
        <v>92</v>
      </c>
      <c r="X206" s="12" t="s">
        <v>105</v>
      </c>
      <c r="Y206" s="13"/>
      <c r="Z206" s="75"/>
    </row>
    <row r="207" spans="1:26" s="20" customFormat="1" hidden="1" x14ac:dyDescent="0.3">
      <c r="A207" s="12" t="s">
        <v>85</v>
      </c>
      <c r="B207" s="12">
        <v>8851</v>
      </c>
      <c r="C207" s="11" t="s">
        <v>333</v>
      </c>
      <c r="D207" s="12" t="s">
        <v>1</v>
      </c>
      <c r="E207" s="12" t="s">
        <v>1185</v>
      </c>
      <c r="F207" s="12" t="s">
        <v>132</v>
      </c>
      <c r="G207" s="12" t="s">
        <v>87</v>
      </c>
      <c r="H207" s="12" t="s">
        <v>334</v>
      </c>
      <c r="I207" s="12" t="s">
        <v>89</v>
      </c>
      <c r="J207" s="11" t="s">
        <v>335</v>
      </c>
      <c r="K207" s="11" t="s">
        <v>335</v>
      </c>
      <c r="L207" s="11" t="s">
        <v>1195</v>
      </c>
      <c r="M207" s="11" t="s">
        <v>336</v>
      </c>
      <c r="N207" s="57">
        <v>2500.17</v>
      </c>
      <c r="O207" s="59"/>
      <c r="P207" s="12" t="s">
        <v>337</v>
      </c>
      <c r="Q207" s="12" t="s">
        <v>4</v>
      </c>
      <c r="R207" s="12" t="s">
        <v>15</v>
      </c>
      <c r="S207" s="12" t="s">
        <v>25</v>
      </c>
      <c r="T207" s="12">
        <v>1</v>
      </c>
      <c r="U207" s="13">
        <v>43991</v>
      </c>
      <c r="V207" s="12" t="s">
        <v>340</v>
      </c>
      <c r="W207" s="12" t="s">
        <v>92</v>
      </c>
      <c r="X207" s="12" t="s">
        <v>105</v>
      </c>
      <c r="Y207" s="13"/>
      <c r="Z207" s="75"/>
    </row>
    <row r="208" spans="1:26" s="20" customFormat="1" hidden="1" x14ac:dyDescent="0.3">
      <c r="A208" s="12" t="s">
        <v>85</v>
      </c>
      <c r="B208" s="12">
        <v>8851</v>
      </c>
      <c r="C208" s="11" t="s">
        <v>333</v>
      </c>
      <c r="D208" s="12" t="s">
        <v>1</v>
      </c>
      <c r="E208" s="12" t="s">
        <v>1185</v>
      </c>
      <c r="F208" s="12" t="s">
        <v>132</v>
      </c>
      <c r="G208" s="12" t="s">
        <v>87</v>
      </c>
      <c r="H208" s="12" t="s">
        <v>334</v>
      </c>
      <c r="I208" s="12" t="s">
        <v>89</v>
      </c>
      <c r="J208" s="11" t="s">
        <v>335</v>
      </c>
      <c r="K208" s="11" t="s">
        <v>335</v>
      </c>
      <c r="L208" s="11" t="s">
        <v>1195</v>
      </c>
      <c r="M208" s="11" t="s">
        <v>336</v>
      </c>
      <c r="N208" s="57">
        <v>2500.17</v>
      </c>
      <c r="O208" s="59"/>
      <c r="P208" s="12" t="s">
        <v>337</v>
      </c>
      <c r="Q208" s="12" t="s">
        <v>4</v>
      </c>
      <c r="R208" s="12" t="s">
        <v>15</v>
      </c>
      <c r="S208" s="12" t="s">
        <v>25</v>
      </c>
      <c r="T208" s="12">
        <v>1</v>
      </c>
      <c r="U208" s="13">
        <v>44000</v>
      </c>
      <c r="V208" s="12" t="s">
        <v>341</v>
      </c>
      <c r="W208" s="12" t="s">
        <v>92</v>
      </c>
      <c r="X208" s="12" t="s">
        <v>105</v>
      </c>
      <c r="Y208" s="13"/>
      <c r="Z208" s="75"/>
    </row>
    <row r="209" spans="1:26" s="20" customFormat="1" hidden="1" x14ac:dyDescent="0.3">
      <c r="A209" s="12" t="s">
        <v>85</v>
      </c>
      <c r="B209" s="12">
        <v>8851</v>
      </c>
      <c r="C209" s="11" t="s">
        <v>333</v>
      </c>
      <c r="D209" s="12" t="s">
        <v>1</v>
      </c>
      <c r="E209" s="12" t="s">
        <v>1185</v>
      </c>
      <c r="F209" s="12" t="s">
        <v>132</v>
      </c>
      <c r="G209" s="12" t="s">
        <v>87</v>
      </c>
      <c r="H209" s="12" t="s">
        <v>334</v>
      </c>
      <c r="I209" s="12" t="s">
        <v>89</v>
      </c>
      <c r="J209" s="11" t="s">
        <v>335</v>
      </c>
      <c r="K209" s="11" t="s">
        <v>335</v>
      </c>
      <c r="L209" s="11" t="s">
        <v>1195</v>
      </c>
      <c r="M209" s="11" t="s">
        <v>336</v>
      </c>
      <c r="N209" s="57">
        <v>2500.17</v>
      </c>
      <c r="O209" s="59"/>
      <c r="P209" s="12" t="s">
        <v>337</v>
      </c>
      <c r="Q209" s="12" t="s">
        <v>4</v>
      </c>
      <c r="R209" s="12" t="s">
        <v>15</v>
      </c>
      <c r="S209" s="12" t="s">
        <v>25</v>
      </c>
      <c r="T209" s="12">
        <v>1</v>
      </c>
      <c r="U209" s="13">
        <v>44001</v>
      </c>
      <c r="V209" s="12" t="s">
        <v>342</v>
      </c>
      <c r="W209" s="12" t="s">
        <v>92</v>
      </c>
      <c r="X209" s="12" t="s">
        <v>105</v>
      </c>
      <c r="Y209" s="13"/>
      <c r="Z209" s="75"/>
    </row>
    <row r="210" spans="1:26" s="20" customFormat="1" hidden="1" x14ac:dyDescent="0.3">
      <c r="A210" s="12" t="s">
        <v>85</v>
      </c>
      <c r="B210" s="12">
        <v>8851</v>
      </c>
      <c r="C210" s="11" t="s">
        <v>333</v>
      </c>
      <c r="D210" s="12" t="s">
        <v>1</v>
      </c>
      <c r="E210" s="12" t="s">
        <v>1185</v>
      </c>
      <c r="F210" s="12" t="s">
        <v>132</v>
      </c>
      <c r="G210" s="12" t="s">
        <v>87</v>
      </c>
      <c r="H210" s="12" t="s">
        <v>334</v>
      </c>
      <c r="I210" s="12" t="s">
        <v>89</v>
      </c>
      <c r="J210" s="11" t="s">
        <v>335</v>
      </c>
      <c r="K210" s="11" t="s">
        <v>335</v>
      </c>
      <c r="L210" s="11" t="s">
        <v>1195</v>
      </c>
      <c r="M210" s="11" t="s">
        <v>336</v>
      </c>
      <c r="N210" s="57">
        <v>2500.17</v>
      </c>
      <c r="O210" s="59"/>
      <c r="P210" s="12" t="s">
        <v>337</v>
      </c>
      <c r="Q210" s="12" t="s">
        <v>4</v>
      </c>
      <c r="R210" s="12" t="s">
        <v>15</v>
      </c>
      <c r="S210" s="12" t="s">
        <v>25</v>
      </c>
      <c r="T210" s="12">
        <v>1</v>
      </c>
      <c r="U210" s="13">
        <v>44004</v>
      </c>
      <c r="V210" s="12" t="s">
        <v>343</v>
      </c>
      <c r="W210" s="12" t="s">
        <v>92</v>
      </c>
      <c r="X210" s="12" t="s">
        <v>105</v>
      </c>
      <c r="Y210" s="13"/>
      <c r="Z210" s="75"/>
    </row>
    <row r="211" spans="1:26" s="20" customFormat="1" hidden="1" x14ac:dyDescent="0.3">
      <c r="A211" s="12" t="s">
        <v>85</v>
      </c>
      <c r="B211" s="12">
        <v>8851</v>
      </c>
      <c r="C211" s="11" t="s">
        <v>333</v>
      </c>
      <c r="D211" s="12" t="s">
        <v>1</v>
      </c>
      <c r="E211" s="12" t="s">
        <v>1185</v>
      </c>
      <c r="F211" s="12" t="s">
        <v>132</v>
      </c>
      <c r="G211" s="12" t="s">
        <v>87</v>
      </c>
      <c r="H211" s="12" t="s">
        <v>334</v>
      </c>
      <c r="I211" s="12" t="s">
        <v>89</v>
      </c>
      <c r="J211" s="11" t="s">
        <v>335</v>
      </c>
      <c r="K211" s="11" t="s">
        <v>335</v>
      </c>
      <c r="L211" s="11" t="s">
        <v>1195</v>
      </c>
      <c r="M211" s="11" t="s">
        <v>336</v>
      </c>
      <c r="N211" s="57">
        <v>2500.17</v>
      </c>
      <c r="O211" s="59"/>
      <c r="P211" s="12" t="s">
        <v>337</v>
      </c>
      <c r="Q211" s="12" t="s">
        <v>4</v>
      </c>
      <c r="R211" s="12" t="s">
        <v>15</v>
      </c>
      <c r="S211" s="12" t="s">
        <v>25</v>
      </c>
      <c r="T211" s="12">
        <v>1</v>
      </c>
      <c r="U211" s="13">
        <v>44018</v>
      </c>
      <c r="V211" s="12" t="s">
        <v>344</v>
      </c>
      <c r="W211" s="12" t="s">
        <v>92</v>
      </c>
      <c r="X211" s="12" t="s">
        <v>105</v>
      </c>
      <c r="Y211" s="13"/>
      <c r="Z211" s="75"/>
    </row>
    <row r="212" spans="1:26" s="20" customFormat="1" hidden="1" x14ac:dyDescent="0.3">
      <c r="A212" s="12" t="s">
        <v>85</v>
      </c>
      <c r="B212" s="12">
        <v>8852</v>
      </c>
      <c r="C212" s="11" t="s">
        <v>345</v>
      </c>
      <c r="D212" s="12" t="s">
        <v>1</v>
      </c>
      <c r="E212" s="12" t="s">
        <v>1185</v>
      </c>
      <c r="F212" s="12" t="s">
        <v>87</v>
      </c>
      <c r="G212" s="12" t="s">
        <v>87</v>
      </c>
      <c r="H212" s="12" t="s">
        <v>346</v>
      </c>
      <c r="I212" s="12" t="s">
        <v>125</v>
      </c>
      <c r="J212" s="11" t="s">
        <v>347</v>
      </c>
      <c r="K212" s="11" t="s">
        <v>347</v>
      </c>
      <c r="L212" s="11" t="s">
        <v>1194</v>
      </c>
      <c r="M212" s="11" t="s">
        <v>348</v>
      </c>
      <c r="N212" s="57">
        <v>868790</v>
      </c>
      <c r="O212" s="59"/>
      <c r="P212" s="12">
        <v>0</v>
      </c>
      <c r="Q212" s="12" t="s">
        <v>12</v>
      </c>
      <c r="R212" s="12" t="s">
        <v>99</v>
      </c>
      <c r="S212" s="12" t="s">
        <v>99</v>
      </c>
      <c r="T212" s="12">
        <v>0</v>
      </c>
      <c r="U212" s="13"/>
      <c r="V212" s="12" t="s">
        <v>92</v>
      </c>
      <c r="W212" s="12" t="s">
        <v>92</v>
      </c>
      <c r="X212" s="12" t="s">
        <v>135</v>
      </c>
      <c r="Y212" s="13"/>
      <c r="Z212" s="75"/>
    </row>
    <row r="213" spans="1:26" s="20" customFormat="1" hidden="1" x14ac:dyDescent="0.3">
      <c r="A213" s="12" t="s">
        <v>85</v>
      </c>
      <c r="B213" s="12">
        <v>8853</v>
      </c>
      <c r="C213" s="11" t="s">
        <v>345</v>
      </c>
      <c r="D213" s="12" t="s">
        <v>1</v>
      </c>
      <c r="E213" s="12" t="s">
        <v>1185</v>
      </c>
      <c r="F213" s="12" t="s">
        <v>87</v>
      </c>
      <c r="G213" s="12" t="s">
        <v>87</v>
      </c>
      <c r="H213" s="12" t="s">
        <v>346</v>
      </c>
      <c r="I213" s="12" t="s">
        <v>125</v>
      </c>
      <c r="J213" s="11" t="s">
        <v>347</v>
      </c>
      <c r="K213" s="11" t="s">
        <v>347</v>
      </c>
      <c r="L213" s="11" t="s">
        <v>1194</v>
      </c>
      <c r="M213" s="11" t="s">
        <v>348</v>
      </c>
      <c r="N213" s="57">
        <v>2120756</v>
      </c>
      <c r="O213" s="59"/>
      <c r="P213" s="12">
        <v>0</v>
      </c>
      <c r="Q213" s="12" t="s">
        <v>12</v>
      </c>
      <c r="R213" s="12" t="s">
        <v>99</v>
      </c>
      <c r="S213" s="12" t="s">
        <v>99</v>
      </c>
      <c r="T213" s="12">
        <v>0</v>
      </c>
      <c r="U213" s="13"/>
      <c r="V213" s="12" t="s">
        <v>92</v>
      </c>
      <c r="W213" s="12" t="s">
        <v>92</v>
      </c>
      <c r="X213" s="12" t="s">
        <v>135</v>
      </c>
      <c r="Y213" s="13"/>
      <c r="Z213" s="75"/>
    </row>
    <row r="214" spans="1:26" s="20" customFormat="1" hidden="1" x14ac:dyDescent="0.3">
      <c r="A214" s="12" t="s">
        <v>85</v>
      </c>
      <c r="B214" s="12">
        <v>9057</v>
      </c>
      <c r="C214" s="11" t="s">
        <v>349</v>
      </c>
      <c r="D214" s="12" t="s">
        <v>1</v>
      </c>
      <c r="E214" s="12" t="s">
        <v>1185</v>
      </c>
      <c r="F214" s="12" t="s">
        <v>87</v>
      </c>
      <c r="G214" s="12" t="s">
        <v>113</v>
      </c>
      <c r="H214" s="12" t="s">
        <v>350</v>
      </c>
      <c r="I214" s="12" t="s">
        <v>89</v>
      </c>
      <c r="J214" s="11" t="s">
        <v>351</v>
      </c>
      <c r="K214" s="11" t="s">
        <v>351</v>
      </c>
      <c r="L214" s="11" t="s">
        <v>1204</v>
      </c>
      <c r="M214" s="11" t="s">
        <v>352</v>
      </c>
      <c r="N214" s="58">
        <v>300</v>
      </c>
      <c r="O214" s="59"/>
      <c r="P214" s="12"/>
      <c r="Q214" s="12" t="s">
        <v>12</v>
      </c>
      <c r="R214" s="12" t="s">
        <v>99</v>
      </c>
      <c r="S214" s="12" t="s">
        <v>99</v>
      </c>
      <c r="T214" s="12">
        <v>1</v>
      </c>
      <c r="U214" s="13"/>
      <c r="V214" s="12" t="s">
        <v>353</v>
      </c>
      <c r="W214" s="12" t="s">
        <v>92</v>
      </c>
      <c r="X214" s="12" t="s">
        <v>93</v>
      </c>
      <c r="Y214" s="13">
        <v>43895</v>
      </c>
      <c r="Z214" s="75"/>
    </row>
    <row r="215" spans="1:26" s="20" customFormat="1" hidden="1" x14ac:dyDescent="0.3">
      <c r="A215" s="12" t="s">
        <v>85</v>
      </c>
      <c r="B215" s="12">
        <v>9228</v>
      </c>
      <c r="C215" s="11" t="s">
        <v>95</v>
      </c>
      <c r="D215" s="12" t="s">
        <v>1</v>
      </c>
      <c r="E215" s="12" t="s">
        <v>1185</v>
      </c>
      <c r="F215" s="12" t="s">
        <v>87</v>
      </c>
      <c r="G215" s="12" t="s">
        <v>113</v>
      </c>
      <c r="H215" s="12" t="s">
        <v>96</v>
      </c>
      <c r="I215" s="12" t="s">
        <v>89</v>
      </c>
      <c r="J215" s="89" t="s">
        <v>1262</v>
      </c>
      <c r="K215" s="11" t="s">
        <v>1205</v>
      </c>
      <c r="L215" s="11" t="s">
        <v>1195</v>
      </c>
      <c r="M215" s="11" t="s">
        <v>354</v>
      </c>
      <c r="N215" s="58">
        <v>891</v>
      </c>
      <c r="O215" s="59" t="s">
        <v>355</v>
      </c>
      <c r="P215" s="12"/>
      <c r="Q215" s="12" t="s">
        <v>12</v>
      </c>
      <c r="R215" s="12" t="s">
        <v>99</v>
      </c>
      <c r="S215" s="12" t="s">
        <v>99</v>
      </c>
      <c r="T215" s="12">
        <v>1</v>
      </c>
      <c r="U215" s="13"/>
      <c r="V215" s="12" t="s">
        <v>164</v>
      </c>
      <c r="W215" s="12" t="s">
        <v>92</v>
      </c>
      <c r="X215" s="12" t="s">
        <v>93</v>
      </c>
      <c r="Y215" s="13">
        <v>43880</v>
      </c>
      <c r="Z215" s="75"/>
    </row>
    <row r="216" spans="1:26" s="20" customFormat="1" hidden="1" x14ac:dyDescent="0.3">
      <c r="A216" s="12" t="s">
        <v>85</v>
      </c>
      <c r="B216" s="12">
        <v>9386</v>
      </c>
      <c r="C216" s="11" t="s">
        <v>356</v>
      </c>
      <c r="D216" s="12" t="s">
        <v>1</v>
      </c>
      <c r="E216" s="12" t="s">
        <v>1185</v>
      </c>
      <c r="F216" s="12" t="s">
        <v>87</v>
      </c>
      <c r="G216" s="12" t="s">
        <v>113</v>
      </c>
      <c r="H216" s="12" t="s">
        <v>357</v>
      </c>
      <c r="I216" s="12" t="s">
        <v>125</v>
      </c>
      <c r="J216" s="11" t="s">
        <v>358</v>
      </c>
      <c r="K216" s="11" t="s">
        <v>358</v>
      </c>
      <c r="L216" s="11" t="s">
        <v>1195</v>
      </c>
      <c r="M216" s="11" t="s">
        <v>359</v>
      </c>
      <c r="N216" s="58">
        <v>252</v>
      </c>
      <c r="O216" s="59"/>
      <c r="P216" s="12">
        <v>0</v>
      </c>
      <c r="Q216" s="12" t="s">
        <v>4</v>
      </c>
      <c r="R216" s="12" t="s">
        <v>15</v>
      </c>
      <c r="S216" s="12" t="s">
        <v>38</v>
      </c>
      <c r="T216" s="12">
        <v>0</v>
      </c>
      <c r="U216" s="13"/>
      <c r="V216" s="12" t="s">
        <v>92</v>
      </c>
      <c r="W216" s="12" t="s">
        <v>92</v>
      </c>
      <c r="X216" s="12" t="s">
        <v>108</v>
      </c>
      <c r="Y216" s="13"/>
      <c r="Z216" s="75"/>
    </row>
    <row r="217" spans="1:26" s="20" customFormat="1" hidden="1" x14ac:dyDescent="0.3">
      <c r="A217" s="12" t="s">
        <v>85</v>
      </c>
      <c r="B217" s="12">
        <v>9386</v>
      </c>
      <c r="C217" s="11" t="s">
        <v>356</v>
      </c>
      <c r="D217" s="12" t="s">
        <v>1</v>
      </c>
      <c r="E217" s="12" t="s">
        <v>1185</v>
      </c>
      <c r="F217" s="12" t="s">
        <v>87</v>
      </c>
      <c r="G217" s="12" t="s">
        <v>113</v>
      </c>
      <c r="H217" s="12" t="s">
        <v>357</v>
      </c>
      <c r="I217" s="12" t="s">
        <v>125</v>
      </c>
      <c r="J217" s="11" t="s">
        <v>358</v>
      </c>
      <c r="K217" s="11" t="s">
        <v>358</v>
      </c>
      <c r="L217" s="11" t="s">
        <v>1195</v>
      </c>
      <c r="M217" s="11" t="s">
        <v>359</v>
      </c>
      <c r="N217" s="58">
        <v>252</v>
      </c>
      <c r="O217" s="59"/>
      <c r="P217" s="12">
        <v>0</v>
      </c>
      <c r="Q217" s="12" t="s">
        <v>4</v>
      </c>
      <c r="R217" s="12" t="s">
        <v>13</v>
      </c>
      <c r="S217" s="12" t="s">
        <v>33</v>
      </c>
      <c r="T217" s="12">
        <v>0</v>
      </c>
      <c r="U217" s="12"/>
      <c r="V217" s="12" t="s">
        <v>92</v>
      </c>
      <c r="W217" s="12" t="s">
        <v>92</v>
      </c>
      <c r="X217" s="12" t="s">
        <v>93</v>
      </c>
      <c r="Y217" s="13"/>
      <c r="Z217" s="75"/>
    </row>
    <row r="218" spans="1:26" s="20" customFormat="1" hidden="1" x14ac:dyDescent="0.3">
      <c r="A218" s="12" t="s">
        <v>85</v>
      </c>
      <c r="B218" s="12">
        <v>9387</v>
      </c>
      <c r="C218" s="11" t="s">
        <v>356</v>
      </c>
      <c r="D218" s="12" t="s">
        <v>1</v>
      </c>
      <c r="E218" s="12" t="s">
        <v>1185</v>
      </c>
      <c r="F218" s="12" t="s">
        <v>87</v>
      </c>
      <c r="G218" s="12" t="s">
        <v>113</v>
      </c>
      <c r="H218" s="12" t="s">
        <v>357</v>
      </c>
      <c r="I218" s="12" t="s">
        <v>125</v>
      </c>
      <c r="J218" s="11" t="s">
        <v>360</v>
      </c>
      <c r="K218" s="11" t="s">
        <v>360</v>
      </c>
      <c r="L218" s="11" t="s">
        <v>1195</v>
      </c>
      <c r="M218" s="11" t="s">
        <v>361</v>
      </c>
      <c r="N218" s="58">
        <v>253</v>
      </c>
      <c r="O218" s="59"/>
      <c r="P218" s="12">
        <v>51827</v>
      </c>
      <c r="Q218" s="12" t="s">
        <v>4</v>
      </c>
      <c r="R218" s="12" t="s">
        <v>13</v>
      </c>
      <c r="S218" s="12" t="s">
        <v>33</v>
      </c>
      <c r="T218" s="12">
        <v>0</v>
      </c>
      <c r="U218" s="13"/>
      <c r="V218" s="12" t="s">
        <v>92</v>
      </c>
      <c r="W218" s="12" t="s">
        <v>92</v>
      </c>
      <c r="X218" s="12" t="s">
        <v>93</v>
      </c>
      <c r="Y218" s="13"/>
      <c r="Z218" s="75"/>
    </row>
    <row r="219" spans="1:26" s="20" customFormat="1" hidden="1" x14ac:dyDescent="0.3">
      <c r="A219" s="12" t="s">
        <v>85</v>
      </c>
      <c r="B219" s="12">
        <v>9387</v>
      </c>
      <c r="C219" s="11" t="s">
        <v>356</v>
      </c>
      <c r="D219" s="12" t="s">
        <v>1</v>
      </c>
      <c r="E219" s="12" t="s">
        <v>1185</v>
      </c>
      <c r="F219" s="12" t="s">
        <v>87</v>
      </c>
      <c r="G219" s="12" t="s">
        <v>113</v>
      </c>
      <c r="H219" s="12" t="s">
        <v>357</v>
      </c>
      <c r="I219" s="12" t="s">
        <v>125</v>
      </c>
      <c r="J219" s="11" t="s">
        <v>360</v>
      </c>
      <c r="K219" s="11" t="s">
        <v>360</v>
      </c>
      <c r="L219" s="11" t="s">
        <v>1195</v>
      </c>
      <c r="M219" s="11" t="s">
        <v>361</v>
      </c>
      <c r="N219" s="58">
        <v>253</v>
      </c>
      <c r="O219" s="59"/>
      <c r="P219" s="12">
        <v>51827</v>
      </c>
      <c r="Q219" s="12" t="s">
        <v>4</v>
      </c>
      <c r="R219" s="12" t="s">
        <v>15</v>
      </c>
      <c r="S219" s="12" t="s">
        <v>38</v>
      </c>
      <c r="T219" s="12">
        <v>0</v>
      </c>
      <c r="U219" s="12"/>
      <c r="V219" s="12" t="s">
        <v>92</v>
      </c>
      <c r="W219" s="12" t="s">
        <v>92</v>
      </c>
      <c r="X219" s="12" t="s">
        <v>108</v>
      </c>
      <c r="Y219" s="13"/>
      <c r="Z219" s="75"/>
    </row>
    <row r="220" spans="1:26" s="20" customFormat="1" hidden="1" x14ac:dyDescent="0.3">
      <c r="A220" s="12" t="s">
        <v>85</v>
      </c>
      <c r="B220" s="12">
        <v>9388</v>
      </c>
      <c r="C220" s="11" t="s">
        <v>356</v>
      </c>
      <c r="D220" s="12" t="s">
        <v>1</v>
      </c>
      <c r="E220" s="12" t="s">
        <v>1185</v>
      </c>
      <c r="F220" s="12" t="s">
        <v>87</v>
      </c>
      <c r="G220" s="12" t="s">
        <v>113</v>
      </c>
      <c r="H220" s="12" t="s">
        <v>357</v>
      </c>
      <c r="I220" s="12" t="s">
        <v>125</v>
      </c>
      <c r="J220" s="11" t="s">
        <v>360</v>
      </c>
      <c r="K220" s="11" t="s">
        <v>360</v>
      </c>
      <c r="L220" s="11" t="s">
        <v>1195</v>
      </c>
      <c r="M220" s="11" t="s">
        <v>361</v>
      </c>
      <c r="N220" s="58">
        <v>253</v>
      </c>
      <c r="O220" s="59"/>
      <c r="P220" s="12" t="s">
        <v>362</v>
      </c>
      <c r="Q220" s="12" t="s">
        <v>4</v>
      </c>
      <c r="R220" s="12" t="s">
        <v>15</v>
      </c>
      <c r="S220" s="12" t="s">
        <v>38</v>
      </c>
      <c r="T220" s="12">
        <v>0</v>
      </c>
      <c r="U220" s="13"/>
      <c r="V220" s="12" t="s">
        <v>92</v>
      </c>
      <c r="W220" s="12" t="s">
        <v>92</v>
      </c>
      <c r="X220" s="12" t="s">
        <v>108</v>
      </c>
      <c r="Y220" s="13"/>
      <c r="Z220" s="75"/>
    </row>
    <row r="221" spans="1:26" s="20" customFormat="1" hidden="1" x14ac:dyDescent="0.3">
      <c r="A221" s="12" t="s">
        <v>85</v>
      </c>
      <c r="B221" s="12">
        <v>9388</v>
      </c>
      <c r="C221" s="11" t="s">
        <v>356</v>
      </c>
      <c r="D221" s="12" t="s">
        <v>1</v>
      </c>
      <c r="E221" s="12" t="s">
        <v>1185</v>
      </c>
      <c r="F221" s="12" t="s">
        <v>87</v>
      </c>
      <c r="G221" s="12" t="s">
        <v>113</v>
      </c>
      <c r="H221" s="12" t="s">
        <v>357</v>
      </c>
      <c r="I221" s="12" t="s">
        <v>125</v>
      </c>
      <c r="J221" s="11" t="s">
        <v>360</v>
      </c>
      <c r="K221" s="11" t="s">
        <v>360</v>
      </c>
      <c r="L221" s="11" t="s">
        <v>1195</v>
      </c>
      <c r="M221" s="11" t="s">
        <v>361</v>
      </c>
      <c r="N221" s="58">
        <v>253</v>
      </c>
      <c r="O221" s="59"/>
      <c r="P221" s="12" t="s">
        <v>362</v>
      </c>
      <c r="Q221" s="12" t="s">
        <v>4</v>
      </c>
      <c r="R221" s="12" t="s">
        <v>13</v>
      </c>
      <c r="S221" s="12" t="s">
        <v>39</v>
      </c>
      <c r="T221" s="12">
        <v>0</v>
      </c>
      <c r="U221" s="12"/>
      <c r="V221" s="12" t="s">
        <v>92</v>
      </c>
      <c r="W221" s="12" t="s">
        <v>92</v>
      </c>
      <c r="X221" s="12" t="s">
        <v>93</v>
      </c>
      <c r="Y221" s="13"/>
      <c r="Z221" s="75"/>
    </row>
    <row r="222" spans="1:26" s="20" customFormat="1" hidden="1" x14ac:dyDescent="0.3">
      <c r="A222" s="12" t="s">
        <v>85</v>
      </c>
      <c r="B222" s="12">
        <v>9389</v>
      </c>
      <c r="C222" s="11" t="s">
        <v>356</v>
      </c>
      <c r="D222" s="12" t="s">
        <v>1</v>
      </c>
      <c r="E222" s="12" t="s">
        <v>1185</v>
      </c>
      <c r="F222" s="12" t="s">
        <v>87</v>
      </c>
      <c r="G222" s="12" t="s">
        <v>113</v>
      </c>
      <c r="H222" s="12" t="s">
        <v>357</v>
      </c>
      <c r="I222" s="12" t="s">
        <v>125</v>
      </c>
      <c r="J222" s="11" t="s">
        <v>360</v>
      </c>
      <c r="K222" s="11" t="s">
        <v>360</v>
      </c>
      <c r="L222" s="11" t="s">
        <v>1195</v>
      </c>
      <c r="M222" s="11" t="s">
        <v>361</v>
      </c>
      <c r="N222" s="58">
        <v>253</v>
      </c>
      <c r="O222" s="59"/>
      <c r="P222" s="12" t="s">
        <v>363</v>
      </c>
      <c r="Q222" s="12" t="s">
        <v>4</v>
      </c>
      <c r="R222" s="12" t="s">
        <v>15</v>
      </c>
      <c r="S222" s="12" t="s">
        <v>38</v>
      </c>
      <c r="T222" s="12">
        <v>0</v>
      </c>
      <c r="U222" s="13"/>
      <c r="V222" s="12" t="s">
        <v>92</v>
      </c>
      <c r="W222" s="12" t="s">
        <v>92</v>
      </c>
      <c r="X222" s="12" t="s">
        <v>108</v>
      </c>
      <c r="Y222" s="13"/>
      <c r="Z222" s="75"/>
    </row>
    <row r="223" spans="1:26" s="21" customFormat="1" hidden="1" x14ac:dyDescent="0.3">
      <c r="A223" s="12" t="s">
        <v>85</v>
      </c>
      <c r="B223" s="12">
        <v>9389</v>
      </c>
      <c r="C223" s="11" t="s">
        <v>356</v>
      </c>
      <c r="D223" s="12" t="s">
        <v>1</v>
      </c>
      <c r="E223" s="12" t="s">
        <v>1185</v>
      </c>
      <c r="F223" s="12" t="s">
        <v>87</v>
      </c>
      <c r="G223" s="12" t="s">
        <v>113</v>
      </c>
      <c r="H223" s="12" t="s">
        <v>357</v>
      </c>
      <c r="I223" s="12" t="s">
        <v>125</v>
      </c>
      <c r="J223" s="11" t="s">
        <v>360</v>
      </c>
      <c r="K223" s="11" t="s">
        <v>360</v>
      </c>
      <c r="L223" s="11" t="s">
        <v>1195</v>
      </c>
      <c r="M223" s="11" t="s">
        <v>361</v>
      </c>
      <c r="N223" s="58">
        <v>253</v>
      </c>
      <c r="O223" s="59"/>
      <c r="P223" s="12" t="s">
        <v>363</v>
      </c>
      <c r="Q223" s="12" t="s">
        <v>4</v>
      </c>
      <c r="R223" s="12" t="s">
        <v>13</v>
      </c>
      <c r="S223" s="12" t="s">
        <v>25</v>
      </c>
      <c r="T223" s="12">
        <v>0</v>
      </c>
      <c r="U223" s="13"/>
      <c r="V223" s="12" t="s">
        <v>92</v>
      </c>
      <c r="W223" s="12" t="s">
        <v>92</v>
      </c>
      <c r="X223" s="12" t="s">
        <v>93</v>
      </c>
      <c r="Y223" s="13"/>
      <c r="Z223" s="75"/>
    </row>
    <row r="224" spans="1:26" s="20" customFormat="1" hidden="1" x14ac:dyDescent="0.3">
      <c r="A224" s="12" t="s">
        <v>85</v>
      </c>
      <c r="B224" s="12">
        <v>9443</v>
      </c>
      <c r="C224" s="11" t="s">
        <v>95</v>
      </c>
      <c r="D224" s="12" t="s">
        <v>1</v>
      </c>
      <c r="E224" s="12" t="s">
        <v>1185</v>
      </c>
      <c r="F224" s="12" t="s">
        <v>87</v>
      </c>
      <c r="G224" s="12" t="s">
        <v>113</v>
      </c>
      <c r="H224" s="12" t="s">
        <v>96</v>
      </c>
      <c r="I224" s="12" t="s">
        <v>89</v>
      </c>
      <c r="J224" s="11" t="s">
        <v>364</v>
      </c>
      <c r="K224" s="11" t="s">
        <v>364</v>
      </c>
      <c r="L224" s="11" t="s">
        <v>1194</v>
      </c>
      <c r="M224" s="11" t="s">
        <v>365</v>
      </c>
      <c r="N224" s="58">
        <v>1079.32</v>
      </c>
      <c r="O224" s="59"/>
      <c r="P224" s="12"/>
      <c r="Q224" s="12" t="s">
        <v>12</v>
      </c>
      <c r="R224" s="12" t="s">
        <v>99</v>
      </c>
      <c r="S224" s="12" t="s">
        <v>99</v>
      </c>
      <c r="T224" s="12">
        <v>1</v>
      </c>
      <c r="U224" s="13">
        <v>44043</v>
      </c>
      <c r="V224" s="12" t="s">
        <v>366</v>
      </c>
      <c r="W224" s="12" t="s">
        <v>92</v>
      </c>
      <c r="X224" s="12" t="s">
        <v>93</v>
      </c>
      <c r="Y224" s="13">
        <v>44058</v>
      </c>
      <c r="Z224" s="75"/>
    </row>
    <row r="225" spans="1:26" s="20" customFormat="1" hidden="1" x14ac:dyDescent="0.3">
      <c r="A225" s="12" t="s">
        <v>85</v>
      </c>
      <c r="B225" s="12">
        <v>9469</v>
      </c>
      <c r="C225" s="11" t="s">
        <v>367</v>
      </c>
      <c r="D225" s="12" t="s">
        <v>1</v>
      </c>
      <c r="E225" s="12" t="s">
        <v>1185</v>
      </c>
      <c r="F225" s="12" t="s">
        <v>113</v>
      </c>
      <c r="G225" s="12" t="s">
        <v>113</v>
      </c>
      <c r="H225" s="12" t="s">
        <v>368</v>
      </c>
      <c r="I225" s="12" t="s">
        <v>115</v>
      </c>
      <c r="J225" s="11" t="s">
        <v>369</v>
      </c>
      <c r="K225" s="11" t="s">
        <v>369</v>
      </c>
      <c r="L225" s="11" t="s">
        <v>1210</v>
      </c>
      <c r="M225" s="11" t="s">
        <v>370</v>
      </c>
      <c r="N225" s="59">
        <v>749.25</v>
      </c>
      <c r="O225" s="59"/>
      <c r="P225" s="12">
        <v>4063</v>
      </c>
      <c r="Q225" s="12" t="s">
        <v>12</v>
      </c>
      <c r="R225" s="12" t="s">
        <v>21</v>
      </c>
      <c r="S225" s="12" t="s">
        <v>25</v>
      </c>
      <c r="T225" s="12">
        <v>1</v>
      </c>
      <c r="U225" s="13">
        <v>43895</v>
      </c>
      <c r="V225" s="12" t="s">
        <v>156</v>
      </c>
      <c r="W225" s="12" t="s">
        <v>92</v>
      </c>
      <c r="X225" s="12" t="s">
        <v>105</v>
      </c>
      <c r="Y225" s="13">
        <v>44362</v>
      </c>
      <c r="Z225" s="75"/>
    </row>
    <row r="226" spans="1:26" s="20" customFormat="1" hidden="1" x14ac:dyDescent="0.3">
      <c r="A226" s="12" t="s">
        <v>85</v>
      </c>
      <c r="B226" s="12">
        <v>9469</v>
      </c>
      <c r="C226" s="11" t="s">
        <v>367</v>
      </c>
      <c r="D226" s="12" t="s">
        <v>1</v>
      </c>
      <c r="E226" s="12" t="s">
        <v>1185</v>
      </c>
      <c r="F226" s="12" t="s">
        <v>113</v>
      </c>
      <c r="G226" s="12" t="s">
        <v>113</v>
      </c>
      <c r="H226" s="12" t="s">
        <v>368</v>
      </c>
      <c r="I226" s="12" t="s">
        <v>115</v>
      </c>
      <c r="J226" s="11" t="s">
        <v>369</v>
      </c>
      <c r="K226" s="11" t="s">
        <v>369</v>
      </c>
      <c r="L226" s="11" t="s">
        <v>1210</v>
      </c>
      <c r="M226" s="11" t="s">
        <v>370</v>
      </c>
      <c r="N226" s="59">
        <v>749.25</v>
      </c>
      <c r="O226" s="59"/>
      <c r="P226" s="12">
        <v>4063</v>
      </c>
      <c r="Q226" s="12" t="s">
        <v>12</v>
      </c>
      <c r="R226" s="12" t="s">
        <v>21</v>
      </c>
      <c r="S226" s="12" t="s">
        <v>25</v>
      </c>
      <c r="T226" s="12">
        <v>1</v>
      </c>
      <c r="U226" s="13">
        <v>43902</v>
      </c>
      <c r="V226" s="12" t="s">
        <v>157</v>
      </c>
      <c r="W226" s="12" t="s">
        <v>92</v>
      </c>
      <c r="X226" s="12" t="s">
        <v>105</v>
      </c>
      <c r="Y226" s="13">
        <v>44362</v>
      </c>
      <c r="Z226" s="75"/>
    </row>
    <row r="227" spans="1:26" s="20" customFormat="1" hidden="1" x14ac:dyDescent="0.3">
      <c r="A227" s="12" t="s">
        <v>85</v>
      </c>
      <c r="B227" s="12">
        <v>9469</v>
      </c>
      <c r="C227" s="11" t="s">
        <v>367</v>
      </c>
      <c r="D227" s="12" t="s">
        <v>1</v>
      </c>
      <c r="E227" s="12" t="s">
        <v>1185</v>
      </c>
      <c r="F227" s="12" t="s">
        <v>113</v>
      </c>
      <c r="G227" s="12" t="s">
        <v>113</v>
      </c>
      <c r="H227" s="12" t="s">
        <v>368</v>
      </c>
      <c r="I227" s="12" t="s">
        <v>115</v>
      </c>
      <c r="J227" s="11" t="s">
        <v>369</v>
      </c>
      <c r="K227" s="11" t="s">
        <v>369</v>
      </c>
      <c r="L227" s="11" t="s">
        <v>1210</v>
      </c>
      <c r="M227" s="11" t="s">
        <v>370</v>
      </c>
      <c r="N227" s="59">
        <v>749.25</v>
      </c>
      <c r="O227" s="59"/>
      <c r="P227" s="12">
        <v>4063</v>
      </c>
      <c r="Q227" s="12" t="s">
        <v>12</v>
      </c>
      <c r="R227" s="12" t="s">
        <v>21</v>
      </c>
      <c r="S227" s="12" t="s">
        <v>25</v>
      </c>
      <c r="T227" s="12">
        <v>1</v>
      </c>
      <c r="U227" s="13">
        <v>43992</v>
      </c>
      <c r="V227" s="12" t="s">
        <v>158</v>
      </c>
      <c r="W227" s="12" t="s">
        <v>92</v>
      </c>
      <c r="X227" s="12" t="s">
        <v>105</v>
      </c>
      <c r="Y227" s="13">
        <v>44362</v>
      </c>
      <c r="Z227" s="75"/>
    </row>
    <row r="228" spans="1:26" s="20" customFormat="1" hidden="1" x14ac:dyDescent="0.3">
      <c r="A228" s="12" t="s">
        <v>85</v>
      </c>
      <c r="B228" s="12">
        <v>9469</v>
      </c>
      <c r="C228" s="11" t="s">
        <v>367</v>
      </c>
      <c r="D228" s="12" t="s">
        <v>1</v>
      </c>
      <c r="E228" s="12" t="s">
        <v>1185</v>
      </c>
      <c r="F228" s="12" t="s">
        <v>113</v>
      </c>
      <c r="G228" s="12" t="s">
        <v>113</v>
      </c>
      <c r="H228" s="12" t="s">
        <v>368</v>
      </c>
      <c r="I228" s="12" t="s">
        <v>115</v>
      </c>
      <c r="J228" s="11" t="s">
        <v>369</v>
      </c>
      <c r="K228" s="11" t="s">
        <v>369</v>
      </c>
      <c r="L228" s="11" t="s">
        <v>1210</v>
      </c>
      <c r="M228" s="11" t="s">
        <v>370</v>
      </c>
      <c r="N228" s="59">
        <v>749.25</v>
      </c>
      <c r="O228" s="59"/>
      <c r="P228" s="12">
        <v>4063</v>
      </c>
      <c r="Q228" s="12" t="s">
        <v>12</v>
      </c>
      <c r="R228" s="12" t="s">
        <v>21</v>
      </c>
      <c r="S228" s="12" t="s">
        <v>25</v>
      </c>
      <c r="T228" s="12">
        <v>1</v>
      </c>
      <c r="U228" s="13">
        <v>43997</v>
      </c>
      <c r="V228" s="12" t="s">
        <v>159</v>
      </c>
      <c r="W228" s="12" t="s">
        <v>92</v>
      </c>
      <c r="X228" s="12" t="s">
        <v>105</v>
      </c>
      <c r="Y228" s="13">
        <v>44362</v>
      </c>
      <c r="Z228" s="75"/>
    </row>
    <row r="229" spans="1:26" s="20" customFormat="1" hidden="1" x14ac:dyDescent="0.3">
      <c r="A229" s="12" t="s">
        <v>85</v>
      </c>
      <c r="B229" s="12">
        <v>9469</v>
      </c>
      <c r="C229" s="11" t="s">
        <v>367</v>
      </c>
      <c r="D229" s="12" t="s">
        <v>1</v>
      </c>
      <c r="E229" s="12" t="s">
        <v>1185</v>
      </c>
      <c r="F229" s="12" t="s">
        <v>113</v>
      </c>
      <c r="G229" s="12" t="s">
        <v>113</v>
      </c>
      <c r="H229" s="12" t="s">
        <v>368</v>
      </c>
      <c r="I229" s="12" t="s">
        <v>115</v>
      </c>
      <c r="J229" s="11" t="s">
        <v>369</v>
      </c>
      <c r="K229" s="11" t="s">
        <v>369</v>
      </c>
      <c r="L229" s="11" t="s">
        <v>1210</v>
      </c>
      <c r="M229" s="11" t="s">
        <v>370</v>
      </c>
      <c r="N229" s="59">
        <v>749.25</v>
      </c>
      <c r="O229" s="59"/>
      <c r="P229" s="12">
        <v>4063</v>
      </c>
      <c r="Q229" s="12" t="s">
        <v>12</v>
      </c>
      <c r="R229" s="12" t="s">
        <v>21</v>
      </c>
      <c r="S229" s="12" t="s">
        <v>25</v>
      </c>
      <c r="T229" s="12">
        <v>1</v>
      </c>
      <c r="U229" s="13">
        <v>43999</v>
      </c>
      <c r="V229" s="12" t="s">
        <v>160</v>
      </c>
      <c r="W229" s="12" t="s">
        <v>92</v>
      </c>
      <c r="X229" s="12" t="s">
        <v>105</v>
      </c>
      <c r="Y229" s="13">
        <v>44362</v>
      </c>
      <c r="Z229" s="75"/>
    </row>
    <row r="230" spans="1:26" s="20" customFormat="1" hidden="1" x14ac:dyDescent="0.3">
      <c r="A230" s="12" t="s">
        <v>85</v>
      </c>
      <c r="B230" s="12">
        <v>9469</v>
      </c>
      <c r="C230" s="11" t="s">
        <v>367</v>
      </c>
      <c r="D230" s="12" t="s">
        <v>1</v>
      </c>
      <c r="E230" s="12" t="s">
        <v>1185</v>
      </c>
      <c r="F230" s="12" t="s">
        <v>113</v>
      </c>
      <c r="G230" s="12" t="s">
        <v>113</v>
      </c>
      <c r="H230" s="12" t="s">
        <v>368</v>
      </c>
      <c r="I230" s="12" t="s">
        <v>115</v>
      </c>
      <c r="J230" s="11" t="s">
        <v>369</v>
      </c>
      <c r="K230" s="11" t="s">
        <v>369</v>
      </c>
      <c r="L230" s="11" t="s">
        <v>1210</v>
      </c>
      <c r="M230" s="11" t="s">
        <v>370</v>
      </c>
      <c r="N230" s="59">
        <v>749.25</v>
      </c>
      <c r="O230" s="59"/>
      <c r="P230" s="12">
        <v>4063</v>
      </c>
      <c r="Q230" s="12" t="s">
        <v>12</v>
      </c>
      <c r="R230" s="12" t="s">
        <v>21</v>
      </c>
      <c r="S230" s="12" t="s">
        <v>25</v>
      </c>
      <c r="T230" s="12">
        <v>1</v>
      </c>
      <c r="U230" s="13">
        <v>44014</v>
      </c>
      <c r="V230" s="12" t="s">
        <v>161</v>
      </c>
      <c r="W230" s="12" t="s">
        <v>92</v>
      </c>
      <c r="X230" s="15" t="s">
        <v>105</v>
      </c>
      <c r="Y230" s="13">
        <v>44362</v>
      </c>
      <c r="Z230" s="75"/>
    </row>
    <row r="231" spans="1:26" s="20" customFormat="1" hidden="1" x14ac:dyDescent="0.3">
      <c r="A231" s="12" t="s">
        <v>85</v>
      </c>
      <c r="B231" s="12">
        <v>9469</v>
      </c>
      <c r="C231" s="11" t="s">
        <v>367</v>
      </c>
      <c r="D231" s="12" t="s">
        <v>1</v>
      </c>
      <c r="E231" s="12" t="s">
        <v>1185</v>
      </c>
      <c r="F231" s="12" t="s">
        <v>113</v>
      </c>
      <c r="G231" s="12" t="s">
        <v>113</v>
      </c>
      <c r="H231" s="12" t="s">
        <v>368</v>
      </c>
      <c r="I231" s="12" t="s">
        <v>115</v>
      </c>
      <c r="J231" s="11" t="s">
        <v>369</v>
      </c>
      <c r="K231" s="11" t="s">
        <v>369</v>
      </c>
      <c r="L231" s="11" t="s">
        <v>1210</v>
      </c>
      <c r="M231" s="11" t="s">
        <v>370</v>
      </c>
      <c r="N231" s="59">
        <v>749.25</v>
      </c>
      <c r="O231" s="59"/>
      <c r="P231" s="12">
        <v>4063</v>
      </c>
      <c r="Q231" s="12" t="s">
        <v>12</v>
      </c>
      <c r="R231" s="12" t="s">
        <v>15</v>
      </c>
      <c r="S231" s="12" t="s">
        <v>40</v>
      </c>
      <c r="T231" s="12">
        <v>1</v>
      </c>
      <c r="U231" s="13">
        <v>43902</v>
      </c>
      <c r="V231" s="12" t="s">
        <v>371</v>
      </c>
      <c r="W231" s="12" t="s">
        <v>92</v>
      </c>
      <c r="X231" s="15" t="s">
        <v>105</v>
      </c>
      <c r="Y231" s="13">
        <v>44362</v>
      </c>
      <c r="Z231" s="75"/>
    </row>
    <row r="232" spans="1:26" s="20" customFormat="1" hidden="1" x14ac:dyDescent="0.3">
      <c r="A232" s="12" t="s">
        <v>85</v>
      </c>
      <c r="B232" s="12">
        <v>9469</v>
      </c>
      <c r="C232" s="11" t="s">
        <v>367</v>
      </c>
      <c r="D232" s="12" t="s">
        <v>1</v>
      </c>
      <c r="E232" s="12" t="s">
        <v>1185</v>
      </c>
      <c r="F232" s="12" t="s">
        <v>113</v>
      </c>
      <c r="G232" s="12" t="s">
        <v>113</v>
      </c>
      <c r="H232" s="12" t="s">
        <v>368</v>
      </c>
      <c r="I232" s="12" t="s">
        <v>115</v>
      </c>
      <c r="J232" s="11" t="s">
        <v>369</v>
      </c>
      <c r="K232" s="11" t="s">
        <v>369</v>
      </c>
      <c r="L232" s="11" t="s">
        <v>1210</v>
      </c>
      <c r="M232" s="11" t="s">
        <v>370</v>
      </c>
      <c r="N232" s="59">
        <v>749.25</v>
      </c>
      <c r="O232" s="59"/>
      <c r="P232" s="12">
        <v>4063</v>
      </c>
      <c r="Q232" s="12" t="s">
        <v>12</v>
      </c>
      <c r="R232" s="12" t="s">
        <v>15</v>
      </c>
      <c r="S232" s="12" t="s">
        <v>40</v>
      </c>
      <c r="T232" s="12">
        <v>1</v>
      </c>
      <c r="U232" s="13">
        <v>44014</v>
      </c>
      <c r="V232" s="12" t="s">
        <v>372</v>
      </c>
      <c r="W232" s="12" t="s">
        <v>92</v>
      </c>
      <c r="X232" s="15" t="s">
        <v>105</v>
      </c>
      <c r="Y232" s="13">
        <v>44362</v>
      </c>
      <c r="Z232" s="75"/>
    </row>
    <row r="233" spans="1:26" s="20" customFormat="1" hidden="1" x14ac:dyDescent="0.3">
      <c r="A233" s="12" t="s">
        <v>85</v>
      </c>
      <c r="B233" s="12">
        <v>9645</v>
      </c>
      <c r="C233" s="11" t="s">
        <v>373</v>
      </c>
      <c r="D233" s="12" t="s">
        <v>1</v>
      </c>
      <c r="E233" s="12" t="s">
        <v>1185</v>
      </c>
      <c r="F233" s="12" t="s">
        <v>87</v>
      </c>
      <c r="G233" s="12" t="s">
        <v>87</v>
      </c>
      <c r="H233" s="12" t="s">
        <v>346</v>
      </c>
      <c r="I233" s="12" t="s">
        <v>125</v>
      </c>
      <c r="J233" s="11" t="s">
        <v>347</v>
      </c>
      <c r="K233" s="11" t="s">
        <v>347</v>
      </c>
      <c r="L233" s="11" t="s">
        <v>1194</v>
      </c>
      <c r="M233" s="11" t="s">
        <v>374</v>
      </c>
      <c r="N233" s="57">
        <v>52604</v>
      </c>
      <c r="O233" s="59"/>
      <c r="P233" s="12">
        <v>0</v>
      </c>
      <c r="Q233" s="12" t="s">
        <v>12</v>
      </c>
      <c r="R233" s="12" t="s">
        <v>99</v>
      </c>
      <c r="S233" s="12" t="s">
        <v>99</v>
      </c>
      <c r="T233" s="12">
        <v>0</v>
      </c>
      <c r="U233" s="13"/>
      <c r="V233" s="12" t="s">
        <v>92</v>
      </c>
      <c r="W233" s="12" t="s">
        <v>92</v>
      </c>
      <c r="X233" s="12" t="s">
        <v>135</v>
      </c>
      <c r="Y233" s="13"/>
      <c r="Z233" s="75"/>
    </row>
    <row r="234" spans="1:26" s="20" customFormat="1" hidden="1" x14ac:dyDescent="0.3">
      <c r="A234" s="12" t="s">
        <v>85</v>
      </c>
      <c r="B234" s="12">
        <v>9646</v>
      </c>
      <c r="C234" s="11" t="s">
        <v>373</v>
      </c>
      <c r="D234" s="12" t="s">
        <v>1</v>
      </c>
      <c r="E234" s="12" t="s">
        <v>1185</v>
      </c>
      <c r="F234" s="12" t="s">
        <v>87</v>
      </c>
      <c r="G234" s="12" t="s">
        <v>87</v>
      </c>
      <c r="H234" s="12" t="s">
        <v>346</v>
      </c>
      <c r="I234" s="12" t="s">
        <v>125</v>
      </c>
      <c r="J234" s="11" t="s">
        <v>347</v>
      </c>
      <c r="K234" s="11" t="s">
        <v>347</v>
      </c>
      <c r="L234" s="11" t="s">
        <v>1194</v>
      </c>
      <c r="M234" s="11" t="s">
        <v>374</v>
      </c>
      <c r="N234" s="57">
        <v>44247</v>
      </c>
      <c r="O234" s="59"/>
      <c r="P234" s="12">
        <v>0</v>
      </c>
      <c r="Q234" s="12" t="s">
        <v>12</v>
      </c>
      <c r="R234" s="12" t="s">
        <v>99</v>
      </c>
      <c r="S234" s="12" t="s">
        <v>99</v>
      </c>
      <c r="T234" s="12">
        <v>0</v>
      </c>
      <c r="U234" s="13"/>
      <c r="V234" s="12" t="s">
        <v>92</v>
      </c>
      <c r="W234" s="12" t="s">
        <v>92</v>
      </c>
      <c r="X234" s="12" t="s">
        <v>135</v>
      </c>
      <c r="Y234" s="13"/>
      <c r="Z234" s="75"/>
    </row>
    <row r="235" spans="1:26" s="20" customFormat="1" hidden="1" x14ac:dyDescent="0.3">
      <c r="A235" s="12" t="s">
        <v>85</v>
      </c>
      <c r="B235" s="12">
        <v>9654</v>
      </c>
      <c r="C235" s="11" t="s">
        <v>373</v>
      </c>
      <c r="D235" s="12" t="s">
        <v>1</v>
      </c>
      <c r="E235" s="12" t="s">
        <v>1185</v>
      </c>
      <c r="F235" s="12" t="s">
        <v>87</v>
      </c>
      <c r="G235" s="12" t="s">
        <v>87</v>
      </c>
      <c r="H235" s="12" t="s">
        <v>346</v>
      </c>
      <c r="I235" s="12" t="s">
        <v>125</v>
      </c>
      <c r="J235" s="11" t="s">
        <v>347</v>
      </c>
      <c r="K235" s="11" t="s">
        <v>347</v>
      </c>
      <c r="L235" s="11" t="s">
        <v>1194</v>
      </c>
      <c r="M235" s="11" t="s">
        <v>374</v>
      </c>
      <c r="N235" s="57">
        <v>1495322</v>
      </c>
      <c r="O235" s="59" t="s">
        <v>375</v>
      </c>
      <c r="P235" s="12">
        <v>0</v>
      </c>
      <c r="Q235" s="12" t="s">
        <v>12</v>
      </c>
      <c r="R235" s="12" t="s">
        <v>99</v>
      </c>
      <c r="S235" s="12" t="s">
        <v>99</v>
      </c>
      <c r="T235" s="12">
        <v>0</v>
      </c>
      <c r="U235" s="13"/>
      <c r="V235" s="12" t="s">
        <v>92</v>
      </c>
      <c r="W235" s="12" t="s">
        <v>92</v>
      </c>
      <c r="X235" s="12" t="s">
        <v>135</v>
      </c>
      <c r="Y235" s="13"/>
      <c r="Z235" s="75"/>
    </row>
    <row r="236" spans="1:26" s="20" customFormat="1" hidden="1" x14ac:dyDescent="0.3">
      <c r="A236" s="12" t="s">
        <v>85</v>
      </c>
      <c r="B236" s="12">
        <v>9655</v>
      </c>
      <c r="C236" s="11" t="s">
        <v>373</v>
      </c>
      <c r="D236" s="12" t="s">
        <v>1</v>
      </c>
      <c r="E236" s="12" t="s">
        <v>1185</v>
      </c>
      <c r="F236" s="12" t="s">
        <v>87</v>
      </c>
      <c r="G236" s="12" t="s">
        <v>87</v>
      </c>
      <c r="H236" s="12" t="s">
        <v>346</v>
      </c>
      <c r="I236" s="12" t="s">
        <v>125</v>
      </c>
      <c r="J236" s="11" t="s">
        <v>347</v>
      </c>
      <c r="K236" s="11" t="s">
        <v>347</v>
      </c>
      <c r="L236" s="11" t="s">
        <v>1194</v>
      </c>
      <c r="M236" s="11" t="s">
        <v>374</v>
      </c>
      <c r="N236" s="57">
        <v>1549425</v>
      </c>
      <c r="O236" s="59"/>
      <c r="P236" s="12">
        <v>0</v>
      </c>
      <c r="Q236" s="12" t="s">
        <v>12</v>
      </c>
      <c r="R236" s="12" t="s">
        <v>99</v>
      </c>
      <c r="S236" s="12" t="s">
        <v>99</v>
      </c>
      <c r="T236" s="12">
        <v>0</v>
      </c>
      <c r="U236" s="13"/>
      <c r="V236" s="12" t="s">
        <v>92</v>
      </c>
      <c r="W236" s="12" t="s">
        <v>92</v>
      </c>
      <c r="X236" s="12" t="s">
        <v>135</v>
      </c>
      <c r="Y236" s="13"/>
      <c r="Z236" s="75"/>
    </row>
    <row r="237" spans="1:26" s="20" customFormat="1" hidden="1" x14ac:dyDescent="0.3">
      <c r="A237" s="12" t="s">
        <v>85</v>
      </c>
      <c r="B237" s="12">
        <v>9656</v>
      </c>
      <c r="C237" s="11" t="s">
        <v>373</v>
      </c>
      <c r="D237" s="12" t="s">
        <v>1</v>
      </c>
      <c r="E237" s="12" t="s">
        <v>1185</v>
      </c>
      <c r="F237" s="12" t="s">
        <v>87</v>
      </c>
      <c r="G237" s="12" t="s">
        <v>87</v>
      </c>
      <c r="H237" s="12" t="s">
        <v>346</v>
      </c>
      <c r="I237" s="12" t="s">
        <v>125</v>
      </c>
      <c r="J237" s="11" t="s">
        <v>347</v>
      </c>
      <c r="K237" s="11" t="s">
        <v>347</v>
      </c>
      <c r="L237" s="11" t="s">
        <v>1194</v>
      </c>
      <c r="M237" s="11" t="s">
        <v>374</v>
      </c>
      <c r="N237" s="57">
        <v>2752554</v>
      </c>
      <c r="O237" s="59"/>
      <c r="P237" s="12">
        <v>0</v>
      </c>
      <c r="Q237" s="12" t="s">
        <v>12</v>
      </c>
      <c r="R237" s="12" t="s">
        <v>99</v>
      </c>
      <c r="S237" s="12" t="s">
        <v>99</v>
      </c>
      <c r="T237" s="12">
        <v>0</v>
      </c>
      <c r="U237" s="13"/>
      <c r="V237" s="12" t="s">
        <v>92</v>
      </c>
      <c r="W237" s="12" t="s">
        <v>92</v>
      </c>
      <c r="X237" s="12" t="s">
        <v>135</v>
      </c>
      <c r="Y237" s="13"/>
      <c r="Z237" s="75"/>
    </row>
    <row r="238" spans="1:26" s="20" customFormat="1" hidden="1" x14ac:dyDescent="0.3">
      <c r="A238" s="12" t="s">
        <v>85</v>
      </c>
      <c r="B238" s="12">
        <v>9657</v>
      </c>
      <c r="C238" s="11" t="s">
        <v>373</v>
      </c>
      <c r="D238" s="12" t="s">
        <v>1</v>
      </c>
      <c r="E238" s="12" t="s">
        <v>1185</v>
      </c>
      <c r="F238" s="12" t="s">
        <v>87</v>
      </c>
      <c r="G238" s="12" t="s">
        <v>87</v>
      </c>
      <c r="H238" s="12" t="s">
        <v>346</v>
      </c>
      <c r="I238" s="12" t="s">
        <v>125</v>
      </c>
      <c r="J238" s="11" t="s">
        <v>347</v>
      </c>
      <c r="K238" s="11" t="s">
        <v>347</v>
      </c>
      <c r="L238" s="11" t="s">
        <v>1194</v>
      </c>
      <c r="M238" s="11" t="s">
        <v>374</v>
      </c>
      <c r="N238" s="57">
        <v>2323364</v>
      </c>
      <c r="O238" s="59"/>
      <c r="P238" s="12">
        <v>0</v>
      </c>
      <c r="Q238" s="12" t="s">
        <v>12</v>
      </c>
      <c r="R238" s="12" t="s">
        <v>99</v>
      </c>
      <c r="S238" s="12" t="s">
        <v>99</v>
      </c>
      <c r="T238" s="12">
        <v>0</v>
      </c>
      <c r="U238" s="13"/>
      <c r="V238" s="12" t="s">
        <v>92</v>
      </c>
      <c r="W238" s="12" t="s">
        <v>92</v>
      </c>
      <c r="X238" s="12" t="s">
        <v>135</v>
      </c>
      <c r="Y238" s="13"/>
      <c r="Z238" s="75"/>
    </row>
    <row r="239" spans="1:26" s="20" customFormat="1" hidden="1" x14ac:dyDescent="0.3">
      <c r="A239" s="12" t="s">
        <v>85</v>
      </c>
      <c r="B239" s="12">
        <v>9658</v>
      </c>
      <c r="C239" s="11" t="s">
        <v>373</v>
      </c>
      <c r="D239" s="12" t="s">
        <v>1</v>
      </c>
      <c r="E239" s="12" t="s">
        <v>1185</v>
      </c>
      <c r="F239" s="12" t="s">
        <v>87</v>
      </c>
      <c r="G239" s="12" t="s">
        <v>87</v>
      </c>
      <c r="H239" s="12" t="s">
        <v>346</v>
      </c>
      <c r="I239" s="12" t="s">
        <v>125</v>
      </c>
      <c r="J239" s="11" t="s">
        <v>347</v>
      </c>
      <c r="K239" s="11" t="s">
        <v>347</v>
      </c>
      <c r="L239" s="11" t="s">
        <v>1194</v>
      </c>
      <c r="M239" s="11" t="s">
        <v>374</v>
      </c>
      <c r="N239" s="57">
        <v>589342</v>
      </c>
      <c r="O239" s="59"/>
      <c r="P239" s="12">
        <v>0</v>
      </c>
      <c r="Q239" s="12" t="s">
        <v>12</v>
      </c>
      <c r="R239" s="12" t="s">
        <v>99</v>
      </c>
      <c r="S239" s="12" t="s">
        <v>99</v>
      </c>
      <c r="T239" s="12">
        <v>0</v>
      </c>
      <c r="U239" s="13"/>
      <c r="V239" s="12" t="s">
        <v>92</v>
      </c>
      <c r="W239" s="12" t="s">
        <v>92</v>
      </c>
      <c r="X239" s="12" t="s">
        <v>135</v>
      </c>
      <c r="Y239" s="13"/>
      <c r="Z239" s="75"/>
    </row>
    <row r="240" spans="1:26" s="20" customFormat="1" hidden="1" x14ac:dyDescent="0.3">
      <c r="A240" s="12" t="s">
        <v>85</v>
      </c>
      <c r="B240" s="12">
        <v>9659</v>
      </c>
      <c r="C240" s="11" t="s">
        <v>373</v>
      </c>
      <c r="D240" s="12" t="s">
        <v>1</v>
      </c>
      <c r="E240" s="12" t="s">
        <v>1185</v>
      </c>
      <c r="F240" s="12" t="s">
        <v>87</v>
      </c>
      <c r="G240" s="12" t="s">
        <v>87</v>
      </c>
      <c r="H240" s="12" t="s">
        <v>346</v>
      </c>
      <c r="I240" s="12" t="s">
        <v>125</v>
      </c>
      <c r="J240" s="11" t="s">
        <v>347</v>
      </c>
      <c r="K240" s="11" t="s">
        <v>347</v>
      </c>
      <c r="L240" s="11" t="s">
        <v>1194</v>
      </c>
      <c r="M240" s="11" t="s">
        <v>374</v>
      </c>
      <c r="N240" s="57">
        <v>1637062</v>
      </c>
      <c r="O240" s="59"/>
      <c r="P240" s="12">
        <v>0</v>
      </c>
      <c r="Q240" s="12" t="s">
        <v>12</v>
      </c>
      <c r="R240" s="12" t="s">
        <v>99</v>
      </c>
      <c r="S240" s="12" t="s">
        <v>99</v>
      </c>
      <c r="T240" s="12">
        <v>0</v>
      </c>
      <c r="U240" s="13"/>
      <c r="V240" s="12" t="s">
        <v>92</v>
      </c>
      <c r="W240" s="12" t="s">
        <v>92</v>
      </c>
      <c r="X240" s="12" t="s">
        <v>135</v>
      </c>
      <c r="Y240" s="13"/>
      <c r="Z240" s="75"/>
    </row>
    <row r="241" spans="1:26" s="20" customFormat="1" hidden="1" x14ac:dyDescent="0.3">
      <c r="A241" s="12" t="s">
        <v>85</v>
      </c>
      <c r="B241" s="12">
        <v>10487</v>
      </c>
      <c r="C241" s="11" t="s">
        <v>376</v>
      </c>
      <c r="D241" s="12" t="s">
        <v>1</v>
      </c>
      <c r="E241" s="12" t="s">
        <v>1185</v>
      </c>
      <c r="F241" s="12" t="s">
        <v>87</v>
      </c>
      <c r="G241" s="12" t="s">
        <v>87</v>
      </c>
      <c r="H241" s="12" t="s">
        <v>377</v>
      </c>
      <c r="I241" s="12" t="s">
        <v>89</v>
      </c>
      <c r="J241" s="11" t="s">
        <v>378</v>
      </c>
      <c r="K241" s="11" t="s">
        <v>378</v>
      </c>
      <c r="L241" s="11" t="s">
        <v>1194</v>
      </c>
      <c r="M241" s="11" t="s">
        <v>92</v>
      </c>
      <c r="N241" s="58">
        <v>48400</v>
      </c>
      <c r="O241" s="58"/>
      <c r="P241" s="12" t="s">
        <v>91</v>
      </c>
      <c r="Q241" s="12" t="s">
        <v>12</v>
      </c>
      <c r="R241" s="12" t="s">
        <v>99</v>
      </c>
      <c r="S241" s="12" t="s">
        <v>99</v>
      </c>
      <c r="T241" s="12">
        <v>1</v>
      </c>
      <c r="U241" s="13"/>
      <c r="V241" s="12" t="s">
        <v>379</v>
      </c>
      <c r="W241" s="12" t="s">
        <v>92</v>
      </c>
      <c r="X241" s="12" t="s">
        <v>93</v>
      </c>
      <c r="Y241" s="13">
        <v>43678</v>
      </c>
      <c r="Z241" s="75"/>
    </row>
    <row r="242" spans="1:26" s="20" customFormat="1" hidden="1" x14ac:dyDescent="0.3">
      <c r="A242" s="12" t="s">
        <v>85</v>
      </c>
      <c r="B242" s="12">
        <v>10858</v>
      </c>
      <c r="C242" s="11" t="s">
        <v>130</v>
      </c>
      <c r="D242" s="12" t="s">
        <v>1</v>
      </c>
      <c r="E242" s="12" t="s">
        <v>1185</v>
      </c>
      <c r="F242" s="12" t="s">
        <v>87</v>
      </c>
      <c r="G242" s="12" t="s">
        <v>113</v>
      </c>
      <c r="H242" s="12" t="s">
        <v>96</v>
      </c>
      <c r="I242" s="12" t="s">
        <v>89</v>
      </c>
      <c r="J242" s="11" t="s">
        <v>205</v>
      </c>
      <c r="K242" s="11" t="s">
        <v>205</v>
      </c>
      <c r="L242" s="11" t="s">
        <v>1212</v>
      </c>
      <c r="M242" s="11" t="s">
        <v>206</v>
      </c>
      <c r="N242" s="58">
        <v>230</v>
      </c>
      <c r="O242" s="59"/>
      <c r="P242" s="12" t="s">
        <v>91</v>
      </c>
      <c r="Q242" s="12" t="s">
        <v>4</v>
      </c>
      <c r="R242" s="12" t="s">
        <v>15</v>
      </c>
      <c r="S242" s="12" t="s">
        <v>41</v>
      </c>
      <c r="T242" s="12">
        <v>1</v>
      </c>
      <c r="U242" s="13">
        <v>43796</v>
      </c>
      <c r="V242" s="12" t="s">
        <v>380</v>
      </c>
      <c r="W242" s="12" t="s">
        <v>92</v>
      </c>
      <c r="X242" s="12" t="s">
        <v>93</v>
      </c>
      <c r="Y242" s="13"/>
      <c r="Z242" s="75"/>
    </row>
    <row r="243" spans="1:26" s="20" customFormat="1" hidden="1" x14ac:dyDescent="0.3">
      <c r="A243" s="12" t="s">
        <v>85</v>
      </c>
      <c r="B243" s="12">
        <v>10858</v>
      </c>
      <c r="C243" s="11" t="s">
        <v>130</v>
      </c>
      <c r="D243" s="12" t="s">
        <v>1</v>
      </c>
      <c r="E243" s="12" t="s">
        <v>1185</v>
      </c>
      <c r="F243" s="12" t="s">
        <v>87</v>
      </c>
      <c r="G243" s="12" t="s">
        <v>113</v>
      </c>
      <c r="H243" s="12" t="s">
        <v>96</v>
      </c>
      <c r="I243" s="12" t="s">
        <v>89</v>
      </c>
      <c r="J243" s="11" t="s">
        <v>205</v>
      </c>
      <c r="K243" s="11" t="s">
        <v>205</v>
      </c>
      <c r="L243" s="11" t="s">
        <v>1212</v>
      </c>
      <c r="M243" s="11" t="s">
        <v>206</v>
      </c>
      <c r="N243" s="58">
        <v>230</v>
      </c>
      <c r="O243" s="59"/>
      <c r="P243" s="12" t="s">
        <v>91</v>
      </c>
      <c r="Q243" s="12" t="s">
        <v>4</v>
      </c>
      <c r="R243" s="12" t="s">
        <v>15</v>
      </c>
      <c r="S243" s="12" t="s">
        <v>41</v>
      </c>
      <c r="T243" s="12">
        <v>1</v>
      </c>
      <c r="U243" s="13">
        <v>43808</v>
      </c>
      <c r="V243" s="12" t="s">
        <v>381</v>
      </c>
      <c r="W243" s="12" t="s">
        <v>92</v>
      </c>
      <c r="X243" s="12" t="s">
        <v>93</v>
      </c>
      <c r="Y243" s="13"/>
      <c r="Z243" s="75"/>
    </row>
    <row r="244" spans="1:26" s="20" customFormat="1" hidden="1" x14ac:dyDescent="0.3">
      <c r="A244" s="12" t="s">
        <v>85</v>
      </c>
      <c r="B244" s="12">
        <v>10858</v>
      </c>
      <c r="C244" s="11" t="s">
        <v>130</v>
      </c>
      <c r="D244" s="12" t="s">
        <v>1</v>
      </c>
      <c r="E244" s="12" t="s">
        <v>1185</v>
      </c>
      <c r="F244" s="12" t="s">
        <v>87</v>
      </c>
      <c r="G244" s="12" t="s">
        <v>113</v>
      </c>
      <c r="H244" s="12" t="s">
        <v>96</v>
      </c>
      <c r="I244" s="12" t="s">
        <v>89</v>
      </c>
      <c r="J244" s="11" t="s">
        <v>205</v>
      </c>
      <c r="K244" s="11" t="s">
        <v>205</v>
      </c>
      <c r="L244" s="11" t="s">
        <v>1212</v>
      </c>
      <c r="M244" s="11" t="s">
        <v>206</v>
      </c>
      <c r="N244" s="58">
        <v>230</v>
      </c>
      <c r="O244" s="59"/>
      <c r="P244" s="12" t="s">
        <v>91</v>
      </c>
      <c r="Q244" s="12" t="s">
        <v>4</v>
      </c>
      <c r="R244" s="12" t="s">
        <v>15</v>
      </c>
      <c r="S244" s="12" t="s">
        <v>41</v>
      </c>
      <c r="T244" s="12">
        <v>1</v>
      </c>
      <c r="U244" s="13">
        <v>43848</v>
      </c>
      <c r="V244" s="12" t="s">
        <v>382</v>
      </c>
      <c r="W244" s="12" t="s">
        <v>92</v>
      </c>
      <c r="X244" s="12" t="s">
        <v>93</v>
      </c>
      <c r="Y244" s="13"/>
      <c r="Z244" s="75"/>
    </row>
    <row r="245" spans="1:26" s="20" customFormat="1" hidden="1" x14ac:dyDescent="0.3">
      <c r="A245" s="12" t="s">
        <v>85</v>
      </c>
      <c r="B245" s="12">
        <v>10858</v>
      </c>
      <c r="C245" s="11" t="s">
        <v>130</v>
      </c>
      <c r="D245" s="12" t="s">
        <v>1</v>
      </c>
      <c r="E245" s="12" t="s">
        <v>1185</v>
      </c>
      <c r="F245" s="12" t="s">
        <v>87</v>
      </c>
      <c r="G245" s="12" t="s">
        <v>113</v>
      </c>
      <c r="H245" s="12" t="s">
        <v>96</v>
      </c>
      <c r="I245" s="12" t="s">
        <v>89</v>
      </c>
      <c r="J245" s="11" t="s">
        <v>205</v>
      </c>
      <c r="K245" s="11" t="s">
        <v>205</v>
      </c>
      <c r="L245" s="11" t="s">
        <v>1212</v>
      </c>
      <c r="M245" s="11" t="s">
        <v>206</v>
      </c>
      <c r="N245" s="58">
        <v>230</v>
      </c>
      <c r="O245" s="59"/>
      <c r="P245" s="12" t="s">
        <v>91</v>
      </c>
      <c r="Q245" s="12" t="s">
        <v>4</v>
      </c>
      <c r="R245" s="12" t="s">
        <v>15</v>
      </c>
      <c r="S245" s="12" t="s">
        <v>41</v>
      </c>
      <c r="T245" s="12">
        <v>1</v>
      </c>
      <c r="U245" s="13">
        <v>43879</v>
      </c>
      <c r="V245" s="12" t="s">
        <v>382</v>
      </c>
      <c r="W245" s="12" t="s">
        <v>92</v>
      </c>
      <c r="X245" s="12" t="s">
        <v>93</v>
      </c>
      <c r="Y245" s="13"/>
      <c r="Z245" s="75"/>
    </row>
    <row r="246" spans="1:26" s="20" customFormat="1" hidden="1" x14ac:dyDescent="0.3">
      <c r="A246" s="12" t="s">
        <v>85</v>
      </c>
      <c r="B246" s="12">
        <v>10858</v>
      </c>
      <c r="C246" s="11" t="s">
        <v>130</v>
      </c>
      <c r="D246" s="12" t="s">
        <v>1</v>
      </c>
      <c r="E246" s="12" t="s">
        <v>1185</v>
      </c>
      <c r="F246" s="12" t="s">
        <v>87</v>
      </c>
      <c r="G246" s="12" t="s">
        <v>113</v>
      </c>
      <c r="H246" s="12" t="s">
        <v>96</v>
      </c>
      <c r="I246" s="12" t="s">
        <v>89</v>
      </c>
      <c r="J246" s="11" t="s">
        <v>205</v>
      </c>
      <c r="K246" s="11" t="s">
        <v>205</v>
      </c>
      <c r="L246" s="11" t="s">
        <v>1212</v>
      </c>
      <c r="M246" s="11" t="s">
        <v>206</v>
      </c>
      <c r="N246" s="58">
        <v>230</v>
      </c>
      <c r="O246" s="59"/>
      <c r="P246" s="12" t="s">
        <v>91</v>
      </c>
      <c r="Q246" s="12" t="s">
        <v>4</v>
      </c>
      <c r="R246" s="12" t="s">
        <v>15</v>
      </c>
      <c r="S246" s="12" t="s">
        <v>41</v>
      </c>
      <c r="T246" s="12">
        <v>1</v>
      </c>
      <c r="U246" s="13">
        <v>43906</v>
      </c>
      <c r="V246" s="12" t="s">
        <v>382</v>
      </c>
      <c r="W246" s="12" t="s">
        <v>92</v>
      </c>
      <c r="X246" s="12" t="s">
        <v>93</v>
      </c>
      <c r="Y246" s="13"/>
      <c r="Z246" s="75"/>
    </row>
    <row r="247" spans="1:26" s="20" customFormat="1" hidden="1" x14ac:dyDescent="0.3">
      <c r="A247" s="12" t="s">
        <v>85</v>
      </c>
      <c r="B247" s="12">
        <v>10858</v>
      </c>
      <c r="C247" s="11" t="s">
        <v>130</v>
      </c>
      <c r="D247" s="12" t="s">
        <v>1</v>
      </c>
      <c r="E247" s="12" t="s">
        <v>1185</v>
      </c>
      <c r="F247" s="12" t="s">
        <v>87</v>
      </c>
      <c r="G247" s="12" t="s">
        <v>113</v>
      </c>
      <c r="H247" s="12" t="s">
        <v>96</v>
      </c>
      <c r="I247" s="12" t="s">
        <v>89</v>
      </c>
      <c r="J247" s="11" t="s">
        <v>205</v>
      </c>
      <c r="K247" s="11" t="s">
        <v>205</v>
      </c>
      <c r="L247" s="11" t="s">
        <v>1212</v>
      </c>
      <c r="M247" s="11" t="s">
        <v>206</v>
      </c>
      <c r="N247" s="58">
        <v>230</v>
      </c>
      <c r="O247" s="59"/>
      <c r="P247" s="12" t="s">
        <v>91</v>
      </c>
      <c r="Q247" s="12" t="s">
        <v>4</v>
      </c>
      <c r="R247" s="12" t="s">
        <v>15</v>
      </c>
      <c r="S247" s="12" t="s">
        <v>41</v>
      </c>
      <c r="T247" s="12">
        <v>1</v>
      </c>
      <c r="U247" s="13">
        <v>43938</v>
      </c>
      <c r="V247" s="12" t="s">
        <v>383</v>
      </c>
      <c r="W247" s="12" t="s">
        <v>92</v>
      </c>
      <c r="X247" s="12" t="s">
        <v>93</v>
      </c>
      <c r="Y247" s="13"/>
      <c r="Z247" s="75"/>
    </row>
    <row r="248" spans="1:26" s="20" customFormat="1" hidden="1" x14ac:dyDescent="0.3">
      <c r="A248" s="12" t="s">
        <v>85</v>
      </c>
      <c r="B248" s="12">
        <v>10858</v>
      </c>
      <c r="C248" s="11" t="s">
        <v>130</v>
      </c>
      <c r="D248" s="12" t="s">
        <v>1</v>
      </c>
      <c r="E248" s="12" t="s">
        <v>1185</v>
      </c>
      <c r="F248" s="12" t="s">
        <v>87</v>
      </c>
      <c r="G248" s="12" t="s">
        <v>113</v>
      </c>
      <c r="H248" s="12" t="s">
        <v>96</v>
      </c>
      <c r="I248" s="12" t="s">
        <v>89</v>
      </c>
      <c r="J248" s="11" t="s">
        <v>205</v>
      </c>
      <c r="K248" s="11" t="s">
        <v>205</v>
      </c>
      <c r="L248" s="11" t="s">
        <v>1212</v>
      </c>
      <c r="M248" s="11" t="s">
        <v>206</v>
      </c>
      <c r="N248" s="58">
        <v>230</v>
      </c>
      <c r="O248" s="59"/>
      <c r="P248" s="12" t="s">
        <v>91</v>
      </c>
      <c r="Q248" s="12" t="s">
        <v>4</v>
      </c>
      <c r="R248" s="12" t="s">
        <v>15</v>
      </c>
      <c r="S248" s="12" t="s">
        <v>41</v>
      </c>
      <c r="T248" s="12">
        <v>1</v>
      </c>
      <c r="U248" s="13">
        <v>43998</v>
      </c>
      <c r="V248" s="12" t="s">
        <v>384</v>
      </c>
      <c r="W248" s="12" t="s">
        <v>92</v>
      </c>
      <c r="X248" s="12" t="s">
        <v>93</v>
      </c>
      <c r="Y248" s="13"/>
      <c r="Z248" s="75"/>
    </row>
    <row r="249" spans="1:26" s="20" customFormat="1" hidden="1" x14ac:dyDescent="0.3">
      <c r="A249" s="12" t="s">
        <v>85</v>
      </c>
      <c r="B249" s="12">
        <v>10858</v>
      </c>
      <c r="C249" s="11" t="s">
        <v>130</v>
      </c>
      <c r="D249" s="12" t="s">
        <v>1</v>
      </c>
      <c r="E249" s="12" t="s">
        <v>1185</v>
      </c>
      <c r="F249" s="12" t="s">
        <v>87</v>
      </c>
      <c r="G249" s="12" t="s">
        <v>113</v>
      </c>
      <c r="H249" s="12" t="s">
        <v>96</v>
      </c>
      <c r="I249" s="12" t="s">
        <v>89</v>
      </c>
      <c r="J249" s="11" t="s">
        <v>205</v>
      </c>
      <c r="K249" s="11" t="s">
        <v>205</v>
      </c>
      <c r="L249" s="11" t="s">
        <v>1212</v>
      </c>
      <c r="M249" s="11" t="s">
        <v>206</v>
      </c>
      <c r="N249" s="58">
        <v>230</v>
      </c>
      <c r="O249" s="59"/>
      <c r="P249" s="12" t="s">
        <v>91</v>
      </c>
      <c r="Q249" s="12" t="s">
        <v>4</v>
      </c>
      <c r="R249" s="12" t="s">
        <v>15</v>
      </c>
      <c r="S249" s="12" t="s">
        <v>41</v>
      </c>
      <c r="T249" s="12">
        <v>1</v>
      </c>
      <c r="U249" s="13">
        <v>44028</v>
      </c>
      <c r="V249" s="12" t="s">
        <v>385</v>
      </c>
      <c r="W249" s="12" t="s">
        <v>92</v>
      </c>
      <c r="X249" s="12" t="s">
        <v>93</v>
      </c>
      <c r="Y249" s="13"/>
      <c r="Z249" s="75"/>
    </row>
    <row r="250" spans="1:26" s="20" customFormat="1" hidden="1" x14ac:dyDescent="0.3">
      <c r="A250" s="12" t="s">
        <v>122</v>
      </c>
      <c r="B250" s="12">
        <v>10985</v>
      </c>
      <c r="C250" s="11" t="s">
        <v>386</v>
      </c>
      <c r="D250" s="12" t="s">
        <v>1</v>
      </c>
      <c r="E250" s="12" t="s">
        <v>1185</v>
      </c>
      <c r="F250" s="12" t="s">
        <v>132</v>
      </c>
      <c r="G250" s="12" t="s">
        <v>132</v>
      </c>
      <c r="H250" s="12" t="s">
        <v>315</v>
      </c>
      <c r="I250" s="12" t="s">
        <v>89</v>
      </c>
      <c r="J250" s="11" t="s">
        <v>387</v>
      </c>
      <c r="K250" s="11" t="s">
        <v>387</v>
      </c>
      <c r="L250" s="11" t="s">
        <v>1194</v>
      </c>
      <c r="M250" s="11" t="s">
        <v>388</v>
      </c>
      <c r="N250" s="58">
        <v>1980</v>
      </c>
      <c r="O250" s="58">
        <v>1980</v>
      </c>
      <c r="P250" s="12" t="s">
        <v>389</v>
      </c>
      <c r="Q250" s="12" t="s">
        <v>4</v>
      </c>
      <c r="R250" s="12" t="s">
        <v>15</v>
      </c>
      <c r="S250" s="12" t="s">
        <v>42</v>
      </c>
      <c r="T250" s="12">
        <v>1</v>
      </c>
      <c r="U250" s="13">
        <v>43724</v>
      </c>
      <c r="V250" s="12" t="s">
        <v>390</v>
      </c>
      <c r="W250" s="12" t="s">
        <v>92</v>
      </c>
      <c r="X250" s="12" t="s">
        <v>93</v>
      </c>
      <c r="Y250" s="13"/>
      <c r="Z250" s="75"/>
    </row>
    <row r="251" spans="1:26" s="20" customFormat="1" hidden="1" x14ac:dyDescent="0.3">
      <c r="A251" s="12" t="s">
        <v>122</v>
      </c>
      <c r="B251" s="12">
        <v>10985</v>
      </c>
      <c r="C251" s="11" t="s">
        <v>386</v>
      </c>
      <c r="D251" s="12" t="s">
        <v>1</v>
      </c>
      <c r="E251" s="12" t="s">
        <v>1185</v>
      </c>
      <c r="F251" s="12" t="s">
        <v>132</v>
      </c>
      <c r="G251" s="12" t="s">
        <v>132</v>
      </c>
      <c r="H251" s="12" t="s">
        <v>315</v>
      </c>
      <c r="I251" s="12" t="s">
        <v>89</v>
      </c>
      <c r="J251" s="11" t="s">
        <v>387</v>
      </c>
      <c r="K251" s="11" t="s">
        <v>387</v>
      </c>
      <c r="L251" s="11" t="s">
        <v>1194</v>
      </c>
      <c r="M251" s="11" t="s">
        <v>388</v>
      </c>
      <c r="N251" s="58">
        <v>1980</v>
      </c>
      <c r="O251" s="58">
        <v>1980</v>
      </c>
      <c r="P251" s="12" t="s">
        <v>389</v>
      </c>
      <c r="Q251" s="12" t="s">
        <v>4</v>
      </c>
      <c r="R251" s="12" t="s">
        <v>15</v>
      </c>
      <c r="S251" s="12" t="s">
        <v>42</v>
      </c>
      <c r="T251" s="12">
        <v>1</v>
      </c>
      <c r="U251" s="13">
        <v>43787</v>
      </c>
      <c r="V251" s="12" t="s">
        <v>391</v>
      </c>
      <c r="W251" s="12" t="s">
        <v>92</v>
      </c>
      <c r="X251" s="12" t="s">
        <v>93</v>
      </c>
      <c r="Y251" s="13"/>
      <c r="Z251" s="75"/>
    </row>
    <row r="252" spans="1:26" s="20" customFormat="1" hidden="1" x14ac:dyDescent="0.3">
      <c r="A252" s="12" t="s">
        <v>122</v>
      </c>
      <c r="B252" s="12">
        <v>10985</v>
      </c>
      <c r="C252" s="11" t="s">
        <v>386</v>
      </c>
      <c r="D252" s="12" t="s">
        <v>1</v>
      </c>
      <c r="E252" s="12" t="s">
        <v>1185</v>
      </c>
      <c r="F252" s="12" t="s">
        <v>132</v>
      </c>
      <c r="G252" s="12" t="s">
        <v>132</v>
      </c>
      <c r="H252" s="12" t="s">
        <v>315</v>
      </c>
      <c r="I252" s="12" t="s">
        <v>89</v>
      </c>
      <c r="J252" s="11" t="s">
        <v>387</v>
      </c>
      <c r="K252" s="11" t="s">
        <v>387</v>
      </c>
      <c r="L252" s="11" t="s">
        <v>1194</v>
      </c>
      <c r="M252" s="11" t="s">
        <v>388</v>
      </c>
      <c r="N252" s="58">
        <v>1980</v>
      </c>
      <c r="O252" s="58">
        <v>1980</v>
      </c>
      <c r="P252" s="12" t="s">
        <v>389</v>
      </c>
      <c r="Q252" s="12" t="s">
        <v>4</v>
      </c>
      <c r="R252" s="12" t="s">
        <v>15</v>
      </c>
      <c r="S252" s="12" t="s">
        <v>42</v>
      </c>
      <c r="T252" s="12">
        <v>1</v>
      </c>
      <c r="U252" s="13">
        <v>43814</v>
      </c>
      <c r="V252" s="12" t="s">
        <v>392</v>
      </c>
      <c r="W252" s="12" t="s">
        <v>92</v>
      </c>
      <c r="X252" s="12" t="s">
        <v>93</v>
      </c>
      <c r="Y252" s="13"/>
      <c r="Z252" s="75"/>
    </row>
    <row r="253" spans="1:26" s="20" customFormat="1" hidden="1" x14ac:dyDescent="0.3">
      <c r="A253" s="12" t="s">
        <v>122</v>
      </c>
      <c r="B253" s="12">
        <v>10985</v>
      </c>
      <c r="C253" s="11" t="s">
        <v>386</v>
      </c>
      <c r="D253" s="12" t="s">
        <v>1</v>
      </c>
      <c r="E253" s="12" t="s">
        <v>1185</v>
      </c>
      <c r="F253" s="12" t="s">
        <v>132</v>
      </c>
      <c r="G253" s="12" t="s">
        <v>132</v>
      </c>
      <c r="H253" s="12" t="s">
        <v>315</v>
      </c>
      <c r="I253" s="12" t="s">
        <v>89</v>
      </c>
      <c r="J253" s="11" t="s">
        <v>387</v>
      </c>
      <c r="K253" s="11" t="s">
        <v>387</v>
      </c>
      <c r="L253" s="11" t="s">
        <v>1194</v>
      </c>
      <c r="M253" s="11" t="s">
        <v>388</v>
      </c>
      <c r="N253" s="58">
        <v>1980</v>
      </c>
      <c r="O253" s="58">
        <v>1980</v>
      </c>
      <c r="P253" s="12" t="s">
        <v>389</v>
      </c>
      <c r="Q253" s="12" t="s">
        <v>4</v>
      </c>
      <c r="R253" s="12" t="s">
        <v>15</v>
      </c>
      <c r="S253" s="12" t="s">
        <v>42</v>
      </c>
      <c r="T253" s="12">
        <v>1</v>
      </c>
      <c r="U253" s="13">
        <v>43847</v>
      </c>
      <c r="V253" s="12" t="s">
        <v>392</v>
      </c>
      <c r="W253" s="12" t="s">
        <v>92</v>
      </c>
      <c r="X253" s="12" t="s">
        <v>93</v>
      </c>
      <c r="Y253" s="13"/>
      <c r="Z253" s="75"/>
    </row>
    <row r="254" spans="1:26" s="20" customFormat="1" hidden="1" x14ac:dyDescent="0.3">
      <c r="A254" s="12" t="s">
        <v>122</v>
      </c>
      <c r="B254" s="12">
        <v>10985</v>
      </c>
      <c r="C254" s="11" t="s">
        <v>386</v>
      </c>
      <c r="D254" s="12" t="s">
        <v>1</v>
      </c>
      <c r="E254" s="12" t="s">
        <v>1185</v>
      </c>
      <c r="F254" s="12" t="s">
        <v>132</v>
      </c>
      <c r="G254" s="12" t="s">
        <v>132</v>
      </c>
      <c r="H254" s="12" t="s">
        <v>315</v>
      </c>
      <c r="I254" s="12" t="s">
        <v>89</v>
      </c>
      <c r="J254" s="11" t="s">
        <v>387</v>
      </c>
      <c r="K254" s="11" t="s">
        <v>387</v>
      </c>
      <c r="L254" s="11" t="s">
        <v>1194</v>
      </c>
      <c r="M254" s="11" t="s">
        <v>388</v>
      </c>
      <c r="N254" s="58">
        <v>1980</v>
      </c>
      <c r="O254" s="58">
        <v>1980</v>
      </c>
      <c r="P254" s="12" t="s">
        <v>389</v>
      </c>
      <c r="Q254" s="12" t="s">
        <v>4</v>
      </c>
      <c r="R254" s="12" t="s">
        <v>15</v>
      </c>
      <c r="S254" s="12" t="s">
        <v>42</v>
      </c>
      <c r="T254" s="12">
        <v>1</v>
      </c>
      <c r="U254" s="13">
        <v>43878</v>
      </c>
      <c r="V254" s="12" t="s">
        <v>392</v>
      </c>
      <c r="W254" s="12" t="s">
        <v>92</v>
      </c>
      <c r="X254" s="12" t="s">
        <v>93</v>
      </c>
      <c r="Y254" s="13"/>
      <c r="Z254" s="75"/>
    </row>
    <row r="255" spans="1:26" s="20" customFormat="1" hidden="1" x14ac:dyDescent="0.3">
      <c r="A255" s="12" t="s">
        <v>122</v>
      </c>
      <c r="B255" s="12">
        <v>10985</v>
      </c>
      <c r="C255" s="11" t="s">
        <v>386</v>
      </c>
      <c r="D255" s="12" t="s">
        <v>1</v>
      </c>
      <c r="E255" s="12" t="s">
        <v>1185</v>
      </c>
      <c r="F255" s="12" t="s">
        <v>132</v>
      </c>
      <c r="G255" s="12" t="s">
        <v>132</v>
      </c>
      <c r="H255" s="12" t="s">
        <v>315</v>
      </c>
      <c r="I255" s="12" t="s">
        <v>89</v>
      </c>
      <c r="J255" s="11" t="s">
        <v>387</v>
      </c>
      <c r="K255" s="11" t="s">
        <v>387</v>
      </c>
      <c r="L255" s="11" t="s">
        <v>1194</v>
      </c>
      <c r="M255" s="11" t="s">
        <v>388</v>
      </c>
      <c r="N255" s="58">
        <v>1980</v>
      </c>
      <c r="O255" s="58">
        <v>1980</v>
      </c>
      <c r="P255" s="12" t="s">
        <v>389</v>
      </c>
      <c r="Q255" s="12" t="s">
        <v>4</v>
      </c>
      <c r="R255" s="12" t="s">
        <v>15</v>
      </c>
      <c r="S255" s="12" t="s">
        <v>42</v>
      </c>
      <c r="T255" s="12">
        <v>1</v>
      </c>
      <c r="U255" s="13">
        <v>43906</v>
      </c>
      <c r="V255" s="12" t="s">
        <v>392</v>
      </c>
      <c r="W255" s="12" t="s">
        <v>92</v>
      </c>
      <c r="X255" s="12" t="s">
        <v>93</v>
      </c>
      <c r="Y255" s="13"/>
      <c r="Z255" s="75"/>
    </row>
    <row r="256" spans="1:26" s="20" customFormat="1" hidden="1" x14ac:dyDescent="0.3">
      <c r="A256" s="12" t="s">
        <v>122</v>
      </c>
      <c r="B256" s="12">
        <v>10985</v>
      </c>
      <c r="C256" s="11" t="s">
        <v>386</v>
      </c>
      <c r="D256" s="12" t="s">
        <v>1</v>
      </c>
      <c r="E256" s="12" t="s">
        <v>1185</v>
      </c>
      <c r="F256" s="12" t="s">
        <v>132</v>
      </c>
      <c r="G256" s="12" t="s">
        <v>132</v>
      </c>
      <c r="H256" s="12" t="s">
        <v>315</v>
      </c>
      <c r="I256" s="12" t="s">
        <v>89</v>
      </c>
      <c r="J256" s="11" t="s">
        <v>387</v>
      </c>
      <c r="K256" s="11" t="s">
        <v>387</v>
      </c>
      <c r="L256" s="11" t="s">
        <v>1194</v>
      </c>
      <c r="M256" s="11" t="s">
        <v>388</v>
      </c>
      <c r="N256" s="58">
        <v>1980</v>
      </c>
      <c r="O256" s="58">
        <v>1980</v>
      </c>
      <c r="P256" s="12" t="s">
        <v>389</v>
      </c>
      <c r="Q256" s="12" t="s">
        <v>4</v>
      </c>
      <c r="R256" s="12" t="s">
        <v>15</v>
      </c>
      <c r="S256" s="12" t="s">
        <v>42</v>
      </c>
      <c r="T256" s="12">
        <v>1</v>
      </c>
      <c r="U256" s="13">
        <v>43938</v>
      </c>
      <c r="V256" s="12" t="s">
        <v>392</v>
      </c>
      <c r="W256" s="12" t="s">
        <v>92</v>
      </c>
      <c r="X256" s="12" t="s">
        <v>93</v>
      </c>
      <c r="Y256" s="13"/>
      <c r="Z256" s="75"/>
    </row>
    <row r="257" spans="1:26" s="20" customFormat="1" hidden="1" x14ac:dyDescent="0.3">
      <c r="A257" s="12" t="s">
        <v>122</v>
      </c>
      <c r="B257" s="12">
        <v>10985</v>
      </c>
      <c r="C257" s="11" t="s">
        <v>386</v>
      </c>
      <c r="D257" s="12" t="s">
        <v>1</v>
      </c>
      <c r="E257" s="12" t="s">
        <v>1185</v>
      </c>
      <c r="F257" s="12" t="s">
        <v>132</v>
      </c>
      <c r="G257" s="12" t="s">
        <v>132</v>
      </c>
      <c r="H257" s="12" t="s">
        <v>315</v>
      </c>
      <c r="I257" s="12" t="s">
        <v>89</v>
      </c>
      <c r="J257" s="11" t="s">
        <v>387</v>
      </c>
      <c r="K257" s="11" t="s">
        <v>387</v>
      </c>
      <c r="L257" s="11" t="s">
        <v>1194</v>
      </c>
      <c r="M257" s="11" t="s">
        <v>388</v>
      </c>
      <c r="N257" s="58">
        <v>1980</v>
      </c>
      <c r="O257" s="58">
        <v>1980</v>
      </c>
      <c r="P257" s="12" t="s">
        <v>389</v>
      </c>
      <c r="Q257" s="12" t="s">
        <v>4</v>
      </c>
      <c r="R257" s="12" t="s">
        <v>15</v>
      </c>
      <c r="S257" s="12" t="s">
        <v>42</v>
      </c>
      <c r="T257" s="12">
        <v>1</v>
      </c>
      <c r="U257" s="13">
        <v>43962</v>
      </c>
      <c r="V257" s="12" t="s">
        <v>392</v>
      </c>
      <c r="W257" s="12" t="s">
        <v>92</v>
      </c>
      <c r="X257" s="12" t="s">
        <v>93</v>
      </c>
      <c r="Y257" s="13"/>
      <c r="Z257" s="75"/>
    </row>
    <row r="258" spans="1:26" s="20" customFormat="1" hidden="1" x14ac:dyDescent="0.3">
      <c r="A258" s="12" t="s">
        <v>122</v>
      </c>
      <c r="B258" s="12">
        <v>10985</v>
      </c>
      <c r="C258" s="11" t="s">
        <v>386</v>
      </c>
      <c r="D258" s="12" t="s">
        <v>1</v>
      </c>
      <c r="E258" s="12" t="s">
        <v>1185</v>
      </c>
      <c r="F258" s="12" t="s">
        <v>132</v>
      </c>
      <c r="G258" s="12" t="s">
        <v>132</v>
      </c>
      <c r="H258" s="12" t="s">
        <v>315</v>
      </c>
      <c r="I258" s="12" t="s">
        <v>89</v>
      </c>
      <c r="J258" s="11" t="s">
        <v>387</v>
      </c>
      <c r="K258" s="11" t="s">
        <v>387</v>
      </c>
      <c r="L258" s="11" t="s">
        <v>1194</v>
      </c>
      <c r="M258" s="11" t="s">
        <v>388</v>
      </c>
      <c r="N258" s="58">
        <v>1980</v>
      </c>
      <c r="O258" s="58">
        <v>1980</v>
      </c>
      <c r="P258" s="12" t="s">
        <v>389</v>
      </c>
      <c r="Q258" s="12" t="s">
        <v>4</v>
      </c>
      <c r="R258" s="12" t="s">
        <v>15</v>
      </c>
      <c r="S258" s="12" t="s">
        <v>42</v>
      </c>
      <c r="T258" s="12">
        <v>1</v>
      </c>
      <c r="U258" s="13">
        <v>43998</v>
      </c>
      <c r="V258" s="12" t="s">
        <v>392</v>
      </c>
      <c r="W258" s="12" t="s">
        <v>92</v>
      </c>
      <c r="X258" s="12" t="s">
        <v>93</v>
      </c>
      <c r="Y258" s="13"/>
      <c r="Z258" s="75"/>
    </row>
    <row r="259" spans="1:26" s="21" customFormat="1" hidden="1" x14ac:dyDescent="0.3">
      <c r="A259" s="12" t="s">
        <v>122</v>
      </c>
      <c r="B259" s="12">
        <v>10985</v>
      </c>
      <c r="C259" s="11" t="s">
        <v>386</v>
      </c>
      <c r="D259" s="12" t="s">
        <v>1</v>
      </c>
      <c r="E259" s="12" t="s">
        <v>1185</v>
      </c>
      <c r="F259" s="12" t="s">
        <v>132</v>
      </c>
      <c r="G259" s="12" t="s">
        <v>132</v>
      </c>
      <c r="H259" s="12" t="s">
        <v>315</v>
      </c>
      <c r="I259" s="12" t="s">
        <v>89</v>
      </c>
      <c r="J259" s="11" t="s">
        <v>387</v>
      </c>
      <c r="K259" s="11" t="s">
        <v>387</v>
      </c>
      <c r="L259" s="11" t="s">
        <v>1194</v>
      </c>
      <c r="M259" s="11" t="s">
        <v>388</v>
      </c>
      <c r="N259" s="58">
        <v>1980</v>
      </c>
      <c r="O259" s="58">
        <v>1980</v>
      </c>
      <c r="P259" s="12" t="s">
        <v>389</v>
      </c>
      <c r="Q259" s="12" t="s">
        <v>4</v>
      </c>
      <c r="R259" s="12" t="s">
        <v>15</v>
      </c>
      <c r="S259" s="12" t="s">
        <v>42</v>
      </c>
      <c r="T259" s="12">
        <v>1</v>
      </c>
      <c r="U259" s="13">
        <v>44028</v>
      </c>
      <c r="V259" s="12" t="s">
        <v>392</v>
      </c>
      <c r="W259" s="12" t="s">
        <v>92</v>
      </c>
      <c r="X259" s="12" t="s">
        <v>93</v>
      </c>
      <c r="Y259" s="13"/>
      <c r="Z259" s="75"/>
    </row>
    <row r="260" spans="1:26" s="20" customFormat="1" hidden="1" x14ac:dyDescent="0.3">
      <c r="A260" s="12" t="s">
        <v>85</v>
      </c>
      <c r="B260" s="12">
        <v>11884</v>
      </c>
      <c r="C260" s="11" t="s">
        <v>386</v>
      </c>
      <c r="D260" s="12" t="s">
        <v>1</v>
      </c>
      <c r="E260" s="12" t="s">
        <v>1185</v>
      </c>
      <c r="F260" s="12" t="s">
        <v>132</v>
      </c>
      <c r="G260" s="12" t="s">
        <v>132</v>
      </c>
      <c r="H260" s="12" t="s">
        <v>393</v>
      </c>
      <c r="I260" s="12" t="s">
        <v>89</v>
      </c>
      <c r="J260" s="11" t="s">
        <v>394</v>
      </c>
      <c r="K260" s="11" t="s">
        <v>394</v>
      </c>
      <c r="L260" s="11" t="s">
        <v>1194</v>
      </c>
      <c r="M260" s="11" t="s">
        <v>395</v>
      </c>
      <c r="N260" s="57">
        <v>290471.59999999998</v>
      </c>
      <c r="O260" s="59"/>
      <c r="P260" s="56">
        <v>96210280247001</v>
      </c>
      <c r="Q260" s="12" t="s">
        <v>4</v>
      </c>
      <c r="R260" s="12" t="s">
        <v>15</v>
      </c>
      <c r="S260" s="12" t="s">
        <v>43</v>
      </c>
      <c r="T260" s="12">
        <v>0</v>
      </c>
      <c r="U260" s="13"/>
      <c r="V260" s="12" t="s">
        <v>92</v>
      </c>
      <c r="W260" s="12" t="s">
        <v>92</v>
      </c>
      <c r="X260" s="12" t="s">
        <v>105</v>
      </c>
      <c r="Y260" s="13"/>
      <c r="Z260" s="75"/>
    </row>
    <row r="261" spans="1:26" s="20" customFormat="1" hidden="1" x14ac:dyDescent="0.3">
      <c r="A261" s="12" t="s">
        <v>85</v>
      </c>
      <c r="B261" s="12">
        <v>12452</v>
      </c>
      <c r="C261" s="11" t="s">
        <v>295</v>
      </c>
      <c r="D261" s="12" t="s">
        <v>1</v>
      </c>
      <c r="E261" s="12" t="s">
        <v>1185</v>
      </c>
      <c r="F261" s="12" t="s">
        <v>87</v>
      </c>
      <c r="G261" s="12" t="s">
        <v>113</v>
      </c>
      <c r="H261" s="12" t="s">
        <v>296</v>
      </c>
      <c r="I261" s="12" t="s">
        <v>89</v>
      </c>
      <c r="J261" s="11" t="s">
        <v>396</v>
      </c>
      <c r="K261" s="11" t="s">
        <v>396</v>
      </c>
      <c r="L261" s="11" t="s">
        <v>1195</v>
      </c>
      <c r="M261" s="11" t="s">
        <v>397</v>
      </c>
      <c r="N261" s="58">
        <v>964</v>
      </c>
      <c r="O261" s="59"/>
      <c r="P261" s="12" t="s">
        <v>398</v>
      </c>
      <c r="Q261" s="12" t="s">
        <v>4</v>
      </c>
      <c r="R261" s="12" t="s">
        <v>13</v>
      </c>
      <c r="S261" s="12" t="s">
        <v>25</v>
      </c>
      <c r="T261" s="12">
        <v>1</v>
      </c>
      <c r="U261" s="13">
        <v>44028</v>
      </c>
      <c r="V261" s="12" t="s">
        <v>94</v>
      </c>
      <c r="W261" s="12" t="s">
        <v>92</v>
      </c>
      <c r="X261" s="12" t="s">
        <v>93</v>
      </c>
      <c r="Y261" s="13"/>
      <c r="Z261" s="75"/>
    </row>
    <row r="262" spans="1:26" s="20" customFormat="1" hidden="1" x14ac:dyDescent="0.3">
      <c r="A262" s="12" t="s">
        <v>85</v>
      </c>
      <c r="B262" s="12">
        <v>12469</v>
      </c>
      <c r="C262" s="11" t="s">
        <v>95</v>
      </c>
      <c r="D262" s="12" t="s">
        <v>1</v>
      </c>
      <c r="E262" s="12" t="s">
        <v>1185</v>
      </c>
      <c r="F262" s="12" t="s">
        <v>87</v>
      </c>
      <c r="G262" s="12" t="s">
        <v>113</v>
      </c>
      <c r="H262" s="12" t="s">
        <v>96</v>
      </c>
      <c r="I262" s="12" t="s">
        <v>89</v>
      </c>
      <c r="J262" s="11" t="s">
        <v>399</v>
      </c>
      <c r="K262" s="11" t="s">
        <v>399</v>
      </c>
      <c r="L262" s="11" t="s">
        <v>1197</v>
      </c>
      <c r="M262" s="11" t="s">
        <v>400</v>
      </c>
      <c r="N262" s="58">
        <v>3512</v>
      </c>
      <c r="O262" s="58">
        <v>4775.53</v>
      </c>
      <c r="P262" s="12"/>
      <c r="Q262" s="12" t="s">
        <v>12</v>
      </c>
      <c r="R262" s="12" t="s">
        <v>99</v>
      </c>
      <c r="S262" s="12" t="s">
        <v>99</v>
      </c>
      <c r="T262" s="12">
        <v>1</v>
      </c>
      <c r="U262" s="13">
        <v>44043</v>
      </c>
      <c r="V262" s="12" t="s">
        <v>366</v>
      </c>
      <c r="W262" s="12" t="s">
        <v>92</v>
      </c>
      <c r="X262" s="12" t="s">
        <v>93</v>
      </c>
      <c r="Y262" s="13">
        <v>44058</v>
      </c>
      <c r="Z262" s="75"/>
    </row>
    <row r="263" spans="1:26" s="20" customFormat="1" hidden="1" x14ac:dyDescent="0.3">
      <c r="A263" s="12" t="s">
        <v>85</v>
      </c>
      <c r="B263" s="12">
        <v>13392</v>
      </c>
      <c r="C263" s="11" t="s">
        <v>95</v>
      </c>
      <c r="D263" s="12" t="s">
        <v>1</v>
      </c>
      <c r="E263" s="12" t="s">
        <v>1185</v>
      </c>
      <c r="F263" s="12" t="s">
        <v>87</v>
      </c>
      <c r="G263" s="12" t="s">
        <v>113</v>
      </c>
      <c r="H263" s="12" t="s">
        <v>96</v>
      </c>
      <c r="I263" s="12" t="s">
        <v>89</v>
      </c>
      <c r="J263" s="11" t="s">
        <v>330</v>
      </c>
      <c r="K263" s="11" t="s">
        <v>330</v>
      </c>
      <c r="L263" s="11" t="s">
        <v>1202</v>
      </c>
      <c r="M263" s="11" t="s">
        <v>331</v>
      </c>
      <c r="N263" s="58">
        <v>766.17</v>
      </c>
      <c r="O263" s="59"/>
      <c r="P263" s="12"/>
      <c r="Q263" s="12" t="s">
        <v>12</v>
      </c>
      <c r="R263" s="12" t="s">
        <v>99</v>
      </c>
      <c r="S263" s="12" t="s">
        <v>99</v>
      </c>
      <c r="T263" s="12">
        <v>1</v>
      </c>
      <c r="U263" s="13"/>
      <c r="V263" s="12" t="s">
        <v>164</v>
      </c>
      <c r="W263" s="12" t="s">
        <v>92</v>
      </c>
      <c r="X263" s="12" t="s">
        <v>93</v>
      </c>
      <c r="Y263" s="13">
        <v>43880</v>
      </c>
      <c r="Z263" s="75"/>
    </row>
    <row r="264" spans="1:26" s="20" customFormat="1" hidden="1" x14ac:dyDescent="0.3">
      <c r="A264" s="12" t="s">
        <v>85</v>
      </c>
      <c r="B264" s="12">
        <v>13431</v>
      </c>
      <c r="C264" s="11" t="s">
        <v>95</v>
      </c>
      <c r="D264" s="12" t="s">
        <v>1</v>
      </c>
      <c r="E264" s="12" t="s">
        <v>1185</v>
      </c>
      <c r="F264" s="12" t="s">
        <v>87</v>
      </c>
      <c r="G264" s="12" t="s">
        <v>113</v>
      </c>
      <c r="H264" s="12" t="s">
        <v>96</v>
      </c>
      <c r="I264" s="12" t="s">
        <v>89</v>
      </c>
      <c r="J264" s="11" t="s">
        <v>302</v>
      </c>
      <c r="K264" s="11" t="s">
        <v>302</v>
      </c>
      <c r="L264" s="11" t="s">
        <v>1202</v>
      </c>
      <c r="M264" s="11" t="s">
        <v>303</v>
      </c>
      <c r="N264" s="58">
        <v>580</v>
      </c>
      <c r="O264" s="59"/>
      <c r="P264" s="12"/>
      <c r="Q264" s="12" t="s">
        <v>4</v>
      </c>
      <c r="R264" s="12" t="s">
        <v>1190</v>
      </c>
      <c r="S264" s="12" t="s">
        <v>37</v>
      </c>
      <c r="T264" s="12">
        <v>1</v>
      </c>
      <c r="U264" s="13">
        <v>43814</v>
      </c>
      <c r="V264" s="12" t="s">
        <v>304</v>
      </c>
      <c r="W264" s="12">
        <v>80866</v>
      </c>
      <c r="X264" s="12" t="s">
        <v>93</v>
      </c>
      <c r="Y264" s="13"/>
      <c r="Z264" s="75"/>
    </row>
    <row r="265" spans="1:26" s="20" customFormat="1" hidden="1" x14ac:dyDescent="0.3">
      <c r="A265" s="12" t="s">
        <v>85</v>
      </c>
      <c r="B265" s="12">
        <v>13431</v>
      </c>
      <c r="C265" s="11" t="s">
        <v>95</v>
      </c>
      <c r="D265" s="12" t="s">
        <v>1</v>
      </c>
      <c r="E265" s="12" t="s">
        <v>1185</v>
      </c>
      <c r="F265" s="12" t="s">
        <v>87</v>
      </c>
      <c r="G265" s="12" t="s">
        <v>113</v>
      </c>
      <c r="H265" s="12" t="s">
        <v>96</v>
      </c>
      <c r="I265" s="12" t="s">
        <v>89</v>
      </c>
      <c r="J265" s="11" t="s">
        <v>302</v>
      </c>
      <c r="K265" s="11" t="s">
        <v>302</v>
      </c>
      <c r="L265" s="11" t="s">
        <v>1202</v>
      </c>
      <c r="M265" s="11" t="s">
        <v>303</v>
      </c>
      <c r="N265" s="58">
        <v>580</v>
      </c>
      <c r="O265" s="59"/>
      <c r="P265" s="12"/>
      <c r="Q265" s="12" t="s">
        <v>12</v>
      </c>
      <c r="R265" s="12" t="s">
        <v>15</v>
      </c>
      <c r="S265" s="12" t="s">
        <v>92</v>
      </c>
      <c r="T265" s="12">
        <v>1</v>
      </c>
      <c r="U265" s="12"/>
      <c r="V265" s="12" t="s">
        <v>164</v>
      </c>
      <c r="W265" s="12" t="s">
        <v>92</v>
      </c>
      <c r="X265" s="12" t="s">
        <v>93</v>
      </c>
      <c r="Y265" s="13">
        <v>43880</v>
      </c>
      <c r="Z265" s="75"/>
    </row>
    <row r="266" spans="1:26" s="20" customFormat="1" hidden="1" x14ac:dyDescent="0.3">
      <c r="A266" s="12" t="s">
        <v>85</v>
      </c>
      <c r="B266" s="12">
        <v>13431</v>
      </c>
      <c r="C266" s="11" t="s">
        <v>95</v>
      </c>
      <c r="D266" s="12" t="s">
        <v>1</v>
      </c>
      <c r="E266" s="12" t="s">
        <v>1185</v>
      </c>
      <c r="F266" s="12" t="s">
        <v>87</v>
      </c>
      <c r="G266" s="12" t="s">
        <v>113</v>
      </c>
      <c r="H266" s="12" t="s">
        <v>96</v>
      </c>
      <c r="I266" s="12" t="s">
        <v>89</v>
      </c>
      <c r="J266" s="11" t="s">
        <v>302</v>
      </c>
      <c r="K266" s="11" t="s">
        <v>302</v>
      </c>
      <c r="L266" s="11" t="s">
        <v>1202</v>
      </c>
      <c r="M266" s="11" t="s">
        <v>303</v>
      </c>
      <c r="N266" s="58">
        <v>580</v>
      </c>
      <c r="O266" s="59"/>
      <c r="P266" s="12"/>
      <c r="Q266" s="12" t="s">
        <v>4</v>
      </c>
      <c r="R266" s="12" t="s">
        <v>1190</v>
      </c>
      <c r="S266" s="12" t="s">
        <v>37</v>
      </c>
      <c r="T266" s="12">
        <v>1</v>
      </c>
      <c r="U266" s="13">
        <v>43847</v>
      </c>
      <c r="V266" s="12" t="s">
        <v>305</v>
      </c>
      <c r="W266" s="12" t="s">
        <v>92</v>
      </c>
      <c r="X266" s="12" t="s">
        <v>93</v>
      </c>
      <c r="Y266" s="13"/>
      <c r="Z266" s="75"/>
    </row>
    <row r="267" spans="1:26" s="20" customFormat="1" hidden="1" x14ac:dyDescent="0.3">
      <c r="A267" s="12" t="s">
        <v>85</v>
      </c>
      <c r="B267" s="12">
        <v>13431</v>
      </c>
      <c r="C267" s="11" t="s">
        <v>95</v>
      </c>
      <c r="D267" s="12" t="s">
        <v>1</v>
      </c>
      <c r="E267" s="12" t="s">
        <v>1185</v>
      </c>
      <c r="F267" s="12" t="s">
        <v>87</v>
      </c>
      <c r="G267" s="12" t="s">
        <v>113</v>
      </c>
      <c r="H267" s="12" t="s">
        <v>96</v>
      </c>
      <c r="I267" s="12" t="s">
        <v>89</v>
      </c>
      <c r="J267" s="11" t="s">
        <v>302</v>
      </c>
      <c r="K267" s="11" t="s">
        <v>302</v>
      </c>
      <c r="L267" s="11" t="s">
        <v>1202</v>
      </c>
      <c r="M267" s="11" t="s">
        <v>303</v>
      </c>
      <c r="N267" s="58">
        <v>580</v>
      </c>
      <c r="O267" s="59"/>
      <c r="P267" s="12"/>
      <c r="Q267" s="12" t="s">
        <v>4</v>
      </c>
      <c r="R267" s="12" t="s">
        <v>1190</v>
      </c>
      <c r="S267" s="12" t="s">
        <v>37</v>
      </c>
      <c r="T267" s="12">
        <v>1</v>
      </c>
      <c r="U267" s="13">
        <v>43938</v>
      </c>
      <c r="V267" s="12" t="s">
        <v>306</v>
      </c>
      <c r="W267" s="12" t="s">
        <v>92</v>
      </c>
      <c r="X267" s="12" t="s">
        <v>93</v>
      </c>
      <c r="Y267" s="13"/>
      <c r="Z267" s="75"/>
    </row>
    <row r="268" spans="1:26" s="20" customFormat="1" hidden="1" x14ac:dyDescent="0.3">
      <c r="A268" s="12" t="s">
        <v>85</v>
      </c>
      <c r="B268" s="12">
        <v>13431</v>
      </c>
      <c r="C268" s="11" t="s">
        <v>95</v>
      </c>
      <c r="D268" s="12" t="s">
        <v>1</v>
      </c>
      <c r="E268" s="12" t="s">
        <v>1185</v>
      </c>
      <c r="F268" s="12" t="s">
        <v>87</v>
      </c>
      <c r="G268" s="12" t="s">
        <v>113</v>
      </c>
      <c r="H268" s="12" t="s">
        <v>96</v>
      </c>
      <c r="I268" s="12" t="s">
        <v>89</v>
      </c>
      <c r="J268" s="11" t="s">
        <v>302</v>
      </c>
      <c r="K268" s="11" t="s">
        <v>302</v>
      </c>
      <c r="L268" s="11" t="s">
        <v>1202</v>
      </c>
      <c r="M268" s="11" t="s">
        <v>303</v>
      </c>
      <c r="N268" s="58">
        <v>580</v>
      </c>
      <c r="O268" s="59"/>
      <c r="P268" s="12"/>
      <c r="Q268" s="12" t="s">
        <v>4</v>
      </c>
      <c r="R268" s="12" t="s">
        <v>1190</v>
      </c>
      <c r="S268" s="12" t="s">
        <v>37</v>
      </c>
      <c r="T268" s="12">
        <v>1</v>
      </c>
      <c r="U268" s="13">
        <v>43962</v>
      </c>
      <c r="V268" s="12" t="s">
        <v>307</v>
      </c>
      <c r="W268" s="12" t="s">
        <v>92</v>
      </c>
      <c r="X268" s="12" t="s">
        <v>93</v>
      </c>
      <c r="Y268" s="13"/>
      <c r="Z268" s="75"/>
    </row>
    <row r="269" spans="1:26" s="20" customFormat="1" hidden="1" x14ac:dyDescent="0.3">
      <c r="A269" s="12" t="s">
        <v>85</v>
      </c>
      <c r="B269" s="12">
        <v>13431</v>
      </c>
      <c r="C269" s="11" t="s">
        <v>95</v>
      </c>
      <c r="D269" s="12" t="s">
        <v>1</v>
      </c>
      <c r="E269" s="12" t="s">
        <v>1185</v>
      </c>
      <c r="F269" s="12" t="s">
        <v>87</v>
      </c>
      <c r="G269" s="12" t="s">
        <v>113</v>
      </c>
      <c r="H269" s="12" t="s">
        <v>96</v>
      </c>
      <c r="I269" s="12" t="s">
        <v>89</v>
      </c>
      <c r="J269" s="11" t="s">
        <v>302</v>
      </c>
      <c r="K269" s="11" t="s">
        <v>302</v>
      </c>
      <c r="L269" s="11" t="s">
        <v>1202</v>
      </c>
      <c r="M269" s="11" t="s">
        <v>303</v>
      </c>
      <c r="N269" s="58">
        <v>580</v>
      </c>
      <c r="O269" s="59"/>
      <c r="P269" s="12"/>
      <c r="Q269" s="12" t="s">
        <v>4</v>
      </c>
      <c r="R269" s="12" t="s">
        <v>1190</v>
      </c>
      <c r="S269" s="12" t="s">
        <v>37</v>
      </c>
      <c r="T269" s="12">
        <v>1</v>
      </c>
      <c r="U269" s="13">
        <v>43878</v>
      </c>
      <c r="V269" s="12" t="s">
        <v>308</v>
      </c>
      <c r="W269" s="12" t="s">
        <v>92</v>
      </c>
      <c r="X269" s="12" t="s">
        <v>93</v>
      </c>
      <c r="Y269" s="13"/>
      <c r="Z269" s="75"/>
    </row>
    <row r="270" spans="1:26" s="20" customFormat="1" hidden="1" x14ac:dyDescent="0.3">
      <c r="A270" s="12" t="s">
        <v>85</v>
      </c>
      <c r="B270" s="12">
        <v>13431</v>
      </c>
      <c r="C270" s="11" t="s">
        <v>95</v>
      </c>
      <c r="D270" s="12" t="s">
        <v>1</v>
      </c>
      <c r="E270" s="12" t="s">
        <v>1185</v>
      </c>
      <c r="F270" s="12" t="s">
        <v>87</v>
      </c>
      <c r="G270" s="12" t="s">
        <v>113</v>
      </c>
      <c r="H270" s="12" t="s">
        <v>96</v>
      </c>
      <c r="I270" s="12" t="s">
        <v>89</v>
      </c>
      <c r="J270" s="11" t="s">
        <v>302</v>
      </c>
      <c r="K270" s="11" t="s">
        <v>302</v>
      </c>
      <c r="L270" s="11" t="s">
        <v>1202</v>
      </c>
      <c r="M270" s="11" t="s">
        <v>303</v>
      </c>
      <c r="N270" s="58">
        <v>580</v>
      </c>
      <c r="O270" s="59"/>
      <c r="P270" s="12"/>
      <c r="Q270" s="12" t="s">
        <v>4</v>
      </c>
      <c r="R270" s="12" t="s">
        <v>1190</v>
      </c>
      <c r="S270" s="12" t="s">
        <v>37</v>
      </c>
      <c r="T270" s="12">
        <v>1</v>
      </c>
      <c r="U270" s="13">
        <v>43907</v>
      </c>
      <c r="V270" s="12" t="s">
        <v>309</v>
      </c>
      <c r="W270" s="12" t="s">
        <v>92</v>
      </c>
      <c r="X270" s="12" t="s">
        <v>93</v>
      </c>
      <c r="Y270" s="13"/>
      <c r="Z270" s="75"/>
    </row>
    <row r="271" spans="1:26" s="20" customFormat="1" hidden="1" x14ac:dyDescent="0.3">
      <c r="A271" s="12" t="s">
        <v>85</v>
      </c>
      <c r="B271" s="12">
        <v>13431</v>
      </c>
      <c r="C271" s="11" t="s">
        <v>95</v>
      </c>
      <c r="D271" s="12" t="s">
        <v>1</v>
      </c>
      <c r="E271" s="12" t="s">
        <v>1185</v>
      </c>
      <c r="F271" s="12" t="s">
        <v>87</v>
      </c>
      <c r="G271" s="12" t="s">
        <v>113</v>
      </c>
      <c r="H271" s="12" t="s">
        <v>96</v>
      </c>
      <c r="I271" s="12" t="s">
        <v>89</v>
      </c>
      <c r="J271" s="11" t="s">
        <v>302</v>
      </c>
      <c r="K271" s="11" t="s">
        <v>302</v>
      </c>
      <c r="L271" s="11" t="s">
        <v>1202</v>
      </c>
      <c r="M271" s="11" t="s">
        <v>303</v>
      </c>
      <c r="N271" s="58">
        <v>580</v>
      </c>
      <c r="O271" s="59"/>
      <c r="P271" s="12"/>
      <c r="Q271" s="12" t="s">
        <v>4</v>
      </c>
      <c r="R271" s="12" t="s">
        <v>1190</v>
      </c>
      <c r="S271" s="12" t="s">
        <v>37</v>
      </c>
      <c r="T271" s="12">
        <v>1</v>
      </c>
      <c r="U271" s="13">
        <v>43998</v>
      </c>
      <c r="V271" s="12" t="s">
        <v>310</v>
      </c>
      <c r="W271" s="12" t="s">
        <v>92</v>
      </c>
      <c r="X271" s="12" t="s">
        <v>93</v>
      </c>
      <c r="Y271" s="13"/>
      <c r="Z271" s="75"/>
    </row>
    <row r="272" spans="1:26" s="20" customFormat="1" hidden="1" x14ac:dyDescent="0.3">
      <c r="A272" s="12" t="s">
        <v>85</v>
      </c>
      <c r="B272" s="12">
        <v>13431</v>
      </c>
      <c r="C272" s="11" t="s">
        <v>95</v>
      </c>
      <c r="D272" s="12" t="s">
        <v>1</v>
      </c>
      <c r="E272" s="12" t="s">
        <v>1185</v>
      </c>
      <c r="F272" s="12" t="s">
        <v>87</v>
      </c>
      <c r="G272" s="12" t="s">
        <v>113</v>
      </c>
      <c r="H272" s="12" t="s">
        <v>96</v>
      </c>
      <c r="I272" s="12" t="s">
        <v>89</v>
      </c>
      <c r="J272" s="11" t="s">
        <v>302</v>
      </c>
      <c r="K272" s="11" t="s">
        <v>302</v>
      </c>
      <c r="L272" s="11" t="s">
        <v>1202</v>
      </c>
      <c r="M272" s="11" t="s">
        <v>303</v>
      </c>
      <c r="N272" s="58">
        <v>580</v>
      </c>
      <c r="O272" s="59"/>
      <c r="P272" s="12"/>
      <c r="Q272" s="12" t="s">
        <v>4</v>
      </c>
      <c r="R272" s="12" t="s">
        <v>1190</v>
      </c>
      <c r="S272" s="12" t="s">
        <v>37</v>
      </c>
      <c r="T272" s="12">
        <v>1</v>
      </c>
      <c r="U272" s="13">
        <v>44027</v>
      </c>
      <c r="V272" s="12" t="s">
        <v>310</v>
      </c>
      <c r="W272" s="12" t="s">
        <v>92</v>
      </c>
      <c r="X272" s="12" t="s">
        <v>93</v>
      </c>
      <c r="Y272" s="13"/>
      <c r="Z272" s="75"/>
    </row>
    <row r="273" spans="1:26" s="21" customFormat="1" hidden="1" x14ac:dyDescent="0.3">
      <c r="A273" s="12" t="s">
        <v>85</v>
      </c>
      <c r="B273" s="12">
        <v>13441</v>
      </c>
      <c r="C273" s="11" t="s">
        <v>95</v>
      </c>
      <c r="D273" s="12" t="s">
        <v>1</v>
      </c>
      <c r="E273" s="12" t="s">
        <v>1185</v>
      </c>
      <c r="F273" s="12" t="s">
        <v>87</v>
      </c>
      <c r="G273" s="12" t="s">
        <v>113</v>
      </c>
      <c r="H273" s="12" t="s">
        <v>96</v>
      </c>
      <c r="I273" s="12" t="s">
        <v>89</v>
      </c>
      <c r="J273" s="11" t="s">
        <v>302</v>
      </c>
      <c r="K273" s="11" t="s">
        <v>302</v>
      </c>
      <c r="L273" s="11" t="s">
        <v>1202</v>
      </c>
      <c r="M273" s="11" t="s">
        <v>303</v>
      </c>
      <c r="N273" s="58">
        <v>553.20000000000005</v>
      </c>
      <c r="O273" s="59"/>
      <c r="P273" s="12"/>
      <c r="Q273" s="12" t="s">
        <v>12</v>
      </c>
      <c r="R273" s="12" t="s">
        <v>99</v>
      </c>
      <c r="S273" s="12" t="s">
        <v>99</v>
      </c>
      <c r="T273" s="12">
        <v>1</v>
      </c>
      <c r="U273" s="12"/>
      <c r="V273" s="12" t="s">
        <v>164</v>
      </c>
      <c r="W273" s="12">
        <v>80866</v>
      </c>
      <c r="X273" s="12" t="s">
        <v>108</v>
      </c>
      <c r="Y273" s="13">
        <v>43880</v>
      </c>
      <c r="Z273" s="75"/>
    </row>
    <row r="274" spans="1:26" s="20" customFormat="1" hidden="1" x14ac:dyDescent="0.3">
      <c r="A274" s="12" t="s">
        <v>85</v>
      </c>
      <c r="B274" s="12">
        <v>13442</v>
      </c>
      <c r="C274" s="11" t="s">
        <v>95</v>
      </c>
      <c r="D274" s="12" t="s">
        <v>1</v>
      </c>
      <c r="E274" s="12" t="s">
        <v>1185</v>
      </c>
      <c r="F274" s="12" t="s">
        <v>87</v>
      </c>
      <c r="G274" s="12" t="s">
        <v>113</v>
      </c>
      <c r="H274" s="12" t="s">
        <v>96</v>
      </c>
      <c r="I274" s="12" t="s">
        <v>89</v>
      </c>
      <c r="J274" s="11" t="s">
        <v>302</v>
      </c>
      <c r="K274" s="11" t="s">
        <v>302</v>
      </c>
      <c r="L274" s="11" t="s">
        <v>1202</v>
      </c>
      <c r="M274" s="11" t="s">
        <v>303</v>
      </c>
      <c r="N274" s="58">
        <v>569.5</v>
      </c>
      <c r="O274" s="59"/>
      <c r="P274" s="12"/>
      <c r="Q274" s="12" t="s">
        <v>4</v>
      </c>
      <c r="R274" s="12" t="s">
        <v>1190</v>
      </c>
      <c r="S274" s="12" t="s">
        <v>37</v>
      </c>
      <c r="T274" s="12">
        <v>1</v>
      </c>
      <c r="U274" s="13">
        <v>43814</v>
      </c>
      <c r="V274" s="12" t="s">
        <v>304</v>
      </c>
      <c r="W274" s="12">
        <v>80866</v>
      </c>
      <c r="X274" s="12" t="s">
        <v>93</v>
      </c>
      <c r="Y274" s="13"/>
      <c r="Z274" s="75"/>
    </row>
    <row r="275" spans="1:26" s="20" customFormat="1" hidden="1" x14ac:dyDescent="0.3">
      <c r="A275" s="12" t="s">
        <v>85</v>
      </c>
      <c r="B275" s="12">
        <v>13442</v>
      </c>
      <c r="C275" s="11" t="s">
        <v>95</v>
      </c>
      <c r="D275" s="12" t="s">
        <v>1</v>
      </c>
      <c r="E275" s="12" t="s">
        <v>1185</v>
      </c>
      <c r="F275" s="12" t="s">
        <v>87</v>
      </c>
      <c r="G275" s="12" t="s">
        <v>113</v>
      </c>
      <c r="H275" s="12" t="s">
        <v>96</v>
      </c>
      <c r="I275" s="12" t="s">
        <v>89</v>
      </c>
      <c r="J275" s="11" t="s">
        <v>302</v>
      </c>
      <c r="K275" s="11" t="s">
        <v>302</v>
      </c>
      <c r="L275" s="11" t="s">
        <v>1202</v>
      </c>
      <c r="M275" s="11" t="s">
        <v>303</v>
      </c>
      <c r="N275" s="58">
        <v>569.5</v>
      </c>
      <c r="O275" s="59"/>
      <c r="P275" s="12"/>
      <c r="Q275" s="12" t="s">
        <v>12</v>
      </c>
      <c r="R275" s="12" t="s">
        <v>15</v>
      </c>
      <c r="S275" s="12" t="s">
        <v>92</v>
      </c>
      <c r="T275" s="12">
        <v>1</v>
      </c>
      <c r="U275" s="12"/>
      <c r="V275" s="12" t="s">
        <v>164</v>
      </c>
      <c r="W275" s="12" t="s">
        <v>92</v>
      </c>
      <c r="X275" s="12" t="s">
        <v>93</v>
      </c>
      <c r="Y275" s="13">
        <v>43880</v>
      </c>
      <c r="Z275" s="75"/>
    </row>
    <row r="276" spans="1:26" s="20" customFormat="1" hidden="1" x14ac:dyDescent="0.3">
      <c r="A276" s="12" t="s">
        <v>85</v>
      </c>
      <c r="B276" s="12">
        <v>13442</v>
      </c>
      <c r="C276" s="11" t="s">
        <v>95</v>
      </c>
      <c r="D276" s="12" t="s">
        <v>1</v>
      </c>
      <c r="E276" s="12" t="s">
        <v>1185</v>
      </c>
      <c r="F276" s="12" t="s">
        <v>87</v>
      </c>
      <c r="G276" s="12" t="s">
        <v>113</v>
      </c>
      <c r="H276" s="12" t="s">
        <v>96</v>
      </c>
      <c r="I276" s="12" t="s">
        <v>89</v>
      </c>
      <c r="J276" s="11" t="s">
        <v>302</v>
      </c>
      <c r="K276" s="11" t="s">
        <v>302</v>
      </c>
      <c r="L276" s="11" t="s">
        <v>1202</v>
      </c>
      <c r="M276" s="11" t="s">
        <v>303</v>
      </c>
      <c r="N276" s="58">
        <v>569.5</v>
      </c>
      <c r="O276" s="59"/>
      <c r="P276" s="12"/>
      <c r="Q276" s="12" t="s">
        <v>4</v>
      </c>
      <c r="R276" s="12" t="s">
        <v>1190</v>
      </c>
      <c r="S276" s="12" t="s">
        <v>37</v>
      </c>
      <c r="T276" s="12">
        <v>1</v>
      </c>
      <c r="U276" s="13">
        <v>43847</v>
      </c>
      <c r="V276" s="12" t="s">
        <v>305</v>
      </c>
      <c r="W276" s="12" t="s">
        <v>92</v>
      </c>
      <c r="X276" s="12" t="s">
        <v>93</v>
      </c>
      <c r="Y276" s="13"/>
      <c r="Z276" s="75"/>
    </row>
    <row r="277" spans="1:26" s="20" customFormat="1" hidden="1" x14ac:dyDescent="0.3">
      <c r="A277" s="12" t="s">
        <v>85</v>
      </c>
      <c r="B277" s="12">
        <v>13442</v>
      </c>
      <c r="C277" s="11" t="s">
        <v>95</v>
      </c>
      <c r="D277" s="12" t="s">
        <v>1</v>
      </c>
      <c r="E277" s="12" t="s">
        <v>1185</v>
      </c>
      <c r="F277" s="12" t="s">
        <v>87</v>
      </c>
      <c r="G277" s="12" t="s">
        <v>113</v>
      </c>
      <c r="H277" s="12" t="s">
        <v>96</v>
      </c>
      <c r="I277" s="12" t="s">
        <v>89</v>
      </c>
      <c r="J277" s="11" t="s">
        <v>302</v>
      </c>
      <c r="K277" s="11" t="s">
        <v>302</v>
      </c>
      <c r="L277" s="11" t="s">
        <v>1202</v>
      </c>
      <c r="M277" s="11" t="s">
        <v>303</v>
      </c>
      <c r="N277" s="58">
        <v>569.5</v>
      </c>
      <c r="O277" s="59"/>
      <c r="P277" s="12"/>
      <c r="Q277" s="12" t="s">
        <v>4</v>
      </c>
      <c r="R277" s="12" t="s">
        <v>1190</v>
      </c>
      <c r="S277" s="12" t="s">
        <v>37</v>
      </c>
      <c r="T277" s="12">
        <v>1</v>
      </c>
      <c r="U277" s="13">
        <v>43878</v>
      </c>
      <c r="V277" s="12" t="s">
        <v>308</v>
      </c>
      <c r="W277" s="12" t="s">
        <v>92</v>
      </c>
      <c r="X277" s="12" t="s">
        <v>93</v>
      </c>
      <c r="Y277" s="13"/>
      <c r="Z277" s="75"/>
    </row>
    <row r="278" spans="1:26" s="20" customFormat="1" hidden="1" x14ac:dyDescent="0.3">
      <c r="A278" s="12" t="s">
        <v>85</v>
      </c>
      <c r="B278" s="12">
        <v>13442</v>
      </c>
      <c r="C278" s="11" t="s">
        <v>95</v>
      </c>
      <c r="D278" s="12" t="s">
        <v>1</v>
      </c>
      <c r="E278" s="12" t="s">
        <v>1185</v>
      </c>
      <c r="F278" s="12" t="s">
        <v>87</v>
      </c>
      <c r="G278" s="12" t="s">
        <v>113</v>
      </c>
      <c r="H278" s="12" t="s">
        <v>96</v>
      </c>
      <c r="I278" s="12" t="s">
        <v>89</v>
      </c>
      <c r="J278" s="11" t="s">
        <v>302</v>
      </c>
      <c r="K278" s="11" t="s">
        <v>302</v>
      </c>
      <c r="L278" s="11" t="s">
        <v>1202</v>
      </c>
      <c r="M278" s="11" t="s">
        <v>303</v>
      </c>
      <c r="N278" s="58">
        <v>569.5</v>
      </c>
      <c r="O278" s="59"/>
      <c r="P278" s="12"/>
      <c r="Q278" s="12" t="s">
        <v>4</v>
      </c>
      <c r="R278" s="12" t="s">
        <v>1190</v>
      </c>
      <c r="S278" s="12" t="s">
        <v>37</v>
      </c>
      <c r="T278" s="12">
        <v>1</v>
      </c>
      <c r="U278" s="13">
        <v>43907</v>
      </c>
      <c r="V278" s="12" t="s">
        <v>309</v>
      </c>
      <c r="W278" s="12" t="s">
        <v>92</v>
      </c>
      <c r="X278" s="12" t="s">
        <v>93</v>
      </c>
      <c r="Y278" s="13"/>
      <c r="Z278" s="75"/>
    </row>
    <row r="279" spans="1:26" s="20" customFormat="1" hidden="1" x14ac:dyDescent="0.3">
      <c r="A279" s="12" t="s">
        <v>85</v>
      </c>
      <c r="B279" s="12">
        <v>13442</v>
      </c>
      <c r="C279" s="11" t="s">
        <v>95</v>
      </c>
      <c r="D279" s="12" t="s">
        <v>1</v>
      </c>
      <c r="E279" s="12" t="s">
        <v>1185</v>
      </c>
      <c r="F279" s="12" t="s">
        <v>87</v>
      </c>
      <c r="G279" s="12" t="s">
        <v>113</v>
      </c>
      <c r="H279" s="12" t="s">
        <v>96</v>
      </c>
      <c r="I279" s="12" t="s">
        <v>89</v>
      </c>
      <c r="J279" s="11" t="s">
        <v>302</v>
      </c>
      <c r="K279" s="11" t="s">
        <v>302</v>
      </c>
      <c r="L279" s="11" t="s">
        <v>1202</v>
      </c>
      <c r="M279" s="11" t="s">
        <v>303</v>
      </c>
      <c r="N279" s="58">
        <v>569.5</v>
      </c>
      <c r="O279" s="59"/>
      <c r="P279" s="12"/>
      <c r="Q279" s="12" t="s">
        <v>4</v>
      </c>
      <c r="R279" s="12" t="s">
        <v>1190</v>
      </c>
      <c r="S279" s="12" t="s">
        <v>37</v>
      </c>
      <c r="T279" s="12">
        <v>1</v>
      </c>
      <c r="U279" s="13">
        <v>43938</v>
      </c>
      <c r="V279" s="12" t="s">
        <v>329</v>
      </c>
      <c r="W279" s="12" t="s">
        <v>92</v>
      </c>
      <c r="X279" s="12" t="s">
        <v>93</v>
      </c>
      <c r="Y279" s="13"/>
      <c r="Z279" s="75"/>
    </row>
    <row r="280" spans="1:26" s="20" customFormat="1" hidden="1" x14ac:dyDescent="0.3">
      <c r="A280" s="12" t="s">
        <v>85</v>
      </c>
      <c r="B280" s="12">
        <v>13442</v>
      </c>
      <c r="C280" s="11" t="s">
        <v>95</v>
      </c>
      <c r="D280" s="12" t="s">
        <v>1</v>
      </c>
      <c r="E280" s="12" t="s">
        <v>1185</v>
      </c>
      <c r="F280" s="12" t="s">
        <v>87</v>
      </c>
      <c r="G280" s="12" t="s">
        <v>113</v>
      </c>
      <c r="H280" s="12" t="s">
        <v>96</v>
      </c>
      <c r="I280" s="12" t="s">
        <v>89</v>
      </c>
      <c r="J280" s="11" t="s">
        <v>302</v>
      </c>
      <c r="K280" s="11" t="s">
        <v>302</v>
      </c>
      <c r="L280" s="11" t="s">
        <v>1202</v>
      </c>
      <c r="M280" s="11" t="s">
        <v>303</v>
      </c>
      <c r="N280" s="58">
        <v>569.5</v>
      </c>
      <c r="O280" s="59"/>
      <c r="P280" s="12"/>
      <c r="Q280" s="12" t="s">
        <v>4</v>
      </c>
      <c r="R280" s="12" t="s">
        <v>1190</v>
      </c>
      <c r="S280" s="12" t="s">
        <v>37</v>
      </c>
      <c r="T280" s="12">
        <v>1</v>
      </c>
      <c r="U280" s="13">
        <v>43962</v>
      </c>
      <c r="V280" s="12" t="s">
        <v>307</v>
      </c>
      <c r="W280" s="12" t="s">
        <v>92</v>
      </c>
      <c r="X280" s="12" t="s">
        <v>93</v>
      </c>
      <c r="Y280" s="13"/>
      <c r="Z280" s="75"/>
    </row>
    <row r="281" spans="1:26" s="20" customFormat="1" hidden="1" x14ac:dyDescent="0.3">
      <c r="A281" s="12" t="s">
        <v>85</v>
      </c>
      <c r="B281" s="12">
        <v>13442</v>
      </c>
      <c r="C281" s="11" t="s">
        <v>95</v>
      </c>
      <c r="D281" s="12" t="s">
        <v>1</v>
      </c>
      <c r="E281" s="12" t="s">
        <v>1185</v>
      </c>
      <c r="F281" s="12" t="s">
        <v>87</v>
      </c>
      <c r="G281" s="12" t="s">
        <v>113</v>
      </c>
      <c r="H281" s="12" t="s">
        <v>96</v>
      </c>
      <c r="I281" s="12" t="s">
        <v>89</v>
      </c>
      <c r="J281" s="11" t="s">
        <v>302</v>
      </c>
      <c r="K281" s="11" t="s">
        <v>302</v>
      </c>
      <c r="L281" s="11" t="s">
        <v>1202</v>
      </c>
      <c r="M281" s="11" t="s">
        <v>303</v>
      </c>
      <c r="N281" s="58">
        <v>569.5</v>
      </c>
      <c r="O281" s="59"/>
      <c r="P281" s="12"/>
      <c r="Q281" s="12" t="s">
        <v>4</v>
      </c>
      <c r="R281" s="12" t="s">
        <v>1190</v>
      </c>
      <c r="S281" s="12" t="s">
        <v>37</v>
      </c>
      <c r="T281" s="12">
        <v>1</v>
      </c>
      <c r="U281" s="13">
        <v>43998</v>
      </c>
      <c r="V281" s="12" t="s">
        <v>310</v>
      </c>
      <c r="W281" s="12" t="s">
        <v>92</v>
      </c>
      <c r="X281" s="12" t="s">
        <v>93</v>
      </c>
      <c r="Y281" s="13"/>
      <c r="Z281" s="75"/>
    </row>
    <row r="282" spans="1:26" s="20" customFormat="1" hidden="1" x14ac:dyDescent="0.3">
      <c r="A282" s="12" t="s">
        <v>85</v>
      </c>
      <c r="B282" s="12">
        <v>13442</v>
      </c>
      <c r="C282" s="11" t="s">
        <v>95</v>
      </c>
      <c r="D282" s="12" t="s">
        <v>1</v>
      </c>
      <c r="E282" s="12" t="s">
        <v>1185</v>
      </c>
      <c r="F282" s="12" t="s">
        <v>87</v>
      </c>
      <c r="G282" s="12" t="s">
        <v>113</v>
      </c>
      <c r="H282" s="12" t="s">
        <v>96</v>
      </c>
      <c r="I282" s="12" t="s">
        <v>89</v>
      </c>
      <c r="J282" s="11" t="s">
        <v>302</v>
      </c>
      <c r="K282" s="11" t="s">
        <v>302</v>
      </c>
      <c r="L282" s="11" t="s">
        <v>1202</v>
      </c>
      <c r="M282" s="11" t="s">
        <v>303</v>
      </c>
      <c r="N282" s="58">
        <v>569.5</v>
      </c>
      <c r="O282" s="59"/>
      <c r="P282" s="12"/>
      <c r="Q282" s="12" t="s">
        <v>4</v>
      </c>
      <c r="R282" s="12" t="s">
        <v>1190</v>
      </c>
      <c r="S282" s="12" t="s">
        <v>37</v>
      </c>
      <c r="T282" s="12">
        <v>1</v>
      </c>
      <c r="U282" s="13">
        <v>44027</v>
      </c>
      <c r="V282" s="12" t="s">
        <v>310</v>
      </c>
      <c r="W282" s="12" t="s">
        <v>92</v>
      </c>
      <c r="X282" s="12" t="s">
        <v>93</v>
      </c>
      <c r="Y282" s="13"/>
      <c r="Z282" s="75"/>
    </row>
    <row r="283" spans="1:26" s="20" customFormat="1" hidden="1" x14ac:dyDescent="0.3">
      <c r="A283" s="12" t="s">
        <v>85</v>
      </c>
      <c r="B283" s="12">
        <v>13582</v>
      </c>
      <c r="C283" s="11" t="s">
        <v>367</v>
      </c>
      <c r="D283" s="12" t="s">
        <v>417</v>
      </c>
      <c r="E283" s="12" t="s">
        <v>1185</v>
      </c>
      <c r="F283" s="12" t="s">
        <v>113</v>
      </c>
      <c r="G283" s="12" t="s">
        <v>113</v>
      </c>
      <c r="H283" s="12" t="s">
        <v>368</v>
      </c>
      <c r="I283" s="12" t="s">
        <v>115</v>
      </c>
      <c r="J283" s="11" t="s">
        <v>369</v>
      </c>
      <c r="K283" s="11" t="s">
        <v>369</v>
      </c>
      <c r="L283" s="11" t="s">
        <v>1210</v>
      </c>
      <c r="M283" s="11" t="s">
        <v>92</v>
      </c>
      <c r="N283" s="60">
        <v>592.5</v>
      </c>
      <c r="O283" s="59"/>
      <c r="P283" s="12">
        <v>4054</v>
      </c>
      <c r="Q283" s="12" t="s">
        <v>12</v>
      </c>
      <c r="R283" s="12" t="s">
        <v>15</v>
      </c>
      <c r="S283" s="12" t="s">
        <v>40</v>
      </c>
      <c r="T283" s="12">
        <v>1</v>
      </c>
      <c r="U283" s="13">
        <v>43902</v>
      </c>
      <c r="V283" s="12" t="s">
        <v>401</v>
      </c>
      <c r="W283" s="12" t="s">
        <v>92</v>
      </c>
      <c r="X283" s="12" t="s">
        <v>105</v>
      </c>
      <c r="Y283" s="13"/>
      <c r="Z283" s="75"/>
    </row>
    <row r="284" spans="1:26" s="20" customFormat="1" hidden="1" x14ac:dyDescent="0.3">
      <c r="A284" s="12" t="s">
        <v>85</v>
      </c>
      <c r="B284" s="12">
        <v>13582</v>
      </c>
      <c r="C284" s="11" t="s">
        <v>367</v>
      </c>
      <c r="D284" s="12" t="s">
        <v>417</v>
      </c>
      <c r="E284" s="12" t="s">
        <v>1185</v>
      </c>
      <c r="F284" s="12" t="s">
        <v>113</v>
      </c>
      <c r="G284" s="12" t="s">
        <v>113</v>
      </c>
      <c r="H284" s="12" t="s">
        <v>368</v>
      </c>
      <c r="I284" s="12" t="s">
        <v>115</v>
      </c>
      <c r="J284" s="11" t="s">
        <v>369</v>
      </c>
      <c r="K284" s="11" t="s">
        <v>369</v>
      </c>
      <c r="L284" s="11" t="s">
        <v>1210</v>
      </c>
      <c r="M284" s="11" t="s">
        <v>92</v>
      </c>
      <c r="N284" s="60">
        <v>592.5</v>
      </c>
      <c r="O284" s="59"/>
      <c r="P284" s="12">
        <v>4054</v>
      </c>
      <c r="Q284" s="12" t="s">
        <v>12</v>
      </c>
      <c r="R284" s="12" t="s">
        <v>15</v>
      </c>
      <c r="S284" s="12" t="s">
        <v>40</v>
      </c>
      <c r="T284" s="12">
        <v>1</v>
      </c>
      <c r="U284" s="13">
        <v>44014</v>
      </c>
      <c r="V284" s="12" t="s">
        <v>372</v>
      </c>
      <c r="W284" s="12" t="s">
        <v>92</v>
      </c>
      <c r="X284" s="15" t="s">
        <v>105</v>
      </c>
      <c r="Y284" s="13"/>
      <c r="Z284" s="75"/>
    </row>
    <row r="285" spans="1:26" s="20" customFormat="1" hidden="1" x14ac:dyDescent="0.3">
      <c r="A285" s="12" t="s">
        <v>85</v>
      </c>
      <c r="B285" s="12">
        <v>13582</v>
      </c>
      <c r="C285" s="11" t="s">
        <v>367</v>
      </c>
      <c r="D285" s="12" t="s">
        <v>417</v>
      </c>
      <c r="E285" s="12" t="s">
        <v>1185</v>
      </c>
      <c r="F285" s="12" t="s">
        <v>113</v>
      </c>
      <c r="G285" s="12" t="s">
        <v>113</v>
      </c>
      <c r="H285" s="12" t="s">
        <v>368</v>
      </c>
      <c r="I285" s="12" t="s">
        <v>115</v>
      </c>
      <c r="J285" s="11" t="s">
        <v>369</v>
      </c>
      <c r="K285" s="11" t="s">
        <v>369</v>
      </c>
      <c r="L285" s="11" t="s">
        <v>1210</v>
      </c>
      <c r="M285" s="11" t="s">
        <v>92</v>
      </c>
      <c r="N285" s="60">
        <v>592.5</v>
      </c>
      <c r="O285" s="59"/>
      <c r="P285" s="12">
        <v>4054</v>
      </c>
      <c r="Q285" s="12" t="s">
        <v>12</v>
      </c>
      <c r="R285" s="12" t="s">
        <v>402</v>
      </c>
      <c r="S285" s="12" t="s">
        <v>25</v>
      </c>
      <c r="T285" s="12">
        <v>1</v>
      </c>
      <c r="U285" s="13">
        <v>43895</v>
      </c>
      <c r="V285" s="12" t="s">
        <v>156</v>
      </c>
      <c r="W285" s="12" t="s">
        <v>92</v>
      </c>
      <c r="X285" s="12" t="s">
        <v>105</v>
      </c>
      <c r="Y285" s="13"/>
      <c r="Z285" s="75"/>
    </row>
    <row r="286" spans="1:26" s="20" customFormat="1" hidden="1" x14ac:dyDescent="0.3">
      <c r="A286" s="12" t="s">
        <v>85</v>
      </c>
      <c r="B286" s="12">
        <v>13582</v>
      </c>
      <c r="C286" s="11" t="s">
        <v>367</v>
      </c>
      <c r="D286" s="12" t="s">
        <v>417</v>
      </c>
      <c r="E286" s="12" t="s">
        <v>1185</v>
      </c>
      <c r="F286" s="12" t="s">
        <v>113</v>
      </c>
      <c r="G286" s="12" t="s">
        <v>113</v>
      </c>
      <c r="H286" s="12" t="s">
        <v>368</v>
      </c>
      <c r="I286" s="12" t="s">
        <v>115</v>
      </c>
      <c r="J286" s="11" t="s">
        <v>369</v>
      </c>
      <c r="K286" s="11" t="s">
        <v>369</v>
      </c>
      <c r="L286" s="11" t="s">
        <v>1210</v>
      </c>
      <c r="M286" s="11" t="s">
        <v>92</v>
      </c>
      <c r="N286" s="60">
        <v>592.5</v>
      </c>
      <c r="O286" s="59"/>
      <c r="P286" s="12">
        <v>4054</v>
      </c>
      <c r="Q286" s="12" t="s">
        <v>12</v>
      </c>
      <c r="R286" s="12" t="s">
        <v>402</v>
      </c>
      <c r="S286" s="12" t="s">
        <v>25</v>
      </c>
      <c r="T286" s="12">
        <v>1</v>
      </c>
      <c r="U286" s="13">
        <v>43902</v>
      </c>
      <c r="V286" s="12" t="s">
        <v>157</v>
      </c>
      <c r="W286" s="12" t="s">
        <v>92</v>
      </c>
      <c r="X286" s="12" t="s">
        <v>105</v>
      </c>
      <c r="Y286" s="13"/>
      <c r="Z286" s="75"/>
    </row>
    <row r="287" spans="1:26" s="21" customFormat="1" hidden="1" x14ac:dyDescent="0.3">
      <c r="A287" s="12" t="s">
        <v>85</v>
      </c>
      <c r="B287" s="12">
        <v>13582</v>
      </c>
      <c r="C287" s="11" t="s">
        <v>367</v>
      </c>
      <c r="D287" s="12" t="s">
        <v>417</v>
      </c>
      <c r="E287" s="12" t="s">
        <v>1185</v>
      </c>
      <c r="F287" s="12" t="s">
        <v>113</v>
      </c>
      <c r="G287" s="12" t="s">
        <v>113</v>
      </c>
      <c r="H287" s="12" t="s">
        <v>368</v>
      </c>
      <c r="I287" s="12" t="s">
        <v>115</v>
      </c>
      <c r="J287" s="11" t="s">
        <v>369</v>
      </c>
      <c r="K287" s="11" t="s">
        <v>369</v>
      </c>
      <c r="L287" s="11" t="s">
        <v>1210</v>
      </c>
      <c r="M287" s="11" t="s">
        <v>92</v>
      </c>
      <c r="N287" s="60">
        <v>592.5</v>
      </c>
      <c r="O287" s="59"/>
      <c r="P287" s="12">
        <v>4054</v>
      </c>
      <c r="Q287" s="12" t="s">
        <v>12</v>
      </c>
      <c r="R287" s="12" t="s">
        <v>402</v>
      </c>
      <c r="S287" s="12" t="s">
        <v>25</v>
      </c>
      <c r="T287" s="12">
        <v>1</v>
      </c>
      <c r="U287" s="13">
        <v>43992</v>
      </c>
      <c r="V287" s="12" t="s">
        <v>158</v>
      </c>
      <c r="W287" s="12" t="s">
        <v>92</v>
      </c>
      <c r="X287" s="12" t="s">
        <v>105</v>
      </c>
      <c r="Y287" s="13"/>
      <c r="Z287" s="75"/>
    </row>
    <row r="288" spans="1:26" s="20" customFormat="1" hidden="1" x14ac:dyDescent="0.3">
      <c r="A288" s="12" t="s">
        <v>85</v>
      </c>
      <c r="B288" s="12">
        <v>13582</v>
      </c>
      <c r="C288" s="11" t="s">
        <v>367</v>
      </c>
      <c r="D288" s="12" t="s">
        <v>417</v>
      </c>
      <c r="E288" s="12" t="s">
        <v>1185</v>
      </c>
      <c r="F288" s="12" t="s">
        <v>113</v>
      </c>
      <c r="G288" s="12" t="s">
        <v>113</v>
      </c>
      <c r="H288" s="12" t="s">
        <v>368</v>
      </c>
      <c r="I288" s="12" t="s">
        <v>115</v>
      </c>
      <c r="J288" s="11" t="s">
        <v>369</v>
      </c>
      <c r="K288" s="11" t="s">
        <v>369</v>
      </c>
      <c r="L288" s="11" t="s">
        <v>1210</v>
      </c>
      <c r="M288" s="11" t="s">
        <v>92</v>
      </c>
      <c r="N288" s="60">
        <v>592.5</v>
      </c>
      <c r="O288" s="59"/>
      <c r="P288" s="12">
        <v>4054</v>
      </c>
      <c r="Q288" s="12" t="s">
        <v>12</v>
      </c>
      <c r="R288" s="12" t="s">
        <v>402</v>
      </c>
      <c r="S288" s="12" t="s">
        <v>25</v>
      </c>
      <c r="T288" s="12">
        <v>1</v>
      </c>
      <c r="U288" s="13">
        <v>43997</v>
      </c>
      <c r="V288" s="12" t="s">
        <v>159</v>
      </c>
      <c r="W288" s="12" t="s">
        <v>92</v>
      </c>
      <c r="X288" s="12" t="s">
        <v>105</v>
      </c>
      <c r="Y288" s="13"/>
      <c r="Z288" s="75"/>
    </row>
    <row r="289" spans="1:26" s="20" customFormat="1" hidden="1" x14ac:dyDescent="0.3">
      <c r="A289" s="12" t="s">
        <v>85</v>
      </c>
      <c r="B289" s="12">
        <v>13582</v>
      </c>
      <c r="C289" s="11" t="s">
        <v>367</v>
      </c>
      <c r="D289" s="12" t="s">
        <v>417</v>
      </c>
      <c r="E289" s="12" t="s">
        <v>1185</v>
      </c>
      <c r="F289" s="12" t="s">
        <v>113</v>
      </c>
      <c r="G289" s="12" t="s">
        <v>87</v>
      </c>
      <c r="H289" s="12" t="s">
        <v>368</v>
      </c>
      <c r="I289" s="12" t="s">
        <v>115</v>
      </c>
      <c r="J289" s="11" t="s">
        <v>369</v>
      </c>
      <c r="K289" s="11" t="s">
        <v>369</v>
      </c>
      <c r="L289" s="11" t="s">
        <v>1210</v>
      </c>
      <c r="M289" s="11" t="s">
        <v>92</v>
      </c>
      <c r="N289" s="60">
        <v>592.5</v>
      </c>
      <c r="O289" s="59"/>
      <c r="P289" s="12">
        <v>4054</v>
      </c>
      <c r="Q289" s="12" t="s">
        <v>12</v>
      </c>
      <c r="R289" s="12" t="s">
        <v>402</v>
      </c>
      <c r="S289" s="12" t="s">
        <v>25</v>
      </c>
      <c r="T289" s="12">
        <v>1</v>
      </c>
      <c r="U289" s="13">
        <v>43999</v>
      </c>
      <c r="V289" s="12" t="s">
        <v>160</v>
      </c>
      <c r="W289" s="12" t="s">
        <v>92</v>
      </c>
      <c r="X289" s="12" t="s">
        <v>105</v>
      </c>
      <c r="Y289" s="13"/>
      <c r="Z289" s="75"/>
    </row>
    <row r="290" spans="1:26" s="20" customFormat="1" hidden="1" x14ac:dyDescent="0.3">
      <c r="A290" s="12" t="s">
        <v>85</v>
      </c>
      <c r="B290" s="12">
        <v>13582</v>
      </c>
      <c r="C290" s="11" t="s">
        <v>367</v>
      </c>
      <c r="D290" s="12" t="s">
        <v>417</v>
      </c>
      <c r="E290" s="12" t="s">
        <v>1185</v>
      </c>
      <c r="F290" s="12" t="s">
        <v>113</v>
      </c>
      <c r="G290" s="12" t="s">
        <v>87</v>
      </c>
      <c r="H290" s="12" t="s">
        <v>368</v>
      </c>
      <c r="I290" s="12" t="s">
        <v>115</v>
      </c>
      <c r="J290" s="11" t="s">
        <v>369</v>
      </c>
      <c r="K290" s="11" t="s">
        <v>369</v>
      </c>
      <c r="L290" s="11" t="s">
        <v>1210</v>
      </c>
      <c r="M290" s="11" t="s">
        <v>92</v>
      </c>
      <c r="N290" s="60">
        <v>592.5</v>
      </c>
      <c r="O290" s="59"/>
      <c r="P290" s="12">
        <v>4054</v>
      </c>
      <c r="Q290" s="12" t="s">
        <v>12</v>
      </c>
      <c r="R290" s="12" t="s">
        <v>402</v>
      </c>
      <c r="S290" s="12" t="s">
        <v>25</v>
      </c>
      <c r="T290" s="12">
        <v>1</v>
      </c>
      <c r="U290" s="13">
        <v>44014</v>
      </c>
      <c r="V290" s="12" t="s">
        <v>161</v>
      </c>
      <c r="W290" s="12" t="s">
        <v>92</v>
      </c>
      <c r="X290" s="15" t="s">
        <v>105</v>
      </c>
      <c r="Y290" s="13"/>
      <c r="Z290" s="75"/>
    </row>
    <row r="291" spans="1:26" s="20" customFormat="1" hidden="1" x14ac:dyDescent="0.3">
      <c r="A291" s="12" t="s">
        <v>85</v>
      </c>
      <c r="B291" s="12">
        <v>13896</v>
      </c>
      <c r="C291" s="11" t="s">
        <v>130</v>
      </c>
      <c r="D291" s="12" t="s">
        <v>1</v>
      </c>
      <c r="E291" s="12" t="s">
        <v>1185</v>
      </c>
      <c r="F291" s="12" t="s">
        <v>132</v>
      </c>
      <c r="G291" s="12" t="s">
        <v>113</v>
      </c>
      <c r="H291" s="12" t="s">
        <v>96</v>
      </c>
      <c r="I291" s="12" t="s">
        <v>89</v>
      </c>
      <c r="J291" s="11" t="s">
        <v>403</v>
      </c>
      <c r="K291" s="11" t="s">
        <v>403</v>
      </c>
      <c r="L291" s="11" t="s">
        <v>1221</v>
      </c>
      <c r="M291" s="11" t="s">
        <v>404</v>
      </c>
      <c r="N291" s="59">
        <v>0</v>
      </c>
      <c r="O291" s="59">
        <v>214.61</v>
      </c>
      <c r="P291" s="12" t="s">
        <v>405</v>
      </c>
      <c r="Q291" s="12" t="s">
        <v>4</v>
      </c>
      <c r="R291" s="12" t="s">
        <v>15</v>
      </c>
      <c r="S291" s="12" t="s">
        <v>44</v>
      </c>
      <c r="T291" s="12">
        <v>1</v>
      </c>
      <c r="U291" s="13">
        <v>43903</v>
      </c>
      <c r="V291" s="12" t="s">
        <v>406</v>
      </c>
      <c r="W291" s="12" t="s">
        <v>92</v>
      </c>
      <c r="X291" s="12" t="s">
        <v>105</v>
      </c>
      <c r="Y291" s="13"/>
      <c r="Z291" s="75"/>
    </row>
    <row r="292" spans="1:26" s="20" customFormat="1" hidden="1" x14ac:dyDescent="0.3">
      <c r="A292" s="12" t="s">
        <v>85</v>
      </c>
      <c r="B292" s="12">
        <v>13896</v>
      </c>
      <c r="C292" s="11" t="s">
        <v>130</v>
      </c>
      <c r="D292" s="12" t="s">
        <v>1</v>
      </c>
      <c r="E292" s="12" t="s">
        <v>1185</v>
      </c>
      <c r="F292" s="12" t="s">
        <v>132</v>
      </c>
      <c r="G292" s="12" t="s">
        <v>113</v>
      </c>
      <c r="H292" s="12" t="s">
        <v>96</v>
      </c>
      <c r="I292" s="12" t="s">
        <v>89</v>
      </c>
      <c r="J292" s="11" t="s">
        <v>403</v>
      </c>
      <c r="K292" s="11" t="s">
        <v>403</v>
      </c>
      <c r="L292" s="11" t="s">
        <v>1221</v>
      </c>
      <c r="M292" s="11" t="s">
        <v>404</v>
      </c>
      <c r="N292" s="59">
        <v>0</v>
      </c>
      <c r="O292" s="59">
        <v>214.61</v>
      </c>
      <c r="P292" s="12" t="s">
        <v>405</v>
      </c>
      <c r="Q292" s="12" t="s">
        <v>4</v>
      </c>
      <c r="R292" s="12" t="s">
        <v>15</v>
      </c>
      <c r="S292" s="12" t="s">
        <v>44</v>
      </c>
      <c r="T292" s="12">
        <v>1</v>
      </c>
      <c r="U292" s="13">
        <v>43908</v>
      </c>
      <c r="V292" s="12" t="s">
        <v>407</v>
      </c>
      <c r="W292" s="12" t="s">
        <v>92</v>
      </c>
      <c r="X292" s="12" t="s">
        <v>105</v>
      </c>
      <c r="Y292" s="13"/>
      <c r="Z292" s="75"/>
    </row>
    <row r="293" spans="1:26" s="20" customFormat="1" hidden="1" x14ac:dyDescent="0.3">
      <c r="A293" s="12" t="s">
        <v>85</v>
      </c>
      <c r="B293" s="12">
        <v>13896</v>
      </c>
      <c r="C293" s="11" t="s">
        <v>130</v>
      </c>
      <c r="D293" s="12" t="s">
        <v>1</v>
      </c>
      <c r="E293" s="12" t="s">
        <v>1185</v>
      </c>
      <c r="F293" s="12" t="s">
        <v>132</v>
      </c>
      <c r="G293" s="12" t="s">
        <v>113</v>
      </c>
      <c r="H293" s="12" t="s">
        <v>96</v>
      </c>
      <c r="I293" s="12" t="s">
        <v>89</v>
      </c>
      <c r="J293" s="11" t="s">
        <v>403</v>
      </c>
      <c r="K293" s="11" t="s">
        <v>403</v>
      </c>
      <c r="L293" s="11" t="s">
        <v>1221</v>
      </c>
      <c r="M293" s="11" t="s">
        <v>404</v>
      </c>
      <c r="N293" s="59">
        <v>0</v>
      </c>
      <c r="O293" s="59">
        <v>214.61</v>
      </c>
      <c r="P293" s="12" t="s">
        <v>405</v>
      </c>
      <c r="Q293" s="12" t="s">
        <v>4</v>
      </c>
      <c r="R293" s="12" t="s">
        <v>13</v>
      </c>
      <c r="S293" s="12" t="s">
        <v>25</v>
      </c>
      <c r="T293" s="12">
        <v>1</v>
      </c>
      <c r="U293" s="13">
        <v>44028</v>
      </c>
      <c r="V293" s="12" t="s">
        <v>94</v>
      </c>
      <c r="W293" s="12" t="s">
        <v>92</v>
      </c>
      <c r="X293" s="12" t="s">
        <v>105</v>
      </c>
      <c r="Y293" s="13"/>
      <c r="Z293" s="75"/>
    </row>
    <row r="294" spans="1:26" s="20" customFormat="1" hidden="1" x14ac:dyDescent="0.3">
      <c r="A294" s="12" t="s">
        <v>85</v>
      </c>
      <c r="B294" s="12">
        <v>13896</v>
      </c>
      <c r="C294" s="11" t="s">
        <v>130</v>
      </c>
      <c r="D294" s="12" t="s">
        <v>1</v>
      </c>
      <c r="E294" s="12" t="s">
        <v>1185</v>
      </c>
      <c r="F294" s="12" t="s">
        <v>132</v>
      </c>
      <c r="G294" s="12" t="s">
        <v>113</v>
      </c>
      <c r="H294" s="12" t="s">
        <v>96</v>
      </c>
      <c r="I294" s="12" t="s">
        <v>89</v>
      </c>
      <c r="J294" s="11" t="s">
        <v>403</v>
      </c>
      <c r="K294" s="11" t="s">
        <v>403</v>
      </c>
      <c r="L294" s="11" t="s">
        <v>1221</v>
      </c>
      <c r="M294" s="11" t="s">
        <v>404</v>
      </c>
      <c r="N294" s="59">
        <v>0</v>
      </c>
      <c r="O294" s="59">
        <v>214.61</v>
      </c>
      <c r="P294" s="12" t="s">
        <v>405</v>
      </c>
      <c r="Q294" s="12" t="s">
        <v>4</v>
      </c>
      <c r="R294" s="12" t="s">
        <v>15</v>
      </c>
      <c r="S294" s="12" t="s">
        <v>44</v>
      </c>
      <c r="T294" s="12">
        <v>1</v>
      </c>
      <c r="U294" s="13">
        <v>43991</v>
      </c>
      <c r="V294" s="12" t="s">
        <v>408</v>
      </c>
      <c r="W294" s="12" t="s">
        <v>92</v>
      </c>
      <c r="X294" s="12" t="s">
        <v>105</v>
      </c>
      <c r="Y294" s="13"/>
      <c r="Z294" s="75"/>
    </row>
    <row r="295" spans="1:26" s="20" customFormat="1" hidden="1" x14ac:dyDescent="0.3">
      <c r="A295" s="12" t="s">
        <v>85</v>
      </c>
      <c r="B295" s="12">
        <v>13896</v>
      </c>
      <c r="C295" s="11" t="s">
        <v>130</v>
      </c>
      <c r="D295" s="12" t="s">
        <v>1</v>
      </c>
      <c r="E295" s="12" t="s">
        <v>1185</v>
      </c>
      <c r="F295" s="12" t="s">
        <v>132</v>
      </c>
      <c r="G295" s="12" t="s">
        <v>113</v>
      </c>
      <c r="H295" s="12" t="s">
        <v>96</v>
      </c>
      <c r="I295" s="12" t="s">
        <v>89</v>
      </c>
      <c r="J295" s="11" t="s">
        <v>403</v>
      </c>
      <c r="K295" s="11" t="s">
        <v>403</v>
      </c>
      <c r="L295" s="11" t="s">
        <v>1221</v>
      </c>
      <c r="M295" s="11" t="s">
        <v>404</v>
      </c>
      <c r="N295" s="59">
        <v>0</v>
      </c>
      <c r="O295" s="59">
        <v>214.61</v>
      </c>
      <c r="P295" s="12" t="s">
        <v>405</v>
      </c>
      <c r="Q295" s="12" t="s">
        <v>4</v>
      </c>
      <c r="R295" s="12" t="s">
        <v>15</v>
      </c>
      <c r="S295" s="12" t="s">
        <v>44</v>
      </c>
      <c r="T295" s="12">
        <v>1</v>
      </c>
      <c r="U295" s="13">
        <v>44015</v>
      </c>
      <c r="V295" s="12" t="s">
        <v>409</v>
      </c>
      <c r="W295" s="12" t="s">
        <v>92</v>
      </c>
      <c r="X295" s="15" t="s">
        <v>105</v>
      </c>
      <c r="Y295" s="13"/>
      <c r="Z295" s="75"/>
    </row>
    <row r="296" spans="1:26" s="20" customFormat="1" hidden="1" x14ac:dyDescent="0.3">
      <c r="A296" s="12" t="s">
        <v>85</v>
      </c>
      <c r="B296" s="12">
        <v>14216</v>
      </c>
      <c r="C296" s="11" t="s">
        <v>95</v>
      </c>
      <c r="D296" s="12" t="s">
        <v>1</v>
      </c>
      <c r="E296" s="12" t="s">
        <v>1185</v>
      </c>
      <c r="F296" s="12" t="s">
        <v>132</v>
      </c>
      <c r="G296" s="12" t="s">
        <v>113</v>
      </c>
      <c r="H296" s="12" t="s">
        <v>96</v>
      </c>
      <c r="I296" s="12" t="s">
        <v>89</v>
      </c>
      <c r="J296" s="11" t="s">
        <v>410</v>
      </c>
      <c r="K296" s="11" t="s">
        <v>410</v>
      </c>
      <c r="L296" s="11" t="s">
        <v>1195</v>
      </c>
      <c r="M296" s="11" t="s">
        <v>411</v>
      </c>
      <c r="N296" s="58">
        <v>495</v>
      </c>
      <c r="O296" s="59"/>
      <c r="P296" s="12" t="s">
        <v>412</v>
      </c>
      <c r="Q296" s="12" t="s">
        <v>4</v>
      </c>
      <c r="R296" s="12" t="s">
        <v>13</v>
      </c>
      <c r="S296" s="12" t="s">
        <v>25</v>
      </c>
      <c r="T296" s="12">
        <v>1</v>
      </c>
      <c r="U296" s="13">
        <v>44028</v>
      </c>
      <c r="V296" s="12" t="s">
        <v>94</v>
      </c>
      <c r="W296" s="12" t="s">
        <v>92</v>
      </c>
      <c r="X296" s="12" t="s">
        <v>93</v>
      </c>
      <c r="Y296" s="13"/>
      <c r="Z296" s="75"/>
    </row>
    <row r="297" spans="1:26" s="21" customFormat="1" hidden="1" x14ac:dyDescent="0.3">
      <c r="A297" s="12" t="s">
        <v>85</v>
      </c>
      <c r="B297" s="12">
        <v>14454</v>
      </c>
      <c r="C297" s="11" t="s">
        <v>95</v>
      </c>
      <c r="D297" s="12" t="s">
        <v>1</v>
      </c>
      <c r="E297" s="12" t="s">
        <v>1185</v>
      </c>
      <c r="F297" s="12" t="s">
        <v>87</v>
      </c>
      <c r="G297" s="12" t="s">
        <v>113</v>
      </c>
      <c r="H297" s="12" t="s">
        <v>96</v>
      </c>
      <c r="I297" s="12" t="s">
        <v>89</v>
      </c>
      <c r="J297" s="11" t="s">
        <v>293</v>
      </c>
      <c r="K297" s="11" t="s">
        <v>293</v>
      </c>
      <c r="L297" s="11" t="s">
        <v>1202</v>
      </c>
      <c r="M297" s="11" t="s">
        <v>294</v>
      </c>
      <c r="N297" s="58">
        <v>660</v>
      </c>
      <c r="O297" s="59"/>
      <c r="P297" s="12"/>
      <c r="Q297" s="12" t="s">
        <v>12</v>
      </c>
      <c r="R297" s="12" t="s">
        <v>99</v>
      </c>
      <c r="S297" s="12" t="s">
        <v>99</v>
      </c>
      <c r="T297" s="12">
        <v>1</v>
      </c>
      <c r="U297" s="13"/>
      <c r="V297" s="12" t="s">
        <v>164</v>
      </c>
      <c r="W297" s="12" t="s">
        <v>92</v>
      </c>
      <c r="X297" s="12" t="s">
        <v>93</v>
      </c>
      <c r="Y297" s="13">
        <v>43880</v>
      </c>
      <c r="Z297" s="75"/>
    </row>
    <row r="298" spans="1:26" s="20" customFormat="1" hidden="1" x14ac:dyDescent="0.3">
      <c r="A298" s="12" t="s">
        <v>85</v>
      </c>
      <c r="B298" s="12">
        <v>14483</v>
      </c>
      <c r="C298" s="11" t="s">
        <v>95</v>
      </c>
      <c r="D298" s="12" t="s">
        <v>1</v>
      </c>
      <c r="E298" s="12" t="s">
        <v>1185</v>
      </c>
      <c r="F298" s="12" t="s">
        <v>87</v>
      </c>
      <c r="G298" s="12" t="s">
        <v>113</v>
      </c>
      <c r="H298" s="12" t="s">
        <v>96</v>
      </c>
      <c r="I298" s="12" t="s">
        <v>89</v>
      </c>
      <c r="J298" s="11" t="s">
        <v>330</v>
      </c>
      <c r="K298" s="11" t="s">
        <v>330</v>
      </c>
      <c r="L298" s="11" t="s">
        <v>1202</v>
      </c>
      <c r="M298" s="11" t="s">
        <v>413</v>
      </c>
      <c r="N298" s="58">
        <v>584.91999999999996</v>
      </c>
      <c r="O298" s="59"/>
      <c r="P298" s="12"/>
      <c r="Q298" s="12" t="s">
        <v>12</v>
      </c>
      <c r="R298" s="12" t="s">
        <v>99</v>
      </c>
      <c r="S298" s="12" t="s">
        <v>99</v>
      </c>
      <c r="T298" s="12">
        <v>1</v>
      </c>
      <c r="U298" s="13"/>
      <c r="V298" s="12" t="s">
        <v>164</v>
      </c>
      <c r="W298" s="12">
        <v>80866</v>
      </c>
      <c r="X298" s="12" t="s">
        <v>108</v>
      </c>
      <c r="Y298" s="13">
        <v>43880</v>
      </c>
      <c r="Z298" s="75"/>
    </row>
    <row r="299" spans="1:26" s="20" customFormat="1" hidden="1" x14ac:dyDescent="0.3">
      <c r="A299" s="12" t="s">
        <v>85</v>
      </c>
      <c r="B299" s="12">
        <v>14484</v>
      </c>
      <c r="C299" s="11" t="s">
        <v>95</v>
      </c>
      <c r="D299" s="12" t="s">
        <v>1</v>
      </c>
      <c r="E299" s="12" t="s">
        <v>1185</v>
      </c>
      <c r="F299" s="12" t="s">
        <v>87</v>
      </c>
      <c r="G299" s="12" t="s">
        <v>113</v>
      </c>
      <c r="H299" s="12" t="s">
        <v>96</v>
      </c>
      <c r="I299" s="12" t="s">
        <v>89</v>
      </c>
      <c r="J299" s="11" t="s">
        <v>330</v>
      </c>
      <c r="K299" s="11" t="s">
        <v>330</v>
      </c>
      <c r="L299" s="11" t="s">
        <v>1202</v>
      </c>
      <c r="M299" s="11" t="s">
        <v>331</v>
      </c>
      <c r="N299" s="58">
        <v>584.91999999999996</v>
      </c>
      <c r="O299" s="59"/>
      <c r="P299" s="12"/>
      <c r="Q299" s="12" t="s">
        <v>12</v>
      </c>
      <c r="R299" s="12" t="s">
        <v>99</v>
      </c>
      <c r="S299" s="12" t="s">
        <v>99</v>
      </c>
      <c r="T299" s="12">
        <v>1</v>
      </c>
      <c r="U299" s="13"/>
      <c r="V299" s="12" t="s">
        <v>164</v>
      </c>
      <c r="W299" s="12" t="s">
        <v>92</v>
      </c>
      <c r="X299" s="12" t="s">
        <v>135</v>
      </c>
      <c r="Y299" s="13">
        <v>43880</v>
      </c>
      <c r="Z299" s="75"/>
    </row>
    <row r="300" spans="1:26" s="21" customFormat="1" hidden="1" x14ac:dyDescent="0.3">
      <c r="A300" s="12" t="s">
        <v>85</v>
      </c>
      <c r="B300" s="12">
        <v>14485</v>
      </c>
      <c r="C300" s="11" t="s">
        <v>95</v>
      </c>
      <c r="D300" s="12" t="s">
        <v>1</v>
      </c>
      <c r="E300" s="12" t="s">
        <v>1185</v>
      </c>
      <c r="F300" s="12" t="s">
        <v>87</v>
      </c>
      <c r="G300" s="12" t="s">
        <v>113</v>
      </c>
      <c r="H300" s="12" t="s">
        <v>96</v>
      </c>
      <c r="I300" s="12" t="s">
        <v>89</v>
      </c>
      <c r="J300" s="11" t="s">
        <v>330</v>
      </c>
      <c r="K300" s="11" t="s">
        <v>330</v>
      </c>
      <c r="L300" s="11" t="s">
        <v>1202</v>
      </c>
      <c r="M300" s="11" t="s">
        <v>331</v>
      </c>
      <c r="N300" s="58">
        <v>516.95000000000005</v>
      </c>
      <c r="O300" s="59"/>
      <c r="P300" s="12"/>
      <c r="Q300" s="12" t="s">
        <v>12</v>
      </c>
      <c r="R300" s="12" t="s">
        <v>99</v>
      </c>
      <c r="S300" s="12" t="s">
        <v>99</v>
      </c>
      <c r="T300" s="12">
        <v>1</v>
      </c>
      <c r="U300" s="13"/>
      <c r="V300" s="12" t="s">
        <v>164</v>
      </c>
      <c r="W300" s="12" t="s">
        <v>92</v>
      </c>
      <c r="X300" s="12" t="s">
        <v>93</v>
      </c>
      <c r="Y300" s="13">
        <v>43880</v>
      </c>
      <c r="Z300" s="75"/>
    </row>
    <row r="301" spans="1:26" s="20" customFormat="1" hidden="1" x14ac:dyDescent="0.3">
      <c r="A301" s="12" t="s">
        <v>85</v>
      </c>
      <c r="B301" s="12">
        <v>14486</v>
      </c>
      <c r="C301" s="11" t="s">
        <v>95</v>
      </c>
      <c r="D301" s="12" t="s">
        <v>1</v>
      </c>
      <c r="E301" s="12" t="s">
        <v>1185</v>
      </c>
      <c r="F301" s="12" t="s">
        <v>87</v>
      </c>
      <c r="G301" s="12" t="s">
        <v>113</v>
      </c>
      <c r="H301" s="12" t="s">
        <v>96</v>
      </c>
      <c r="I301" s="12" t="s">
        <v>89</v>
      </c>
      <c r="J301" s="11" t="s">
        <v>330</v>
      </c>
      <c r="K301" s="11" t="s">
        <v>330</v>
      </c>
      <c r="L301" s="11" t="s">
        <v>1202</v>
      </c>
      <c r="M301" s="11" t="s">
        <v>331</v>
      </c>
      <c r="N301" s="58">
        <v>501.55</v>
      </c>
      <c r="O301" s="59"/>
      <c r="P301" s="12"/>
      <c r="Q301" s="12" t="s">
        <v>12</v>
      </c>
      <c r="R301" s="12" t="s">
        <v>99</v>
      </c>
      <c r="S301" s="12" t="s">
        <v>99</v>
      </c>
      <c r="T301" s="12">
        <v>1</v>
      </c>
      <c r="U301" s="13"/>
      <c r="V301" s="12" t="s">
        <v>164</v>
      </c>
      <c r="W301" s="12" t="s">
        <v>92</v>
      </c>
      <c r="X301" s="12" t="s">
        <v>135</v>
      </c>
      <c r="Y301" s="13">
        <v>43880</v>
      </c>
      <c r="Z301" s="75"/>
    </row>
    <row r="302" spans="1:26" s="20" customFormat="1" hidden="1" x14ac:dyDescent="0.3">
      <c r="A302" s="12" t="s">
        <v>85</v>
      </c>
      <c r="B302" s="12">
        <v>14487</v>
      </c>
      <c r="C302" s="11" t="s">
        <v>95</v>
      </c>
      <c r="D302" s="12" t="s">
        <v>1</v>
      </c>
      <c r="E302" s="12" t="s">
        <v>1185</v>
      </c>
      <c r="F302" s="12" t="s">
        <v>87</v>
      </c>
      <c r="G302" s="12" t="s">
        <v>113</v>
      </c>
      <c r="H302" s="12" t="s">
        <v>96</v>
      </c>
      <c r="I302" s="12" t="s">
        <v>89</v>
      </c>
      <c r="J302" s="11" t="s">
        <v>330</v>
      </c>
      <c r="K302" s="11" t="s">
        <v>330</v>
      </c>
      <c r="L302" s="11" t="s">
        <v>1202</v>
      </c>
      <c r="M302" s="11" t="s">
        <v>331</v>
      </c>
      <c r="N302" s="58">
        <v>501.55</v>
      </c>
      <c r="O302" s="59"/>
      <c r="P302" s="12"/>
      <c r="Q302" s="12" t="s">
        <v>12</v>
      </c>
      <c r="R302" s="12" t="s">
        <v>99</v>
      </c>
      <c r="S302" s="12" t="s">
        <v>99</v>
      </c>
      <c r="T302" s="12">
        <v>1</v>
      </c>
      <c r="U302" s="13"/>
      <c r="V302" s="12" t="s">
        <v>164</v>
      </c>
      <c r="W302" s="12" t="s">
        <v>92</v>
      </c>
      <c r="X302" s="12" t="s">
        <v>135</v>
      </c>
      <c r="Y302" s="13">
        <v>43880</v>
      </c>
      <c r="Z302" s="75"/>
    </row>
    <row r="303" spans="1:26" s="20" customFormat="1" hidden="1" x14ac:dyDescent="0.3">
      <c r="A303" s="12" t="s">
        <v>85</v>
      </c>
      <c r="B303" s="12">
        <v>14488</v>
      </c>
      <c r="C303" s="11" t="s">
        <v>95</v>
      </c>
      <c r="D303" s="12" t="s">
        <v>1</v>
      </c>
      <c r="E303" s="12" t="s">
        <v>1185</v>
      </c>
      <c r="F303" s="12" t="s">
        <v>87</v>
      </c>
      <c r="G303" s="12" t="s">
        <v>113</v>
      </c>
      <c r="H303" s="12" t="s">
        <v>96</v>
      </c>
      <c r="I303" s="12" t="s">
        <v>89</v>
      </c>
      <c r="J303" s="11" t="s">
        <v>330</v>
      </c>
      <c r="K303" s="11" t="s">
        <v>330</v>
      </c>
      <c r="L303" s="11" t="s">
        <v>1202</v>
      </c>
      <c r="M303" s="11" t="s">
        <v>331</v>
      </c>
      <c r="N303" s="58">
        <v>501.55</v>
      </c>
      <c r="O303" s="59"/>
      <c r="P303" s="12"/>
      <c r="Q303" s="12" t="s">
        <v>12</v>
      </c>
      <c r="R303" s="12" t="s">
        <v>99</v>
      </c>
      <c r="S303" s="12" t="s">
        <v>99</v>
      </c>
      <c r="T303" s="12">
        <v>1</v>
      </c>
      <c r="U303" s="13"/>
      <c r="V303" s="12" t="s">
        <v>164</v>
      </c>
      <c r="W303" s="12" t="s">
        <v>92</v>
      </c>
      <c r="X303" s="12" t="s">
        <v>93</v>
      </c>
      <c r="Y303" s="13">
        <v>43880</v>
      </c>
      <c r="Z303" s="75"/>
    </row>
    <row r="304" spans="1:26" s="20" customFormat="1" hidden="1" x14ac:dyDescent="0.3">
      <c r="A304" s="12" t="s">
        <v>85</v>
      </c>
      <c r="B304" s="12">
        <v>14900</v>
      </c>
      <c r="C304" s="11" t="s">
        <v>130</v>
      </c>
      <c r="D304" s="12" t="s">
        <v>1</v>
      </c>
      <c r="E304" s="12" t="s">
        <v>1185</v>
      </c>
      <c r="F304" s="12" t="s">
        <v>87</v>
      </c>
      <c r="G304" s="12" t="s">
        <v>113</v>
      </c>
      <c r="H304" s="12" t="s">
        <v>96</v>
      </c>
      <c r="I304" s="12" t="s">
        <v>89</v>
      </c>
      <c r="J304" s="11" t="s">
        <v>205</v>
      </c>
      <c r="K304" s="11" t="s">
        <v>205</v>
      </c>
      <c r="L304" s="11" t="s">
        <v>1212</v>
      </c>
      <c r="M304" s="11" t="s">
        <v>206</v>
      </c>
      <c r="N304" s="58">
        <v>474</v>
      </c>
      <c r="O304" s="59"/>
      <c r="P304" s="12" t="s">
        <v>414</v>
      </c>
      <c r="Q304" s="12" t="s">
        <v>4</v>
      </c>
      <c r="R304" s="12" t="s">
        <v>13</v>
      </c>
      <c r="S304" s="12" t="s">
        <v>25</v>
      </c>
      <c r="T304" s="12">
        <v>1</v>
      </c>
      <c r="U304" s="13">
        <v>44028</v>
      </c>
      <c r="V304" s="12" t="s">
        <v>94</v>
      </c>
      <c r="W304" s="12" t="s">
        <v>92</v>
      </c>
      <c r="X304" s="12" t="s">
        <v>93</v>
      </c>
      <c r="Y304" s="13"/>
      <c r="Z304" s="75"/>
    </row>
    <row r="305" spans="1:26" s="20" customFormat="1" hidden="1" x14ac:dyDescent="0.3">
      <c r="A305" s="12" t="s">
        <v>85</v>
      </c>
      <c r="B305" s="12">
        <v>14959</v>
      </c>
      <c r="C305" s="11" t="s">
        <v>95</v>
      </c>
      <c r="D305" s="12" t="s">
        <v>1</v>
      </c>
      <c r="E305" s="12" t="s">
        <v>1185</v>
      </c>
      <c r="F305" s="12" t="s">
        <v>87</v>
      </c>
      <c r="G305" s="12" t="s">
        <v>113</v>
      </c>
      <c r="H305" s="12" t="s">
        <v>96</v>
      </c>
      <c r="I305" s="12" t="s">
        <v>89</v>
      </c>
      <c r="J305" s="11" t="s">
        <v>302</v>
      </c>
      <c r="K305" s="11" t="s">
        <v>302</v>
      </c>
      <c r="L305" s="11" t="s">
        <v>1202</v>
      </c>
      <c r="M305" s="11" t="s">
        <v>303</v>
      </c>
      <c r="N305" s="58">
        <v>1188.0999999999999</v>
      </c>
      <c r="O305" s="59"/>
      <c r="P305" s="12"/>
      <c r="Q305" s="12" t="s">
        <v>12</v>
      </c>
      <c r="R305" s="12" t="s">
        <v>15</v>
      </c>
      <c r="S305" s="12" t="s">
        <v>92</v>
      </c>
      <c r="T305" s="12">
        <v>1</v>
      </c>
      <c r="U305" s="13"/>
      <c r="V305" s="12" t="s">
        <v>164</v>
      </c>
      <c r="W305" s="12" t="s">
        <v>92</v>
      </c>
      <c r="X305" s="12" t="s">
        <v>93</v>
      </c>
      <c r="Y305" s="13">
        <v>43880</v>
      </c>
      <c r="Z305" s="75"/>
    </row>
    <row r="306" spans="1:26" s="20" customFormat="1" hidden="1" x14ac:dyDescent="0.3">
      <c r="A306" s="12" t="s">
        <v>85</v>
      </c>
      <c r="B306" s="12">
        <v>14959</v>
      </c>
      <c r="C306" s="11" t="s">
        <v>95</v>
      </c>
      <c r="D306" s="12" t="s">
        <v>1</v>
      </c>
      <c r="E306" s="12" t="s">
        <v>1185</v>
      </c>
      <c r="F306" s="12" t="s">
        <v>87</v>
      </c>
      <c r="G306" s="12" t="s">
        <v>113</v>
      </c>
      <c r="H306" s="12" t="s">
        <v>96</v>
      </c>
      <c r="I306" s="12" t="s">
        <v>89</v>
      </c>
      <c r="J306" s="11" t="s">
        <v>302</v>
      </c>
      <c r="K306" s="11" t="s">
        <v>302</v>
      </c>
      <c r="L306" s="11" t="s">
        <v>1202</v>
      </c>
      <c r="M306" s="11" t="s">
        <v>303</v>
      </c>
      <c r="N306" s="58">
        <v>1188.0999999999999</v>
      </c>
      <c r="O306" s="59"/>
      <c r="P306" s="12"/>
      <c r="Q306" s="12" t="s">
        <v>4</v>
      </c>
      <c r="R306" s="12" t="s">
        <v>1190</v>
      </c>
      <c r="S306" s="12" t="s">
        <v>37</v>
      </c>
      <c r="T306" s="12">
        <v>1</v>
      </c>
      <c r="U306" s="13">
        <v>43814</v>
      </c>
      <c r="V306" s="12" t="s">
        <v>304</v>
      </c>
      <c r="W306" s="12" t="s">
        <v>92</v>
      </c>
      <c r="X306" s="12" t="s">
        <v>93</v>
      </c>
      <c r="Y306" s="13"/>
      <c r="Z306" s="75"/>
    </row>
    <row r="307" spans="1:26" s="20" customFormat="1" hidden="1" x14ac:dyDescent="0.3">
      <c r="A307" s="12" t="s">
        <v>85</v>
      </c>
      <c r="B307" s="12">
        <v>14959</v>
      </c>
      <c r="C307" s="11" t="s">
        <v>95</v>
      </c>
      <c r="D307" s="12" t="s">
        <v>1</v>
      </c>
      <c r="E307" s="12" t="s">
        <v>1185</v>
      </c>
      <c r="F307" s="12" t="s">
        <v>87</v>
      </c>
      <c r="G307" s="12" t="s">
        <v>113</v>
      </c>
      <c r="H307" s="12" t="s">
        <v>96</v>
      </c>
      <c r="I307" s="12" t="s">
        <v>89</v>
      </c>
      <c r="J307" s="11" t="s">
        <v>302</v>
      </c>
      <c r="K307" s="11" t="s">
        <v>302</v>
      </c>
      <c r="L307" s="11" t="s">
        <v>1202</v>
      </c>
      <c r="M307" s="11" t="s">
        <v>303</v>
      </c>
      <c r="N307" s="58">
        <v>1188.0999999999999</v>
      </c>
      <c r="O307" s="59"/>
      <c r="P307" s="12"/>
      <c r="Q307" s="12" t="s">
        <v>4</v>
      </c>
      <c r="R307" s="12" t="s">
        <v>1190</v>
      </c>
      <c r="S307" s="12" t="s">
        <v>37</v>
      </c>
      <c r="T307" s="12">
        <v>1</v>
      </c>
      <c r="U307" s="13">
        <v>43847</v>
      </c>
      <c r="V307" s="12" t="s">
        <v>305</v>
      </c>
      <c r="W307" s="12" t="s">
        <v>92</v>
      </c>
      <c r="X307" s="12" t="s">
        <v>93</v>
      </c>
      <c r="Y307" s="13"/>
      <c r="Z307" s="75"/>
    </row>
    <row r="308" spans="1:26" s="20" customFormat="1" hidden="1" x14ac:dyDescent="0.3">
      <c r="A308" s="12" t="s">
        <v>85</v>
      </c>
      <c r="B308" s="12">
        <v>14959</v>
      </c>
      <c r="C308" s="11" t="s">
        <v>95</v>
      </c>
      <c r="D308" s="12" t="s">
        <v>1</v>
      </c>
      <c r="E308" s="12" t="s">
        <v>1185</v>
      </c>
      <c r="F308" s="12" t="s">
        <v>87</v>
      </c>
      <c r="G308" s="12" t="s">
        <v>113</v>
      </c>
      <c r="H308" s="12" t="s">
        <v>96</v>
      </c>
      <c r="I308" s="12" t="s">
        <v>89</v>
      </c>
      <c r="J308" s="11" t="s">
        <v>302</v>
      </c>
      <c r="K308" s="11" t="s">
        <v>302</v>
      </c>
      <c r="L308" s="11" t="s">
        <v>1202</v>
      </c>
      <c r="M308" s="11" t="s">
        <v>303</v>
      </c>
      <c r="N308" s="58">
        <v>1188.0999999999999</v>
      </c>
      <c r="O308" s="59"/>
      <c r="P308" s="12"/>
      <c r="Q308" s="12" t="s">
        <v>4</v>
      </c>
      <c r="R308" s="12" t="s">
        <v>1190</v>
      </c>
      <c r="S308" s="12" t="s">
        <v>37</v>
      </c>
      <c r="T308" s="12">
        <v>1</v>
      </c>
      <c r="U308" s="13">
        <v>43938</v>
      </c>
      <c r="V308" s="12" t="s">
        <v>329</v>
      </c>
      <c r="W308" s="12" t="s">
        <v>92</v>
      </c>
      <c r="X308" s="12" t="s">
        <v>93</v>
      </c>
      <c r="Y308" s="13"/>
      <c r="Z308" s="75"/>
    </row>
    <row r="309" spans="1:26" s="20" customFormat="1" hidden="1" x14ac:dyDescent="0.3">
      <c r="A309" s="12" t="s">
        <v>85</v>
      </c>
      <c r="B309" s="12">
        <v>14959</v>
      </c>
      <c r="C309" s="11" t="s">
        <v>95</v>
      </c>
      <c r="D309" s="12" t="s">
        <v>1</v>
      </c>
      <c r="E309" s="12" t="s">
        <v>1185</v>
      </c>
      <c r="F309" s="12" t="s">
        <v>87</v>
      </c>
      <c r="G309" s="12" t="s">
        <v>113</v>
      </c>
      <c r="H309" s="12" t="s">
        <v>96</v>
      </c>
      <c r="I309" s="12" t="s">
        <v>89</v>
      </c>
      <c r="J309" s="11" t="s">
        <v>302</v>
      </c>
      <c r="K309" s="11" t="s">
        <v>302</v>
      </c>
      <c r="L309" s="11" t="s">
        <v>1202</v>
      </c>
      <c r="M309" s="11" t="s">
        <v>303</v>
      </c>
      <c r="N309" s="58">
        <v>1188.0999999999999</v>
      </c>
      <c r="O309" s="59"/>
      <c r="P309" s="12"/>
      <c r="Q309" s="12" t="s">
        <v>4</v>
      </c>
      <c r="R309" s="12" t="s">
        <v>1190</v>
      </c>
      <c r="S309" s="12" t="s">
        <v>37</v>
      </c>
      <c r="T309" s="12">
        <v>1</v>
      </c>
      <c r="U309" s="13">
        <v>43962</v>
      </c>
      <c r="V309" s="12" t="s">
        <v>307</v>
      </c>
      <c r="W309" s="12" t="s">
        <v>92</v>
      </c>
      <c r="X309" s="12" t="s">
        <v>93</v>
      </c>
      <c r="Y309" s="13"/>
      <c r="Z309" s="75"/>
    </row>
    <row r="310" spans="1:26" s="20" customFormat="1" hidden="1" x14ac:dyDescent="0.3">
      <c r="A310" s="12" t="s">
        <v>85</v>
      </c>
      <c r="B310" s="12">
        <v>14959</v>
      </c>
      <c r="C310" s="11" t="s">
        <v>95</v>
      </c>
      <c r="D310" s="12" t="s">
        <v>1</v>
      </c>
      <c r="E310" s="12" t="s">
        <v>1185</v>
      </c>
      <c r="F310" s="12" t="s">
        <v>87</v>
      </c>
      <c r="G310" s="12" t="s">
        <v>113</v>
      </c>
      <c r="H310" s="12" t="s">
        <v>96</v>
      </c>
      <c r="I310" s="12" t="s">
        <v>89</v>
      </c>
      <c r="J310" s="11" t="s">
        <v>302</v>
      </c>
      <c r="K310" s="11" t="s">
        <v>302</v>
      </c>
      <c r="L310" s="11" t="s">
        <v>1202</v>
      </c>
      <c r="M310" s="11" t="s">
        <v>303</v>
      </c>
      <c r="N310" s="58">
        <v>1188.0999999999999</v>
      </c>
      <c r="O310" s="59"/>
      <c r="P310" s="12"/>
      <c r="Q310" s="12" t="s">
        <v>4</v>
      </c>
      <c r="R310" s="12" t="s">
        <v>1190</v>
      </c>
      <c r="S310" s="12" t="s">
        <v>37</v>
      </c>
      <c r="T310" s="12">
        <v>1</v>
      </c>
      <c r="U310" s="13">
        <v>43878</v>
      </c>
      <c r="V310" s="12" t="s">
        <v>308</v>
      </c>
      <c r="W310" s="12" t="s">
        <v>92</v>
      </c>
      <c r="X310" s="12" t="s">
        <v>93</v>
      </c>
      <c r="Y310" s="13"/>
      <c r="Z310" s="75"/>
    </row>
    <row r="311" spans="1:26" s="20" customFormat="1" hidden="1" x14ac:dyDescent="0.3">
      <c r="A311" s="12" t="s">
        <v>85</v>
      </c>
      <c r="B311" s="12">
        <v>14959</v>
      </c>
      <c r="C311" s="11" t="s">
        <v>95</v>
      </c>
      <c r="D311" s="12" t="s">
        <v>1</v>
      </c>
      <c r="E311" s="12" t="s">
        <v>1185</v>
      </c>
      <c r="F311" s="12" t="s">
        <v>87</v>
      </c>
      <c r="G311" s="12" t="s">
        <v>113</v>
      </c>
      <c r="H311" s="12" t="s">
        <v>96</v>
      </c>
      <c r="I311" s="12" t="s">
        <v>89</v>
      </c>
      <c r="J311" s="11" t="s">
        <v>302</v>
      </c>
      <c r="K311" s="11" t="s">
        <v>302</v>
      </c>
      <c r="L311" s="11" t="s">
        <v>1202</v>
      </c>
      <c r="M311" s="11" t="s">
        <v>303</v>
      </c>
      <c r="N311" s="58">
        <v>1188.0999999999999</v>
      </c>
      <c r="O311" s="59"/>
      <c r="P311" s="12"/>
      <c r="Q311" s="12" t="s">
        <v>4</v>
      </c>
      <c r="R311" s="12" t="s">
        <v>1190</v>
      </c>
      <c r="S311" s="12" t="s">
        <v>37</v>
      </c>
      <c r="T311" s="12">
        <v>1</v>
      </c>
      <c r="U311" s="13">
        <v>43907</v>
      </c>
      <c r="V311" s="12" t="s">
        <v>309</v>
      </c>
      <c r="W311" s="12" t="s">
        <v>92</v>
      </c>
      <c r="X311" s="12" t="s">
        <v>93</v>
      </c>
      <c r="Y311" s="13"/>
      <c r="Z311" s="75"/>
    </row>
    <row r="312" spans="1:26" s="20" customFormat="1" hidden="1" x14ac:dyDescent="0.3">
      <c r="A312" s="12" t="s">
        <v>85</v>
      </c>
      <c r="B312" s="12">
        <v>14959</v>
      </c>
      <c r="C312" s="11" t="s">
        <v>95</v>
      </c>
      <c r="D312" s="12" t="s">
        <v>1</v>
      </c>
      <c r="E312" s="12" t="s">
        <v>1185</v>
      </c>
      <c r="F312" s="12" t="s">
        <v>87</v>
      </c>
      <c r="G312" s="12" t="s">
        <v>113</v>
      </c>
      <c r="H312" s="12" t="s">
        <v>96</v>
      </c>
      <c r="I312" s="12" t="s">
        <v>89</v>
      </c>
      <c r="J312" s="11" t="s">
        <v>302</v>
      </c>
      <c r="K312" s="11" t="s">
        <v>302</v>
      </c>
      <c r="L312" s="11" t="s">
        <v>1202</v>
      </c>
      <c r="M312" s="11" t="s">
        <v>303</v>
      </c>
      <c r="N312" s="58">
        <v>1188.0999999999999</v>
      </c>
      <c r="O312" s="59"/>
      <c r="P312" s="12"/>
      <c r="Q312" s="12" t="s">
        <v>4</v>
      </c>
      <c r="R312" s="12" t="s">
        <v>1190</v>
      </c>
      <c r="S312" s="12" t="s">
        <v>37</v>
      </c>
      <c r="T312" s="12">
        <v>1</v>
      </c>
      <c r="U312" s="13">
        <v>43998</v>
      </c>
      <c r="V312" s="12" t="s">
        <v>310</v>
      </c>
      <c r="W312" s="12" t="s">
        <v>92</v>
      </c>
      <c r="X312" s="12" t="s">
        <v>93</v>
      </c>
      <c r="Y312" s="13"/>
      <c r="Z312" s="75"/>
    </row>
    <row r="313" spans="1:26" s="21" customFormat="1" hidden="1" x14ac:dyDescent="0.3">
      <c r="A313" s="12" t="s">
        <v>85</v>
      </c>
      <c r="B313" s="12">
        <v>14959</v>
      </c>
      <c r="C313" s="11" t="s">
        <v>95</v>
      </c>
      <c r="D313" s="12" t="s">
        <v>1</v>
      </c>
      <c r="E313" s="12" t="s">
        <v>1185</v>
      </c>
      <c r="F313" s="12" t="s">
        <v>87</v>
      </c>
      <c r="G313" s="12" t="s">
        <v>113</v>
      </c>
      <c r="H313" s="12" t="s">
        <v>96</v>
      </c>
      <c r="I313" s="12" t="s">
        <v>89</v>
      </c>
      <c r="J313" s="11" t="s">
        <v>302</v>
      </c>
      <c r="K313" s="11" t="s">
        <v>302</v>
      </c>
      <c r="L313" s="11" t="s">
        <v>1202</v>
      </c>
      <c r="M313" s="11" t="s">
        <v>303</v>
      </c>
      <c r="N313" s="58">
        <v>1188.0999999999999</v>
      </c>
      <c r="O313" s="59"/>
      <c r="P313" s="12"/>
      <c r="Q313" s="12" t="s">
        <v>4</v>
      </c>
      <c r="R313" s="12" t="s">
        <v>1190</v>
      </c>
      <c r="S313" s="12" t="s">
        <v>37</v>
      </c>
      <c r="T313" s="12">
        <v>1</v>
      </c>
      <c r="U313" s="13">
        <v>44027</v>
      </c>
      <c r="V313" s="12" t="s">
        <v>310</v>
      </c>
      <c r="W313" s="12" t="s">
        <v>92</v>
      </c>
      <c r="X313" s="12" t="s">
        <v>93</v>
      </c>
      <c r="Y313" s="13"/>
      <c r="Z313" s="75"/>
    </row>
    <row r="314" spans="1:26" s="20" customFormat="1" hidden="1" x14ac:dyDescent="0.3">
      <c r="A314" s="12" t="s">
        <v>85</v>
      </c>
      <c r="B314" s="12">
        <v>14960</v>
      </c>
      <c r="C314" s="11" t="s">
        <v>95</v>
      </c>
      <c r="D314" s="12" t="s">
        <v>1</v>
      </c>
      <c r="E314" s="12" t="s">
        <v>1185</v>
      </c>
      <c r="F314" s="12" t="s">
        <v>87</v>
      </c>
      <c r="G314" s="12" t="s">
        <v>113</v>
      </c>
      <c r="H314" s="12" t="s">
        <v>96</v>
      </c>
      <c r="I314" s="12" t="s">
        <v>89</v>
      </c>
      <c r="J314" s="11" t="s">
        <v>302</v>
      </c>
      <c r="K314" s="11" t="s">
        <v>302</v>
      </c>
      <c r="L314" s="11" t="s">
        <v>1202</v>
      </c>
      <c r="M314" s="11" t="s">
        <v>303</v>
      </c>
      <c r="N314" s="58">
        <v>474</v>
      </c>
      <c r="O314" s="59"/>
      <c r="P314" s="12"/>
      <c r="Q314" s="12" t="s">
        <v>4</v>
      </c>
      <c r="R314" s="12" t="s">
        <v>1190</v>
      </c>
      <c r="S314" s="12" t="s">
        <v>37</v>
      </c>
      <c r="T314" s="12">
        <v>1</v>
      </c>
      <c r="U314" s="13">
        <v>43814</v>
      </c>
      <c r="V314" s="12" t="s">
        <v>304</v>
      </c>
      <c r="W314" s="12">
        <v>80866</v>
      </c>
      <c r="X314" s="12" t="s">
        <v>93</v>
      </c>
      <c r="Y314" s="13"/>
      <c r="Z314" s="75"/>
    </row>
    <row r="315" spans="1:26" s="20" customFormat="1" hidden="1" x14ac:dyDescent="0.3">
      <c r="A315" s="12" t="s">
        <v>85</v>
      </c>
      <c r="B315" s="12">
        <v>14960</v>
      </c>
      <c r="C315" s="11" t="s">
        <v>95</v>
      </c>
      <c r="D315" s="12" t="s">
        <v>1</v>
      </c>
      <c r="E315" s="12" t="s">
        <v>1185</v>
      </c>
      <c r="F315" s="12" t="s">
        <v>87</v>
      </c>
      <c r="G315" s="12" t="s">
        <v>113</v>
      </c>
      <c r="H315" s="12" t="s">
        <v>96</v>
      </c>
      <c r="I315" s="12" t="s">
        <v>89</v>
      </c>
      <c r="J315" s="11" t="s">
        <v>302</v>
      </c>
      <c r="K315" s="11" t="s">
        <v>302</v>
      </c>
      <c r="L315" s="11" t="s">
        <v>1202</v>
      </c>
      <c r="M315" s="11" t="s">
        <v>303</v>
      </c>
      <c r="N315" s="58">
        <v>474</v>
      </c>
      <c r="O315" s="59"/>
      <c r="P315" s="12"/>
      <c r="Q315" s="12" t="s">
        <v>12</v>
      </c>
      <c r="R315" s="12" t="s">
        <v>15</v>
      </c>
      <c r="S315" s="12" t="s">
        <v>92</v>
      </c>
      <c r="T315" s="12">
        <v>1</v>
      </c>
      <c r="U315" s="12"/>
      <c r="V315" s="12" t="s">
        <v>164</v>
      </c>
      <c r="W315" s="12" t="s">
        <v>92</v>
      </c>
      <c r="X315" s="12" t="s">
        <v>93</v>
      </c>
      <c r="Y315" s="13">
        <v>43880</v>
      </c>
      <c r="Z315" s="75"/>
    </row>
    <row r="316" spans="1:26" s="20" customFormat="1" hidden="1" x14ac:dyDescent="0.3">
      <c r="A316" s="12" t="s">
        <v>85</v>
      </c>
      <c r="B316" s="12">
        <v>14960</v>
      </c>
      <c r="C316" s="11" t="s">
        <v>95</v>
      </c>
      <c r="D316" s="12" t="s">
        <v>1</v>
      </c>
      <c r="E316" s="12" t="s">
        <v>1185</v>
      </c>
      <c r="F316" s="12" t="s">
        <v>87</v>
      </c>
      <c r="G316" s="12" t="s">
        <v>113</v>
      </c>
      <c r="H316" s="12" t="s">
        <v>96</v>
      </c>
      <c r="I316" s="12" t="s">
        <v>89</v>
      </c>
      <c r="J316" s="11" t="s">
        <v>302</v>
      </c>
      <c r="K316" s="11" t="s">
        <v>302</v>
      </c>
      <c r="L316" s="11" t="s">
        <v>1202</v>
      </c>
      <c r="M316" s="11" t="s">
        <v>303</v>
      </c>
      <c r="N316" s="58">
        <v>474</v>
      </c>
      <c r="O316" s="59"/>
      <c r="P316" s="12"/>
      <c r="Q316" s="12" t="s">
        <v>4</v>
      </c>
      <c r="R316" s="12" t="s">
        <v>15</v>
      </c>
      <c r="S316" s="12" t="s">
        <v>45</v>
      </c>
      <c r="T316" s="12">
        <v>0</v>
      </c>
      <c r="U316" s="12"/>
      <c r="V316" s="12" t="s">
        <v>92</v>
      </c>
      <c r="W316" s="12" t="s">
        <v>92</v>
      </c>
      <c r="X316" s="12" t="s">
        <v>108</v>
      </c>
      <c r="Y316" s="13"/>
      <c r="Z316" s="75"/>
    </row>
    <row r="317" spans="1:26" s="20" customFormat="1" hidden="1" x14ac:dyDescent="0.3">
      <c r="A317" s="12" t="s">
        <v>85</v>
      </c>
      <c r="B317" s="12">
        <v>14960</v>
      </c>
      <c r="C317" s="11" t="s">
        <v>95</v>
      </c>
      <c r="D317" s="12" t="s">
        <v>1</v>
      </c>
      <c r="E317" s="12" t="s">
        <v>1185</v>
      </c>
      <c r="F317" s="12" t="s">
        <v>87</v>
      </c>
      <c r="G317" s="12" t="s">
        <v>113</v>
      </c>
      <c r="H317" s="12" t="s">
        <v>96</v>
      </c>
      <c r="I317" s="12" t="s">
        <v>89</v>
      </c>
      <c r="J317" s="11" t="s">
        <v>302</v>
      </c>
      <c r="K317" s="11" t="s">
        <v>302</v>
      </c>
      <c r="L317" s="11" t="s">
        <v>1202</v>
      </c>
      <c r="M317" s="11" t="s">
        <v>303</v>
      </c>
      <c r="N317" s="58">
        <v>474</v>
      </c>
      <c r="O317" s="59"/>
      <c r="P317" s="12"/>
      <c r="Q317" s="12" t="s">
        <v>4</v>
      </c>
      <c r="R317" s="12" t="s">
        <v>15</v>
      </c>
      <c r="S317" s="12" t="s">
        <v>45</v>
      </c>
      <c r="T317" s="12">
        <v>1</v>
      </c>
      <c r="U317" s="13">
        <v>43847</v>
      </c>
      <c r="V317" s="12" t="s">
        <v>305</v>
      </c>
      <c r="W317" s="12" t="s">
        <v>92</v>
      </c>
      <c r="X317" s="12" t="s">
        <v>108</v>
      </c>
      <c r="Y317" s="13"/>
      <c r="Z317" s="75"/>
    </row>
    <row r="318" spans="1:26" s="20" customFormat="1" hidden="1" x14ac:dyDescent="0.3">
      <c r="A318" s="12" t="s">
        <v>85</v>
      </c>
      <c r="B318" s="12">
        <v>14960</v>
      </c>
      <c r="C318" s="11" t="s">
        <v>95</v>
      </c>
      <c r="D318" s="12" t="s">
        <v>1</v>
      </c>
      <c r="E318" s="12" t="s">
        <v>1185</v>
      </c>
      <c r="F318" s="12" t="s">
        <v>87</v>
      </c>
      <c r="G318" s="12" t="s">
        <v>113</v>
      </c>
      <c r="H318" s="12" t="s">
        <v>96</v>
      </c>
      <c r="I318" s="12" t="s">
        <v>89</v>
      </c>
      <c r="J318" s="11" t="s">
        <v>302</v>
      </c>
      <c r="K318" s="11" t="s">
        <v>302</v>
      </c>
      <c r="L318" s="11" t="s">
        <v>1202</v>
      </c>
      <c r="M318" s="11" t="s">
        <v>303</v>
      </c>
      <c r="N318" s="58">
        <v>474</v>
      </c>
      <c r="O318" s="59"/>
      <c r="P318" s="12"/>
      <c r="Q318" s="12" t="s">
        <v>4</v>
      </c>
      <c r="R318" s="12" t="s">
        <v>1190</v>
      </c>
      <c r="S318" s="12" t="s">
        <v>37</v>
      </c>
      <c r="T318" s="12">
        <v>1</v>
      </c>
      <c r="U318" s="13">
        <v>43938</v>
      </c>
      <c r="V318" s="12" t="s">
        <v>329</v>
      </c>
      <c r="W318" s="12" t="s">
        <v>92</v>
      </c>
      <c r="X318" s="12" t="s">
        <v>93</v>
      </c>
      <c r="Y318" s="13"/>
      <c r="Z318" s="75"/>
    </row>
    <row r="319" spans="1:26" s="20" customFormat="1" hidden="1" x14ac:dyDescent="0.3">
      <c r="A319" s="12" t="s">
        <v>85</v>
      </c>
      <c r="B319" s="12">
        <v>14960</v>
      </c>
      <c r="C319" s="11" t="s">
        <v>95</v>
      </c>
      <c r="D319" s="12" t="s">
        <v>1</v>
      </c>
      <c r="E319" s="12" t="s">
        <v>1185</v>
      </c>
      <c r="F319" s="12" t="s">
        <v>87</v>
      </c>
      <c r="G319" s="12" t="s">
        <v>113</v>
      </c>
      <c r="H319" s="12" t="s">
        <v>96</v>
      </c>
      <c r="I319" s="12" t="s">
        <v>89</v>
      </c>
      <c r="J319" s="11" t="s">
        <v>302</v>
      </c>
      <c r="K319" s="11" t="s">
        <v>302</v>
      </c>
      <c r="L319" s="11" t="s">
        <v>1202</v>
      </c>
      <c r="M319" s="11" t="s">
        <v>303</v>
      </c>
      <c r="N319" s="58">
        <v>474</v>
      </c>
      <c r="O319" s="59"/>
      <c r="P319" s="12"/>
      <c r="Q319" s="12" t="s">
        <v>4</v>
      </c>
      <c r="R319" s="12" t="s">
        <v>1190</v>
      </c>
      <c r="S319" s="12" t="s">
        <v>37</v>
      </c>
      <c r="T319" s="12">
        <v>1</v>
      </c>
      <c r="U319" s="13">
        <v>43962</v>
      </c>
      <c r="V319" s="12" t="s">
        <v>307</v>
      </c>
      <c r="W319" s="12" t="s">
        <v>92</v>
      </c>
      <c r="X319" s="12" t="s">
        <v>93</v>
      </c>
      <c r="Y319" s="13"/>
      <c r="Z319" s="75"/>
    </row>
    <row r="320" spans="1:26" s="20" customFormat="1" hidden="1" x14ac:dyDescent="0.3">
      <c r="A320" s="12" t="s">
        <v>85</v>
      </c>
      <c r="B320" s="12">
        <v>14960</v>
      </c>
      <c r="C320" s="11" t="s">
        <v>95</v>
      </c>
      <c r="D320" s="12" t="s">
        <v>1</v>
      </c>
      <c r="E320" s="12" t="s">
        <v>1185</v>
      </c>
      <c r="F320" s="12" t="s">
        <v>87</v>
      </c>
      <c r="G320" s="12" t="s">
        <v>113</v>
      </c>
      <c r="H320" s="12" t="s">
        <v>96</v>
      </c>
      <c r="I320" s="12" t="s">
        <v>89</v>
      </c>
      <c r="J320" s="11" t="s">
        <v>302</v>
      </c>
      <c r="K320" s="11" t="s">
        <v>302</v>
      </c>
      <c r="L320" s="11" t="s">
        <v>1202</v>
      </c>
      <c r="M320" s="11" t="s">
        <v>303</v>
      </c>
      <c r="N320" s="58">
        <v>474</v>
      </c>
      <c r="O320" s="59"/>
      <c r="P320" s="12"/>
      <c r="Q320" s="12" t="s">
        <v>4</v>
      </c>
      <c r="R320" s="12" t="s">
        <v>1190</v>
      </c>
      <c r="S320" s="12" t="s">
        <v>37</v>
      </c>
      <c r="T320" s="12">
        <v>1</v>
      </c>
      <c r="U320" s="13">
        <v>43878</v>
      </c>
      <c r="V320" s="12" t="s">
        <v>308</v>
      </c>
      <c r="W320" s="12" t="s">
        <v>92</v>
      </c>
      <c r="X320" s="12" t="s">
        <v>93</v>
      </c>
      <c r="Y320" s="13"/>
      <c r="Z320" s="75"/>
    </row>
    <row r="321" spans="1:26" s="20" customFormat="1" hidden="1" x14ac:dyDescent="0.3">
      <c r="A321" s="12" t="s">
        <v>85</v>
      </c>
      <c r="B321" s="12">
        <v>14960</v>
      </c>
      <c r="C321" s="11" t="s">
        <v>95</v>
      </c>
      <c r="D321" s="12" t="s">
        <v>1</v>
      </c>
      <c r="E321" s="12" t="s">
        <v>1185</v>
      </c>
      <c r="F321" s="12" t="s">
        <v>87</v>
      </c>
      <c r="G321" s="12" t="s">
        <v>113</v>
      </c>
      <c r="H321" s="12" t="s">
        <v>96</v>
      </c>
      <c r="I321" s="12" t="s">
        <v>89</v>
      </c>
      <c r="J321" s="11" t="s">
        <v>302</v>
      </c>
      <c r="K321" s="11" t="s">
        <v>302</v>
      </c>
      <c r="L321" s="11" t="s">
        <v>1202</v>
      </c>
      <c r="M321" s="11" t="s">
        <v>303</v>
      </c>
      <c r="N321" s="58">
        <v>474</v>
      </c>
      <c r="O321" s="59"/>
      <c r="P321" s="12"/>
      <c r="Q321" s="12" t="s">
        <v>4</v>
      </c>
      <c r="R321" s="12" t="s">
        <v>1190</v>
      </c>
      <c r="S321" s="12" t="s">
        <v>37</v>
      </c>
      <c r="T321" s="12">
        <v>1</v>
      </c>
      <c r="U321" s="13">
        <v>43907</v>
      </c>
      <c r="V321" s="12" t="s">
        <v>309</v>
      </c>
      <c r="W321" s="12" t="s">
        <v>92</v>
      </c>
      <c r="X321" s="12" t="s">
        <v>93</v>
      </c>
      <c r="Y321" s="13"/>
      <c r="Z321" s="75"/>
    </row>
    <row r="322" spans="1:26" s="20" customFormat="1" hidden="1" x14ac:dyDescent="0.3">
      <c r="A322" s="12" t="s">
        <v>85</v>
      </c>
      <c r="B322" s="12">
        <v>14960</v>
      </c>
      <c r="C322" s="11" t="s">
        <v>95</v>
      </c>
      <c r="D322" s="12" t="s">
        <v>1</v>
      </c>
      <c r="E322" s="12" t="s">
        <v>1185</v>
      </c>
      <c r="F322" s="12" t="s">
        <v>87</v>
      </c>
      <c r="G322" s="12" t="s">
        <v>113</v>
      </c>
      <c r="H322" s="12" t="s">
        <v>96</v>
      </c>
      <c r="I322" s="12" t="s">
        <v>89</v>
      </c>
      <c r="J322" s="11" t="s">
        <v>302</v>
      </c>
      <c r="K322" s="11" t="s">
        <v>302</v>
      </c>
      <c r="L322" s="11" t="s">
        <v>1202</v>
      </c>
      <c r="M322" s="11" t="s">
        <v>303</v>
      </c>
      <c r="N322" s="58">
        <v>474</v>
      </c>
      <c r="O322" s="59"/>
      <c r="P322" s="12"/>
      <c r="Q322" s="12" t="s">
        <v>4</v>
      </c>
      <c r="R322" s="12" t="s">
        <v>1190</v>
      </c>
      <c r="S322" s="12" t="s">
        <v>37</v>
      </c>
      <c r="T322" s="12">
        <v>1</v>
      </c>
      <c r="U322" s="13">
        <v>43998</v>
      </c>
      <c r="V322" s="12" t="s">
        <v>310</v>
      </c>
      <c r="W322" s="12" t="s">
        <v>92</v>
      </c>
      <c r="X322" s="12" t="s">
        <v>93</v>
      </c>
      <c r="Y322" s="13"/>
      <c r="Z322" s="75"/>
    </row>
    <row r="323" spans="1:26" s="20" customFormat="1" hidden="1" x14ac:dyDescent="0.3">
      <c r="A323" s="12" t="s">
        <v>85</v>
      </c>
      <c r="B323" s="12">
        <v>14960</v>
      </c>
      <c r="C323" s="11" t="s">
        <v>95</v>
      </c>
      <c r="D323" s="12" t="s">
        <v>1</v>
      </c>
      <c r="E323" s="12" t="s">
        <v>1185</v>
      </c>
      <c r="F323" s="12" t="s">
        <v>87</v>
      </c>
      <c r="G323" s="12" t="s">
        <v>113</v>
      </c>
      <c r="H323" s="12" t="s">
        <v>96</v>
      </c>
      <c r="I323" s="12" t="s">
        <v>89</v>
      </c>
      <c r="J323" s="11" t="s">
        <v>302</v>
      </c>
      <c r="K323" s="11" t="s">
        <v>302</v>
      </c>
      <c r="L323" s="11" t="s">
        <v>1202</v>
      </c>
      <c r="M323" s="11" t="s">
        <v>303</v>
      </c>
      <c r="N323" s="58">
        <v>474</v>
      </c>
      <c r="O323" s="59"/>
      <c r="P323" s="12"/>
      <c r="Q323" s="12" t="s">
        <v>4</v>
      </c>
      <c r="R323" s="12" t="s">
        <v>1190</v>
      </c>
      <c r="S323" s="12" t="s">
        <v>37</v>
      </c>
      <c r="T323" s="12">
        <v>1</v>
      </c>
      <c r="U323" s="13">
        <v>44027</v>
      </c>
      <c r="V323" s="12" t="s">
        <v>310</v>
      </c>
      <c r="W323" s="12" t="s">
        <v>92</v>
      </c>
      <c r="X323" s="12" t="s">
        <v>93</v>
      </c>
      <c r="Y323" s="13"/>
      <c r="Z323" s="75"/>
    </row>
    <row r="324" spans="1:26" s="20" customFormat="1" hidden="1" x14ac:dyDescent="0.3">
      <c r="A324" s="12" t="s">
        <v>85</v>
      </c>
      <c r="B324" s="12">
        <v>14961</v>
      </c>
      <c r="C324" s="11" t="s">
        <v>95</v>
      </c>
      <c r="D324" s="12" t="s">
        <v>1</v>
      </c>
      <c r="E324" s="12" t="s">
        <v>1185</v>
      </c>
      <c r="F324" s="12" t="s">
        <v>87</v>
      </c>
      <c r="G324" s="12" t="s">
        <v>113</v>
      </c>
      <c r="H324" s="12" t="s">
        <v>96</v>
      </c>
      <c r="I324" s="12" t="s">
        <v>89</v>
      </c>
      <c r="J324" s="11" t="s">
        <v>302</v>
      </c>
      <c r="K324" s="11" t="s">
        <v>302</v>
      </c>
      <c r="L324" s="11" t="s">
        <v>1202</v>
      </c>
      <c r="M324" s="11" t="s">
        <v>303</v>
      </c>
      <c r="N324" s="58">
        <v>1074.8</v>
      </c>
      <c r="O324" s="59"/>
      <c r="P324" s="12"/>
      <c r="Q324" s="12" t="s">
        <v>4</v>
      </c>
      <c r="R324" s="12" t="s">
        <v>1190</v>
      </c>
      <c r="S324" s="12" t="s">
        <v>37</v>
      </c>
      <c r="T324" s="12">
        <v>1</v>
      </c>
      <c r="U324" s="13">
        <v>43814</v>
      </c>
      <c r="V324" s="12" t="s">
        <v>304</v>
      </c>
      <c r="W324" s="12">
        <v>80866</v>
      </c>
      <c r="X324" s="12" t="s">
        <v>93</v>
      </c>
      <c r="Y324" s="13"/>
      <c r="Z324" s="75"/>
    </row>
    <row r="325" spans="1:26" s="20" customFormat="1" hidden="1" x14ac:dyDescent="0.3">
      <c r="A325" s="12" t="s">
        <v>85</v>
      </c>
      <c r="B325" s="12">
        <v>14961</v>
      </c>
      <c r="C325" s="11" t="s">
        <v>95</v>
      </c>
      <c r="D325" s="12" t="s">
        <v>1</v>
      </c>
      <c r="E325" s="12" t="s">
        <v>1185</v>
      </c>
      <c r="F325" s="12" t="s">
        <v>87</v>
      </c>
      <c r="G325" s="12" t="s">
        <v>113</v>
      </c>
      <c r="H325" s="12" t="s">
        <v>96</v>
      </c>
      <c r="I325" s="12" t="s">
        <v>89</v>
      </c>
      <c r="J325" s="11" t="s">
        <v>302</v>
      </c>
      <c r="K325" s="11" t="s">
        <v>302</v>
      </c>
      <c r="L325" s="11" t="s">
        <v>1202</v>
      </c>
      <c r="M325" s="11" t="s">
        <v>303</v>
      </c>
      <c r="N325" s="58">
        <v>1074.8</v>
      </c>
      <c r="O325" s="59"/>
      <c r="P325" s="12"/>
      <c r="Q325" s="12" t="s">
        <v>12</v>
      </c>
      <c r="R325" s="12" t="s">
        <v>15</v>
      </c>
      <c r="S325" s="12" t="s">
        <v>92</v>
      </c>
      <c r="T325" s="12">
        <v>0</v>
      </c>
      <c r="U325" s="12"/>
      <c r="V325" s="12" t="s">
        <v>164</v>
      </c>
      <c r="W325" s="12" t="s">
        <v>92</v>
      </c>
      <c r="X325" s="12" t="s">
        <v>93</v>
      </c>
      <c r="Y325" s="13">
        <v>44043</v>
      </c>
      <c r="Z325" s="75"/>
    </row>
    <row r="326" spans="1:26" s="20" customFormat="1" hidden="1" x14ac:dyDescent="0.3">
      <c r="A326" s="12" t="s">
        <v>85</v>
      </c>
      <c r="B326" s="12">
        <v>14961</v>
      </c>
      <c r="C326" s="11" t="s">
        <v>95</v>
      </c>
      <c r="D326" s="12" t="s">
        <v>1</v>
      </c>
      <c r="E326" s="12" t="s">
        <v>1185</v>
      </c>
      <c r="F326" s="12" t="s">
        <v>87</v>
      </c>
      <c r="G326" s="12" t="s">
        <v>113</v>
      </c>
      <c r="H326" s="12" t="s">
        <v>96</v>
      </c>
      <c r="I326" s="12" t="s">
        <v>89</v>
      </c>
      <c r="J326" s="11" t="s">
        <v>302</v>
      </c>
      <c r="K326" s="11" t="s">
        <v>302</v>
      </c>
      <c r="L326" s="11" t="s">
        <v>1202</v>
      </c>
      <c r="M326" s="11" t="s">
        <v>303</v>
      </c>
      <c r="N326" s="58">
        <v>1074.8</v>
      </c>
      <c r="O326" s="59"/>
      <c r="P326" s="12"/>
      <c r="Q326" s="12" t="s">
        <v>4</v>
      </c>
      <c r="R326" s="12" t="s">
        <v>1190</v>
      </c>
      <c r="S326" s="12" t="s">
        <v>37</v>
      </c>
      <c r="T326" s="12">
        <v>1</v>
      </c>
      <c r="U326" s="13">
        <v>43847</v>
      </c>
      <c r="V326" s="12" t="s">
        <v>305</v>
      </c>
      <c r="W326" s="12" t="s">
        <v>92</v>
      </c>
      <c r="X326" s="12" t="s">
        <v>93</v>
      </c>
      <c r="Y326" s="13"/>
      <c r="Z326" s="75"/>
    </row>
    <row r="327" spans="1:26" s="20" customFormat="1" hidden="1" x14ac:dyDescent="0.3">
      <c r="A327" s="12" t="s">
        <v>85</v>
      </c>
      <c r="B327" s="12">
        <v>14961</v>
      </c>
      <c r="C327" s="11" t="s">
        <v>95</v>
      </c>
      <c r="D327" s="12" t="s">
        <v>1</v>
      </c>
      <c r="E327" s="12" t="s">
        <v>1185</v>
      </c>
      <c r="F327" s="12" t="s">
        <v>87</v>
      </c>
      <c r="G327" s="12" t="s">
        <v>113</v>
      </c>
      <c r="H327" s="12" t="s">
        <v>96</v>
      </c>
      <c r="I327" s="12" t="s">
        <v>89</v>
      </c>
      <c r="J327" s="11" t="s">
        <v>302</v>
      </c>
      <c r="K327" s="11" t="s">
        <v>302</v>
      </c>
      <c r="L327" s="11" t="s">
        <v>1202</v>
      </c>
      <c r="M327" s="11" t="s">
        <v>303</v>
      </c>
      <c r="N327" s="58">
        <v>1074.8</v>
      </c>
      <c r="O327" s="59"/>
      <c r="P327" s="12"/>
      <c r="Q327" s="12" t="s">
        <v>4</v>
      </c>
      <c r="R327" s="12" t="s">
        <v>1190</v>
      </c>
      <c r="S327" s="12" t="s">
        <v>37</v>
      </c>
      <c r="T327" s="12">
        <v>1</v>
      </c>
      <c r="U327" s="13">
        <v>43938</v>
      </c>
      <c r="V327" s="12" t="s">
        <v>329</v>
      </c>
      <c r="W327" s="12" t="s">
        <v>92</v>
      </c>
      <c r="X327" s="12" t="s">
        <v>93</v>
      </c>
      <c r="Y327" s="13"/>
      <c r="Z327" s="75"/>
    </row>
    <row r="328" spans="1:26" s="20" customFormat="1" hidden="1" x14ac:dyDescent="0.3">
      <c r="A328" s="12" t="s">
        <v>85</v>
      </c>
      <c r="B328" s="12">
        <v>14961</v>
      </c>
      <c r="C328" s="11" t="s">
        <v>95</v>
      </c>
      <c r="D328" s="12" t="s">
        <v>1</v>
      </c>
      <c r="E328" s="12" t="s">
        <v>1185</v>
      </c>
      <c r="F328" s="12" t="s">
        <v>87</v>
      </c>
      <c r="G328" s="12" t="s">
        <v>113</v>
      </c>
      <c r="H328" s="12" t="s">
        <v>96</v>
      </c>
      <c r="I328" s="12" t="s">
        <v>89</v>
      </c>
      <c r="J328" s="11" t="s">
        <v>302</v>
      </c>
      <c r="K328" s="11" t="s">
        <v>302</v>
      </c>
      <c r="L328" s="11" t="s">
        <v>1202</v>
      </c>
      <c r="M328" s="11" t="s">
        <v>303</v>
      </c>
      <c r="N328" s="58">
        <v>1074.8</v>
      </c>
      <c r="O328" s="59"/>
      <c r="P328" s="12"/>
      <c r="Q328" s="12" t="s">
        <v>4</v>
      </c>
      <c r="R328" s="12" t="s">
        <v>1190</v>
      </c>
      <c r="S328" s="12" t="s">
        <v>37</v>
      </c>
      <c r="T328" s="12">
        <v>1</v>
      </c>
      <c r="U328" s="13">
        <v>43962</v>
      </c>
      <c r="V328" s="12" t="s">
        <v>307</v>
      </c>
      <c r="W328" s="12" t="s">
        <v>92</v>
      </c>
      <c r="X328" s="12" t="s">
        <v>93</v>
      </c>
      <c r="Y328" s="13"/>
      <c r="Z328" s="75"/>
    </row>
    <row r="329" spans="1:26" s="20" customFormat="1" hidden="1" x14ac:dyDescent="0.3">
      <c r="A329" s="12" t="s">
        <v>85</v>
      </c>
      <c r="B329" s="12">
        <v>14961</v>
      </c>
      <c r="C329" s="11" t="s">
        <v>95</v>
      </c>
      <c r="D329" s="12" t="s">
        <v>1</v>
      </c>
      <c r="E329" s="12" t="s">
        <v>1185</v>
      </c>
      <c r="F329" s="12" t="s">
        <v>87</v>
      </c>
      <c r="G329" s="12" t="s">
        <v>113</v>
      </c>
      <c r="H329" s="12" t="s">
        <v>96</v>
      </c>
      <c r="I329" s="12" t="s">
        <v>89</v>
      </c>
      <c r="J329" s="11" t="s">
        <v>302</v>
      </c>
      <c r="K329" s="11" t="s">
        <v>302</v>
      </c>
      <c r="L329" s="11" t="s">
        <v>1202</v>
      </c>
      <c r="M329" s="11" t="s">
        <v>303</v>
      </c>
      <c r="N329" s="58">
        <v>1074.8</v>
      </c>
      <c r="O329" s="59"/>
      <c r="P329" s="12"/>
      <c r="Q329" s="12" t="s">
        <v>4</v>
      </c>
      <c r="R329" s="12" t="s">
        <v>1190</v>
      </c>
      <c r="S329" s="12" t="s">
        <v>37</v>
      </c>
      <c r="T329" s="12">
        <v>1</v>
      </c>
      <c r="U329" s="13">
        <v>43878</v>
      </c>
      <c r="V329" s="12" t="s">
        <v>308</v>
      </c>
      <c r="W329" s="12" t="s">
        <v>92</v>
      </c>
      <c r="X329" s="12" t="s">
        <v>93</v>
      </c>
      <c r="Y329" s="13"/>
      <c r="Z329" s="75"/>
    </row>
    <row r="330" spans="1:26" s="20" customFormat="1" hidden="1" x14ac:dyDescent="0.3">
      <c r="A330" s="12" t="s">
        <v>85</v>
      </c>
      <c r="B330" s="12">
        <v>14961</v>
      </c>
      <c r="C330" s="11" t="s">
        <v>95</v>
      </c>
      <c r="D330" s="12" t="s">
        <v>1</v>
      </c>
      <c r="E330" s="12" t="s">
        <v>1185</v>
      </c>
      <c r="F330" s="12" t="s">
        <v>87</v>
      </c>
      <c r="G330" s="12" t="s">
        <v>113</v>
      </c>
      <c r="H330" s="12" t="s">
        <v>96</v>
      </c>
      <c r="I330" s="12" t="s">
        <v>89</v>
      </c>
      <c r="J330" s="11" t="s">
        <v>302</v>
      </c>
      <c r="K330" s="11" t="s">
        <v>302</v>
      </c>
      <c r="L330" s="11" t="s">
        <v>1202</v>
      </c>
      <c r="M330" s="11" t="s">
        <v>303</v>
      </c>
      <c r="N330" s="58">
        <v>1074.8</v>
      </c>
      <c r="O330" s="59"/>
      <c r="P330" s="12"/>
      <c r="Q330" s="12" t="s">
        <v>4</v>
      </c>
      <c r="R330" s="12" t="s">
        <v>1190</v>
      </c>
      <c r="S330" s="12" t="s">
        <v>37</v>
      </c>
      <c r="T330" s="12">
        <v>1</v>
      </c>
      <c r="U330" s="13">
        <v>43907</v>
      </c>
      <c r="V330" s="12" t="s">
        <v>309</v>
      </c>
      <c r="W330" s="12" t="s">
        <v>92</v>
      </c>
      <c r="X330" s="12" t="s">
        <v>93</v>
      </c>
      <c r="Y330" s="13"/>
      <c r="Z330" s="75"/>
    </row>
    <row r="331" spans="1:26" s="20" customFormat="1" hidden="1" x14ac:dyDescent="0.3">
      <c r="A331" s="12" t="s">
        <v>85</v>
      </c>
      <c r="B331" s="12">
        <v>14961</v>
      </c>
      <c r="C331" s="11" t="s">
        <v>95</v>
      </c>
      <c r="D331" s="12" t="s">
        <v>1</v>
      </c>
      <c r="E331" s="12" t="s">
        <v>1185</v>
      </c>
      <c r="F331" s="12" t="s">
        <v>87</v>
      </c>
      <c r="G331" s="12" t="s">
        <v>113</v>
      </c>
      <c r="H331" s="12" t="s">
        <v>96</v>
      </c>
      <c r="I331" s="12" t="s">
        <v>89</v>
      </c>
      <c r="J331" s="11" t="s">
        <v>302</v>
      </c>
      <c r="K331" s="11" t="s">
        <v>302</v>
      </c>
      <c r="L331" s="11" t="s">
        <v>1202</v>
      </c>
      <c r="M331" s="11" t="s">
        <v>303</v>
      </c>
      <c r="N331" s="58">
        <v>1074.8</v>
      </c>
      <c r="O331" s="59"/>
      <c r="P331" s="12"/>
      <c r="Q331" s="12" t="s">
        <v>4</v>
      </c>
      <c r="R331" s="12" t="s">
        <v>1190</v>
      </c>
      <c r="S331" s="12" t="s">
        <v>37</v>
      </c>
      <c r="T331" s="12">
        <v>1</v>
      </c>
      <c r="U331" s="13">
        <v>43998</v>
      </c>
      <c r="V331" s="12" t="s">
        <v>310</v>
      </c>
      <c r="W331" s="12" t="s">
        <v>92</v>
      </c>
      <c r="X331" s="12" t="s">
        <v>93</v>
      </c>
      <c r="Y331" s="13"/>
      <c r="Z331" s="75"/>
    </row>
    <row r="332" spans="1:26" s="20" customFormat="1" hidden="1" x14ac:dyDescent="0.3">
      <c r="A332" s="12" t="s">
        <v>85</v>
      </c>
      <c r="B332" s="12">
        <v>14961</v>
      </c>
      <c r="C332" s="11" t="s">
        <v>95</v>
      </c>
      <c r="D332" s="12" t="s">
        <v>1</v>
      </c>
      <c r="E332" s="12" t="s">
        <v>1185</v>
      </c>
      <c r="F332" s="12" t="s">
        <v>87</v>
      </c>
      <c r="G332" s="12" t="s">
        <v>113</v>
      </c>
      <c r="H332" s="12" t="s">
        <v>96</v>
      </c>
      <c r="I332" s="12" t="s">
        <v>89</v>
      </c>
      <c r="J332" s="11" t="s">
        <v>302</v>
      </c>
      <c r="K332" s="11" t="s">
        <v>302</v>
      </c>
      <c r="L332" s="11" t="s">
        <v>1202</v>
      </c>
      <c r="M332" s="11" t="s">
        <v>303</v>
      </c>
      <c r="N332" s="58">
        <v>1074.8</v>
      </c>
      <c r="O332" s="59"/>
      <c r="P332" s="12"/>
      <c r="Q332" s="12" t="s">
        <v>4</v>
      </c>
      <c r="R332" s="12" t="s">
        <v>1190</v>
      </c>
      <c r="S332" s="12" t="s">
        <v>37</v>
      </c>
      <c r="T332" s="12">
        <v>1</v>
      </c>
      <c r="U332" s="13">
        <v>44027</v>
      </c>
      <c r="V332" s="12" t="s">
        <v>310</v>
      </c>
      <c r="W332" s="12" t="s">
        <v>92</v>
      </c>
      <c r="X332" s="12" t="s">
        <v>93</v>
      </c>
      <c r="Y332" s="13"/>
      <c r="Z332" s="75"/>
    </row>
    <row r="333" spans="1:26" s="20" customFormat="1" hidden="1" x14ac:dyDescent="0.3">
      <c r="A333" s="12" t="s">
        <v>85</v>
      </c>
      <c r="B333" s="12">
        <v>14962</v>
      </c>
      <c r="C333" s="11" t="s">
        <v>95</v>
      </c>
      <c r="D333" s="12" t="s">
        <v>1</v>
      </c>
      <c r="E333" s="12" t="s">
        <v>1185</v>
      </c>
      <c r="F333" s="12" t="s">
        <v>87</v>
      </c>
      <c r="G333" s="12" t="s">
        <v>113</v>
      </c>
      <c r="H333" s="12" t="s">
        <v>96</v>
      </c>
      <c r="I333" s="12" t="s">
        <v>89</v>
      </c>
      <c r="J333" s="11" t="s">
        <v>302</v>
      </c>
      <c r="K333" s="11" t="s">
        <v>302</v>
      </c>
      <c r="L333" s="11" t="s">
        <v>1202</v>
      </c>
      <c r="M333" s="11" t="s">
        <v>303</v>
      </c>
      <c r="N333" s="58">
        <v>1057.3</v>
      </c>
      <c r="O333" s="59"/>
      <c r="P333" s="12"/>
      <c r="Q333" s="12" t="s">
        <v>12</v>
      </c>
      <c r="R333" s="12" t="s">
        <v>15</v>
      </c>
      <c r="S333" s="12" t="s">
        <v>92</v>
      </c>
      <c r="T333" s="12">
        <v>1</v>
      </c>
      <c r="U333" s="13"/>
      <c r="V333" s="12" t="s">
        <v>164</v>
      </c>
      <c r="W333" s="12" t="s">
        <v>92</v>
      </c>
      <c r="X333" s="12" t="s">
        <v>93</v>
      </c>
      <c r="Y333" s="13">
        <v>43880</v>
      </c>
      <c r="Z333" s="75"/>
    </row>
    <row r="334" spans="1:26" s="20" customFormat="1" hidden="1" x14ac:dyDescent="0.3">
      <c r="A334" s="12" t="s">
        <v>85</v>
      </c>
      <c r="B334" s="12">
        <v>14962</v>
      </c>
      <c r="C334" s="11" t="s">
        <v>95</v>
      </c>
      <c r="D334" s="12" t="s">
        <v>1</v>
      </c>
      <c r="E334" s="12" t="s">
        <v>1185</v>
      </c>
      <c r="F334" s="12" t="s">
        <v>87</v>
      </c>
      <c r="G334" s="12" t="s">
        <v>113</v>
      </c>
      <c r="H334" s="12" t="s">
        <v>96</v>
      </c>
      <c r="I334" s="12" t="s">
        <v>89</v>
      </c>
      <c r="J334" s="11" t="s">
        <v>302</v>
      </c>
      <c r="K334" s="11" t="s">
        <v>302</v>
      </c>
      <c r="L334" s="11" t="s">
        <v>1202</v>
      </c>
      <c r="M334" s="11" t="s">
        <v>303</v>
      </c>
      <c r="N334" s="58">
        <v>1057.3</v>
      </c>
      <c r="O334" s="59"/>
      <c r="P334" s="12"/>
      <c r="Q334" s="12" t="s">
        <v>4</v>
      </c>
      <c r="R334" s="12" t="s">
        <v>1190</v>
      </c>
      <c r="S334" s="12" t="s">
        <v>37</v>
      </c>
      <c r="T334" s="12">
        <v>1</v>
      </c>
      <c r="U334" s="13">
        <v>43814</v>
      </c>
      <c r="V334" s="12" t="s">
        <v>304</v>
      </c>
      <c r="W334" s="12" t="s">
        <v>92</v>
      </c>
      <c r="X334" s="12" t="s">
        <v>93</v>
      </c>
      <c r="Y334" s="13"/>
      <c r="Z334" s="75"/>
    </row>
    <row r="335" spans="1:26" s="20" customFormat="1" hidden="1" x14ac:dyDescent="0.3">
      <c r="A335" s="12" t="s">
        <v>85</v>
      </c>
      <c r="B335" s="12">
        <v>14962</v>
      </c>
      <c r="C335" s="11" t="s">
        <v>95</v>
      </c>
      <c r="D335" s="12" t="s">
        <v>1</v>
      </c>
      <c r="E335" s="12" t="s">
        <v>1185</v>
      </c>
      <c r="F335" s="12" t="s">
        <v>87</v>
      </c>
      <c r="G335" s="12" t="s">
        <v>113</v>
      </c>
      <c r="H335" s="12" t="s">
        <v>96</v>
      </c>
      <c r="I335" s="12" t="s">
        <v>89</v>
      </c>
      <c r="J335" s="11" t="s">
        <v>302</v>
      </c>
      <c r="K335" s="11" t="s">
        <v>302</v>
      </c>
      <c r="L335" s="11" t="s">
        <v>1202</v>
      </c>
      <c r="M335" s="11" t="s">
        <v>303</v>
      </c>
      <c r="N335" s="58">
        <v>1057.3</v>
      </c>
      <c r="O335" s="59"/>
      <c r="P335" s="12"/>
      <c r="Q335" s="12" t="s">
        <v>4</v>
      </c>
      <c r="R335" s="12" t="s">
        <v>1190</v>
      </c>
      <c r="S335" s="12" t="s">
        <v>37</v>
      </c>
      <c r="T335" s="12">
        <v>1</v>
      </c>
      <c r="U335" s="13">
        <v>43847</v>
      </c>
      <c r="V335" s="12" t="s">
        <v>305</v>
      </c>
      <c r="W335" s="12" t="s">
        <v>92</v>
      </c>
      <c r="X335" s="12" t="s">
        <v>93</v>
      </c>
      <c r="Y335" s="13"/>
      <c r="Z335" s="75"/>
    </row>
    <row r="336" spans="1:26" s="20" customFormat="1" hidden="1" x14ac:dyDescent="0.3">
      <c r="A336" s="12" t="s">
        <v>85</v>
      </c>
      <c r="B336" s="12">
        <v>14962</v>
      </c>
      <c r="C336" s="11" t="s">
        <v>95</v>
      </c>
      <c r="D336" s="12" t="s">
        <v>1</v>
      </c>
      <c r="E336" s="12" t="s">
        <v>1185</v>
      </c>
      <c r="F336" s="12" t="s">
        <v>87</v>
      </c>
      <c r="G336" s="12" t="s">
        <v>113</v>
      </c>
      <c r="H336" s="12" t="s">
        <v>96</v>
      </c>
      <c r="I336" s="12" t="s">
        <v>89</v>
      </c>
      <c r="J336" s="11" t="s">
        <v>302</v>
      </c>
      <c r="K336" s="11" t="s">
        <v>302</v>
      </c>
      <c r="L336" s="11" t="s">
        <v>1202</v>
      </c>
      <c r="M336" s="11" t="s">
        <v>303</v>
      </c>
      <c r="N336" s="58">
        <v>1057.3</v>
      </c>
      <c r="O336" s="59"/>
      <c r="P336" s="12"/>
      <c r="Q336" s="12" t="s">
        <v>4</v>
      </c>
      <c r="R336" s="12" t="s">
        <v>1190</v>
      </c>
      <c r="S336" s="12" t="s">
        <v>37</v>
      </c>
      <c r="T336" s="12">
        <v>1</v>
      </c>
      <c r="U336" s="13">
        <v>43938</v>
      </c>
      <c r="V336" s="12" t="s">
        <v>329</v>
      </c>
      <c r="W336" s="12" t="s">
        <v>92</v>
      </c>
      <c r="X336" s="12" t="s">
        <v>93</v>
      </c>
      <c r="Y336" s="13"/>
      <c r="Z336" s="75"/>
    </row>
    <row r="337" spans="1:26" s="20" customFormat="1" hidden="1" x14ac:dyDescent="0.3">
      <c r="A337" s="12" t="s">
        <v>85</v>
      </c>
      <c r="B337" s="12">
        <v>14962</v>
      </c>
      <c r="C337" s="11" t="s">
        <v>95</v>
      </c>
      <c r="D337" s="12" t="s">
        <v>1</v>
      </c>
      <c r="E337" s="12" t="s">
        <v>1185</v>
      </c>
      <c r="F337" s="12" t="s">
        <v>87</v>
      </c>
      <c r="G337" s="12" t="s">
        <v>113</v>
      </c>
      <c r="H337" s="12" t="s">
        <v>96</v>
      </c>
      <c r="I337" s="12" t="s">
        <v>89</v>
      </c>
      <c r="J337" s="11" t="s">
        <v>302</v>
      </c>
      <c r="K337" s="11" t="s">
        <v>302</v>
      </c>
      <c r="L337" s="11" t="s">
        <v>1202</v>
      </c>
      <c r="M337" s="11" t="s">
        <v>303</v>
      </c>
      <c r="N337" s="58">
        <v>1057.3</v>
      </c>
      <c r="O337" s="59"/>
      <c r="P337" s="12"/>
      <c r="Q337" s="12" t="s">
        <v>4</v>
      </c>
      <c r="R337" s="12" t="s">
        <v>1190</v>
      </c>
      <c r="S337" s="12" t="s">
        <v>37</v>
      </c>
      <c r="T337" s="12">
        <v>1</v>
      </c>
      <c r="U337" s="13">
        <v>43962</v>
      </c>
      <c r="V337" s="12" t="s">
        <v>307</v>
      </c>
      <c r="W337" s="12" t="s">
        <v>92</v>
      </c>
      <c r="X337" s="12" t="s">
        <v>93</v>
      </c>
      <c r="Y337" s="13"/>
      <c r="Z337" s="75"/>
    </row>
    <row r="338" spans="1:26" s="20" customFormat="1" hidden="1" x14ac:dyDescent="0.3">
      <c r="A338" s="12" t="s">
        <v>85</v>
      </c>
      <c r="B338" s="12">
        <v>14962</v>
      </c>
      <c r="C338" s="11" t="s">
        <v>95</v>
      </c>
      <c r="D338" s="12" t="s">
        <v>1</v>
      </c>
      <c r="E338" s="12" t="s">
        <v>1185</v>
      </c>
      <c r="F338" s="12" t="s">
        <v>87</v>
      </c>
      <c r="G338" s="12" t="s">
        <v>113</v>
      </c>
      <c r="H338" s="12" t="s">
        <v>96</v>
      </c>
      <c r="I338" s="12" t="s">
        <v>89</v>
      </c>
      <c r="J338" s="11" t="s">
        <v>302</v>
      </c>
      <c r="K338" s="11" t="s">
        <v>302</v>
      </c>
      <c r="L338" s="11" t="s">
        <v>1202</v>
      </c>
      <c r="M338" s="11" t="s">
        <v>303</v>
      </c>
      <c r="N338" s="58">
        <v>1057.3</v>
      </c>
      <c r="O338" s="59"/>
      <c r="P338" s="12"/>
      <c r="Q338" s="12" t="s">
        <v>4</v>
      </c>
      <c r="R338" s="12" t="s">
        <v>1190</v>
      </c>
      <c r="S338" s="12" t="s">
        <v>37</v>
      </c>
      <c r="T338" s="12">
        <v>1</v>
      </c>
      <c r="U338" s="13">
        <v>43878</v>
      </c>
      <c r="V338" s="12" t="s">
        <v>308</v>
      </c>
      <c r="W338" s="12" t="s">
        <v>92</v>
      </c>
      <c r="X338" s="12" t="s">
        <v>93</v>
      </c>
      <c r="Y338" s="13"/>
      <c r="Z338" s="75"/>
    </row>
    <row r="339" spans="1:26" s="20" customFormat="1" hidden="1" x14ac:dyDescent="0.3">
      <c r="A339" s="12" t="s">
        <v>85</v>
      </c>
      <c r="B339" s="12">
        <v>14962</v>
      </c>
      <c r="C339" s="11" t="s">
        <v>95</v>
      </c>
      <c r="D339" s="12" t="s">
        <v>1</v>
      </c>
      <c r="E339" s="12" t="s">
        <v>1185</v>
      </c>
      <c r="F339" s="12" t="s">
        <v>87</v>
      </c>
      <c r="G339" s="12" t="s">
        <v>113</v>
      </c>
      <c r="H339" s="12" t="s">
        <v>96</v>
      </c>
      <c r="I339" s="12" t="s">
        <v>89</v>
      </c>
      <c r="J339" s="11" t="s">
        <v>302</v>
      </c>
      <c r="K339" s="11" t="s">
        <v>302</v>
      </c>
      <c r="L339" s="11" t="s">
        <v>1202</v>
      </c>
      <c r="M339" s="11" t="s">
        <v>303</v>
      </c>
      <c r="N339" s="58">
        <v>1057.3</v>
      </c>
      <c r="O339" s="59"/>
      <c r="P339" s="12"/>
      <c r="Q339" s="12" t="s">
        <v>4</v>
      </c>
      <c r="R339" s="12" t="s">
        <v>1190</v>
      </c>
      <c r="S339" s="12" t="s">
        <v>37</v>
      </c>
      <c r="T339" s="12">
        <v>1</v>
      </c>
      <c r="U339" s="13">
        <v>43907</v>
      </c>
      <c r="V339" s="12" t="s">
        <v>309</v>
      </c>
      <c r="W339" s="12" t="s">
        <v>92</v>
      </c>
      <c r="X339" s="12" t="s">
        <v>93</v>
      </c>
      <c r="Y339" s="13"/>
      <c r="Z339" s="75"/>
    </row>
    <row r="340" spans="1:26" s="20" customFormat="1" hidden="1" x14ac:dyDescent="0.3">
      <c r="A340" s="12" t="s">
        <v>85</v>
      </c>
      <c r="B340" s="12">
        <v>14962</v>
      </c>
      <c r="C340" s="11" t="s">
        <v>95</v>
      </c>
      <c r="D340" s="12" t="s">
        <v>1</v>
      </c>
      <c r="E340" s="12" t="s">
        <v>1185</v>
      </c>
      <c r="F340" s="12" t="s">
        <v>87</v>
      </c>
      <c r="G340" s="12" t="s">
        <v>113</v>
      </c>
      <c r="H340" s="12" t="s">
        <v>96</v>
      </c>
      <c r="I340" s="12" t="s">
        <v>89</v>
      </c>
      <c r="J340" s="11" t="s">
        <v>302</v>
      </c>
      <c r="K340" s="11" t="s">
        <v>302</v>
      </c>
      <c r="L340" s="11" t="s">
        <v>1202</v>
      </c>
      <c r="M340" s="11" t="s">
        <v>303</v>
      </c>
      <c r="N340" s="58">
        <v>1057.3</v>
      </c>
      <c r="O340" s="59"/>
      <c r="P340" s="12"/>
      <c r="Q340" s="12" t="s">
        <v>4</v>
      </c>
      <c r="R340" s="12" t="s">
        <v>1190</v>
      </c>
      <c r="S340" s="12" t="s">
        <v>37</v>
      </c>
      <c r="T340" s="12">
        <v>1</v>
      </c>
      <c r="U340" s="13">
        <v>43998</v>
      </c>
      <c r="V340" s="12" t="s">
        <v>310</v>
      </c>
      <c r="W340" s="12" t="s">
        <v>92</v>
      </c>
      <c r="X340" s="12" t="s">
        <v>93</v>
      </c>
      <c r="Y340" s="13"/>
      <c r="Z340" s="75"/>
    </row>
    <row r="341" spans="1:26" s="20" customFormat="1" hidden="1" x14ac:dyDescent="0.3">
      <c r="A341" s="12" t="s">
        <v>85</v>
      </c>
      <c r="B341" s="12">
        <v>14962</v>
      </c>
      <c r="C341" s="11" t="s">
        <v>95</v>
      </c>
      <c r="D341" s="12" t="s">
        <v>1</v>
      </c>
      <c r="E341" s="12" t="s">
        <v>1185</v>
      </c>
      <c r="F341" s="12" t="s">
        <v>87</v>
      </c>
      <c r="G341" s="12" t="s">
        <v>113</v>
      </c>
      <c r="H341" s="12" t="s">
        <v>96</v>
      </c>
      <c r="I341" s="12" t="s">
        <v>89</v>
      </c>
      <c r="J341" s="11" t="s">
        <v>302</v>
      </c>
      <c r="K341" s="11" t="s">
        <v>302</v>
      </c>
      <c r="L341" s="11" t="s">
        <v>1202</v>
      </c>
      <c r="M341" s="11" t="s">
        <v>303</v>
      </c>
      <c r="N341" s="58">
        <v>1057.3</v>
      </c>
      <c r="O341" s="59"/>
      <c r="P341" s="12"/>
      <c r="Q341" s="12" t="s">
        <v>4</v>
      </c>
      <c r="R341" s="12" t="s">
        <v>1190</v>
      </c>
      <c r="S341" s="12" t="s">
        <v>37</v>
      </c>
      <c r="T341" s="12">
        <v>1</v>
      </c>
      <c r="U341" s="13">
        <v>44027</v>
      </c>
      <c r="V341" s="12" t="s">
        <v>310</v>
      </c>
      <c r="W341" s="12" t="s">
        <v>92</v>
      </c>
      <c r="X341" s="12" t="s">
        <v>93</v>
      </c>
      <c r="Y341" s="13"/>
      <c r="Z341" s="75"/>
    </row>
    <row r="342" spans="1:26" s="20" customFormat="1" hidden="1" x14ac:dyDescent="0.3">
      <c r="A342" s="12" t="s">
        <v>85</v>
      </c>
      <c r="B342" s="12">
        <v>14977</v>
      </c>
      <c r="C342" s="11" t="s">
        <v>95</v>
      </c>
      <c r="D342" s="12" t="s">
        <v>1</v>
      </c>
      <c r="E342" s="12" t="s">
        <v>1185</v>
      </c>
      <c r="F342" s="12" t="s">
        <v>87</v>
      </c>
      <c r="G342" s="12" t="s">
        <v>113</v>
      </c>
      <c r="H342" s="12" t="s">
        <v>96</v>
      </c>
      <c r="I342" s="12" t="s">
        <v>89</v>
      </c>
      <c r="J342" s="11" t="s">
        <v>302</v>
      </c>
      <c r="K342" s="11" t="s">
        <v>302</v>
      </c>
      <c r="L342" s="11" t="s">
        <v>1202</v>
      </c>
      <c r="M342" s="11" t="s">
        <v>303</v>
      </c>
      <c r="N342" s="59">
        <v>0</v>
      </c>
      <c r="O342" s="59"/>
      <c r="P342" s="12"/>
      <c r="Q342" s="12" t="s">
        <v>12</v>
      </c>
      <c r="R342" s="12" t="s">
        <v>99</v>
      </c>
      <c r="S342" s="12" t="s">
        <v>99</v>
      </c>
      <c r="T342" s="12">
        <v>1</v>
      </c>
      <c r="U342" s="13"/>
      <c r="V342" s="12" t="s">
        <v>164</v>
      </c>
      <c r="W342" s="12" t="s">
        <v>92</v>
      </c>
      <c r="X342" s="12" t="s">
        <v>135</v>
      </c>
      <c r="Y342" s="13">
        <v>43880</v>
      </c>
      <c r="Z342" s="59" t="s">
        <v>228</v>
      </c>
    </row>
    <row r="343" spans="1:26" s="20" customFormat="1" hidden="1" x14ac:dyDescent="0.3">
      <c r="A343" s="12" t="s">
        <v>85</v>
      </c>
      <c r="B343" s="12">
        <v>15026</v>
      </c>
      <c r="C343" s="11" t="s">
        <v>130</v>
      </c>
      <c r="D343" s="12" t="s">
        <v>1</v>
      </c>
      <c r="E343" s="12" t="s">
        <v>1185</v>
      </c>
      <c r="F343" s="12" t="s">
        <v>87</v>
      </c>
      <c r="G343" s="12" t="s">
        <v>113</v>
      </c>
      <c r="H343" s="12" t="s">
        <v>96</v>
      </c>
      <c r="I343" s="12" t="s">
        <v>89</v>
      </c>
      <c r="J343" s="11" t="s">
        <v>205</v>
      </c>
      <c r="K343" s="11" t="s">
        <v>205</v>
      </c>
      <c r="L343" s="11" t="s">
        <v>1199</v>
      </c>
      <c r="M343" s="11" t="s">
        <v>206</v>
      </c>
      <c r="N343" s="58">
        <v>56730.3</v>
      </c>
      <c r="O343" s="59"/>
      <c r="P343" s="12" t="s">
        <v>415</v>
      </c>
      <c r="Q343" s="12" t="s">
        <v>4</v>
      </c>
      <c r="R343" s="12" t="s">
        <v>13</v>
      </c>
      <c r="S343" s="12" t="s">
        <v>25</v>
      </c>
      <c r="T343" s="12">
        <v>1</v>
      </c>
      <c r="U343" s="13">
        <v>44028</v>
      </c>
      <c r="V343" s="12" t="s">
        <v>416</v>
      </c>
      <c r="W343" s="12" t="s">
        <v>92</v>
      </c>
      <c r="X343" s="12" t="s">
        <v>93</v>
      </c>
      <c r="Y343" s="13"/>
      <c r="Z343" s="75"/>
    </row>
    <row r="344" spans="1:26" s="20" customFormat="1" hidden="1" x14ac:dyDescent="0.3">
      <c r="A344" s="12" t="s">
        <v>85</v>
      </c>
      <c r="B344" s="12">
        <v>15171</v>
      </c>
      <c r="C344" s="11" t="s">
        <v>130</v>
      </c>
      <c r="D344" s="12" t="s">
        <v>417</v>
      </c>
      <c r="E344" s="12" t="s">
        <v>1179</v>
      </c>
      <c r="F344" s="12" t="s">
        <v>87</v>
      </c>
      <c r="G344" s="12" t="s">
        <v>113</v>
      </c>
      <c r="H344" s="12" t="s">
        <v>96</v>
      </c>
      <c r="I344" s="12" t="s">
        <v>89</v>
      </c>
      <c r="J344" s="11" t="s">
        <v>418</v>
      </c>
      <c r="K344" s="11" t="s">
        <v>418</v>
      </c>
      <c r="L344" s="11"/>
      <c r="M344" s="11" t="s">
        <v>419</v>
      </c>
      <c r="N344" s="58">
        <v>567.88</v>
      </c>
      <c r="O344" s="59">
        <v>351.86</v>
      </c>
      <c r="P344" s="12" t="s">
        <v>420</v>
      </c>
      <c r="Q344" s="12" t="s">
        <v>4</v>
      </c>
      <c r="R344" s="12" t="s">
        <v>16</v>
      </c>
      <c r="S344" s="12" t="s">
        <v>26</v>
      </c>
      <c r="T344" s="12">
        <v>1</v>
      </c>
      <c r="U344" s="13">
        <v>43725</v>
      </c>
      <c r="V344" s="12" t="s">
        <v>324</v>
      </c>
      <c r="W344" s="12" t="s">
        <v>92</v>
      </c>
      <c r="X344" s="12" t="s">
        <v>93</v>
      </c>
      <c r="Y344" s="13"/>
      <c r="Z344" s="75"/>
    </row>
    <row r="345" spans="1:26" s="20" customFormat="1" hidden="1" x14ac:dyDescent="0.3">
      <c r="A345" s="12" t="s">
        <v>85</v>
      </c>
      <c r="B345" s="12">
        <v>15171</v>
      </c>
      <c r="C345" s="11" t="s">
        <v>130</v>
      </c>
      <c r="D345" s="12" t="s">
        <v>417</v>
      </c>
      <c r="E345" s="12" t="s">
        <v>1179</v>
      </c>
      <c r="F345" s="12" t="s">
        <v>87</v>
      </c>
      <c r="G345" s="12" t="s">
        <v>113</v>
      </c>
      <c r="H345" s="12" t="s">
        <v>96</v>
      </c>
      <c r="I345" s="12" t="s">
        <v>89</v>
      </c>
      <c r="J345" s="11" t="s">
        <v>418</v>
      </c>
      <c r="K345" s="11" t="s">
        <v>418</v>
      </c>
      <c r="L345" s="11"/>
      <c r="M345" s="11" t="s">
        <v>419</v>
      </c>
      <c r="N345" s="58">
        <v>567.88</v>
      </c>
      <c r="O345" s="59">
        <v>351.86</v>
      </c>
      <c r="P345" s="12" t="s">
        <v>420</v>
      </c>
      <c r="Q345" s="12" t="s">
        <v>4</v>
      </c>
      <c r="R345" s="12" t="s">
        <v>16</v>
      </c>
      <c r="S345" s="12" t="s">
        <v>26</v>
      </c>
      <c r="T345" s="12">
        <v>1</v>
      </c>
      <c r="U345" s="13">
        <v>43814</v>
      </c>
      <c r="V345" s="12" t="s">
        <v>421</v>
      </c>
      <c r="W345" s="12" t="s">
        <v>92</v>
      </c>
      <c r="X345" s="12" t="s">
        <v>93</v>
      </c>
      <c r="Y345" s="13"/>
      <c r="Z345" s="75"/>
    </row>
    <row r="346" spans="1:26" s="20" customFormat="1" hidden="1" x14ac:dyDescent="0.3">
      <c r="A346" s="12" t="s">
        <v>85</v>
      </c>
      <c r="B346" s="12">
        <v>15171</v>
      </c>
      <c r="C346" s="11" t="s">
        <v>130</v>
      </c>
      <c r="D346" s="12" t="s">
        <v>417</v>
      </c>
      <c r="E346" s="12" t="s">
        <v>1179</v>
      </c>
      <c r="F346" s="12" t="s">
        <v>87</v>
      </c>
      <c r="G346" s="12" t="s">
        <v>113</v>
      </c>
      <c r="H346" s="12" t="s">
        <v>96</v>
      </c>
      <c r="I346" s="12" t="s">
        <v>89</v>
      </c>
      <c r="J346" s="11" t="s">
        <v>418</v>
      </c>
      <c r="K346" s="11" t="s">
        <v>418</v>
      </c>
      <c r="L346" s="11"/>
      <c r="M346" s="11" t="s">
        <v>419</v>
      </c>
      <c r="N346" s="58">
        <v>567.88</v>
      </c>
      <c r="O346" s="59">
        <v>351.86</v>
      </c>
      <c r="P346" s="12" t="s">
        <v>420</v>
      </c>
      <c r="Q346" s="12" t="s">
        <v>4</v>
      </c>
      <c r="R346" s="12" t="s">
        <v>16</v>
      </c>
      <c r="S346" s="12" t="s">
        <v>26</v>
      </c>
      <c r="T346" s="12">
        <v>1</v>
      </c>
      <c r="U346" s="13">
        <v>43847</v>
      </c>
      <c r="V346" s="12" t="s">
        <v>422</v>
      </c>
      <c r="W346" s="12" t="s">
        <v>92</v>
      </c>
      <c r="X346" s="12" t="s">
        <v>93</v>
      </c>
      <c r="Y346" s="13"/>
      <c r="Z346" s="75"/>
    </row>
    <row r="347" spans="1:26" s="20" customFormat="1" hidden="1" x14ac:dyDescent="0.3">
      <c r="A347" s="12" t="s">
        <v>85</v>
      </c>
      <c r="B347" s="12">
        <v>15171</v>
      </c>
      <c r="C347" s="11" t="s">
        <v>130</v>
      </c>
      <c r="D347" s="12" t="s">
        <v>417</v>
      </c>
      <c r="E347" s="12" t="s">
        <v>1179</v>
      </c>
      <c r="F347" s="12" t="s">
        <v>87</v>
      </c>
      <c r="G347" s="12" t="s">
        <v>113</v>
      </c>
      <c r="H347" s="12" t="s">
        <v>96</v>
      </c>
      <c r="I347" s="12" t="s">
        <v>89</v>
      </c>
      <c r="J347" s="11" t="s">
        <v>418</v>
      </c>
      <c r="K347" s="11" t="s">
        <v>418</v>
      </c>
      <c r="L347" s="11"/>
      <c r="M347" s="11" t="s">
        <v>419</v>
      </c>
      <c r="N347" s="58">
        <v>567.88</v>
      </c>
      <c r="O347" s="59">
        <v>351.86</v>
      </c>
      <c r="P347" s="12" t="s">
        <v>420</v>
      </c>
      <c r="Q347" s="12" t="s">
        <v>4</v>
      </c>
      <c r="R347" s="12" t="s">
        <v>16</v>
      </c>
      <c r="S347" s="12" t="s">
        <v>26</v>
      </c>
      <c r="T347" s="12">
        <v>1</v>
      </c>
      <c r="U347" s="13">
        <v>43879</v>
      </c>
      <c r="V347" s="12" t="s">
        <v>423</v>
      </c>
      <c r="W347" s="12" t="s">
        <v>92</v>
      </c>
      <c r="X347" s="12" t="s">
        <v>93</v>
      </c>
      <c r="Y347" s="13"/>
      <c r="Z347" s="75"/>
    </row>
    <row r="348" spans="1:26" s="20" customFormat="1" hidden="1" x14ac:dyDescent="0.3">
      <c r="A348" s="12" t="s">
        <v>85</v>
      </c>
      <c r="B348" s="12">
        <v>15171</v>
      </c>
      <c r="C348" s="11" t="s">
        <v>130</v>
      </c>
      <c r="D348" s="12" t="s">
        <v>417</v>
      </c>
      <c r="E348" s="12" t="s">
        <v>1179</v>
      </c>
      <c r="F348" s="12" t="s">
        <v>87</v>
      </c>
      <c r="G348" s="12" t="s">
        <v>113</v>
      </c>
      <c r="H348" s="12" t="s">
        <v>96</v>
      </c>
      <c r="I348" s="12" t="s">
        <v>89</v>
      </c>
      <c r="J348" s="11" t="s">
        <v>418</v>
      </c>
      <c r="K348" s="11" t="s">
        <v>418</v>
      </c>
      <c r="L348" s="11"/>
      <c r="M348" s="11" t="s">
        <v>419</v>
      </c>
      <c r="N348" s="58">
        <v>567.88</v>
      </c>
      <c r="O348" s="59">
        <v>351.86</v>
      </c>
      <c r="P348" s="12" t="s">
        <v>420</v>
      </c>
      <c r="Q348" s="12" t="s">
        <v>4</v>
      </c>
      <c r="R348" s="12" t="s">
        <v>13</v>
      </c>
      <c r="S348" s="12" t="s">
        <v>25</v>
      </c>
      <c r="T348" s="12">
        <v>1</v>
      </c>
      <c r="U348" s="13">
        <v>44028</v>
      </c>
      <c r="V348" s="12" t="s">
        <v>94</v>
      </c>
      <c r="W348" s="12" t="s">
        <v>92</v>
      </c>
      <c r="X348" s="12" t="s">
        <v>93</v>
      </c>
      <c r="Y348" s="13"/>
      <c r="Z348" s="75"/>
    </row>
    <row r="349" spans="1:26" s="20" customFormat="1" hidden="1" x14ac:dyDescent="0.3">
      <c r="A349" s="12" t="s">
        <v>85</v>
      </c>
      <c r="B349" s="12">
        <v>15171</v>
      </c>
      <c r="C349" s="11" t="s">
        <v>130</v>
      </c>
      <c r="D349" s="12" t="s">
        <v>417</v>
      </c>
      <c r="E349" s="12" t="s">
        <v>1179</v>
      </c>
      <c r="F349" s="12" t="s">
        <v>87</v>
      </c>
      <c r="G349" s="12" t="s">
        <v>113</v>
      </c>
      <c r="H349" s="12" t="s">
        <v>96</v>
      </c>
      <c r="I349" s="12" t="s">
        <v>89</v>
      </c>
      <c r="J349" s="11" t="s">
        <v>418</v>
      </c>
      <c r="K349" s="11" t="s">
        <v>418</v>
      </c>
      <c r="L349" s="11"/>
      <c r="M349" s="11" t="s">
        <v>419</v>
      </c>
      <c r="N349" s="58">
        <v>567.88</v>
      </c>
      <c r="O349" s="59">
        <v>351.86</v>
      </c>
      <c r="P349" s="12" t="s">
        <v>420</v>
      </c>
      <c r="Q349" s="12" t="s">
        <v>4</v>
      </c>
      <c r="R349" s="12" t="s">
        <v>13</v>
      </c>
      <c r="S349" s="12" t="s">
        <v>25</v>
      </c>
      <c r="T349" s="12">
        <v>1</v>
      </c>
      <c r="U349" s="13">
        <v>43906</v>
      </c>
      <c r="V349" s="12" t="s">
        <v>424</v>
      </c>
      <c r="W349" s="12" t="s">
        <v>92</v>
      </c>
      <c r="X349" s="12" t="s">
        <v>93</v>
      </c>
      <c r="Y349" s="13"/>
      <c r="Z349" s="75"/>
    </row>
    <row r="350" spans="1:26" s="20" customFormat="1" hidden="1" x14ac:dyDescent="0.3">
      <c r="A350" s="12" t="s">
        <v>85</v>
      </c>
      <c r="B350" s="12">
        <v>15171</v>
      </c>
      <c r="C350" s="11" t="s">
        <v>130</v>
      </c>
      <c r="D350" s="12" t="s">
        <v>417</v>
      </c>
      <c r="E350" s="12" t="s">
        <v>1179</v>
      </c>
      <c r="F350" s="12" t="s">
        <v>87</v>
      </c>
      <c r="G350" s="12" t="s">
        <v>113</v>
      </c>
      <c r="H350" s="12" t="s">
        <v>96</v>
      </c>
      <c r="I350" s="12" t="s">
        <v>89</v>
      </c>
      <c r="J350" s="11" t="s">
        <v>418</v>
      </c>
      <c r="K350" s="11" t="s">
        <v>418</v>
      </c>
      <c r="L350" s="11"/>
      <c r="M350" s="11" t="s">
        <v>419</v>
      </c>
      <c r="N350" s="58">
        <v>567.88</v>
      </c>
      <c r="O350" s="59">
        <v>351.86</v>
      </c>
      <c r="P350" s="12" t="s">
        <v>420</v>
      </c>
      <c r="Q350" s="12" t="s">
        <v>4</v>
      </c>
      <c r="R350" s="12" t="s">
        <v>16</v>
      </c>
      <c r="S350" s="12" t="s">
        <v>26</v>
      </c>
      <c r="T350" s="12">
        <v>1</v>
      </c>
      <c r="U350" s="13">
        <v>43962</v>
      </c>
      <c r="V350" s="12" t="s">
        <v>425</v>
      </c>
      <c r="W350" s="12" t="s">
        <v>92</v>
      </c>
      <c r="X350" s="12" t="s">
        <v>93</v>
      </c>
      <c r="Y350" s="13"/>
      <c r="Z350" s="75"/>
    </row>
    <row r="351" spans="1:26" s="20" customFormat="1" hidden="1" x14ac:dyDescent="0.3">
      <c r="A351" s="12" t="s">
        <v>85</v>
      </c>
      <c r="B351" s="12">
        <v>15171</v>
      </c>
      <c r="C351" s="11" t="s">
        <v>130</v>
      </c>
      <c r="D351" s="12" t="s">
        <v>417</v>
      </c>
      <c r="E351" s="12" t="s">
        <v>1179</v>
      </c>
      <c r="F351" s="12" t="s">
        <v>87</v>
      </c>
      <c r="G351" s="12" t="s">
        <v>113</v>
      </c>
      <c r="H351" s="12" t="s">
        <v>96</v>
      </c>
      <c r="I351" s="12" t="s">
        <v>89</v>
      </c>
      <c r="J351" s="11" t="s">
        <v>418</v>
      </c>
      <c r="K351" s="11" t="s">
        <v>418</v>
      </c>
      <c r="L351" s="11"/>
      <c r="M351" s="11" t="s">
        <v>419</v>
      </c>
      <c r="N351" s="58">
        <v>567.88</v>
      </c>
      <c r="O351" s="59">
        <v>351.86</v>
      </c>
      <c r="P351" s="12" t="s">
        <v>420</v>
      </c>
      <c r="Q351" s="12" t="s">
        <v>4</v>
      </c>
      <c r="R351" s="12" t="s">
        <v>16</v>
      </c>
      <c r="S351" s="12" t="s">
        <v>26</v>
      </c>
      <c r="T351" s="12">
        <v>1</v>
      </c>
      <c r="U351" s="13">
        <v>43998</v>
      </c>
      <c r="V351" s="12" t="s">
        <v>426</v>
      </c>
      <c r="W351" s="12" t="s">
        <v>92</v>
      </c>
      <c r="X351" s="12" t="s">
        <v>93</v>
      </c>
      <c r="Y351" s="13"/>
      <c r="Z351" s="75"/>
    </row>
    <row r="352" spans="1:26" s="20" customFormat="1" hidden="1" x14ac:dyDescent="0.3">
      <c r="A352" s="12" t="s">
        <v>85</v>
      </c>
      <c r="B352" s="12">
        <v>15171</v>
      </c>
      <c r="C352" s="11" t="s">
        <v>130</v>
      </c>
      <c r="D352" s="12" t="s">
        <v>417</v>
      </c>
      <c r="E352" s="12" t="s">
        <v>1179</v>
      </c>
      <c r="F352" s="12" t="s">
        <v>87</v>
      </c>
      <c r="G352" s="12" t="s">
        <v>113</v>
      </c>
      <c r="H352" s="12" t="s">
        <v>96</v>
      </c>
      <c r="I352" s="12" t="s">
        <v>89</v>
      </c>
      <c r="J352" s="11" t="s">
        <v>418</v>
      </c>
      <c r="K352" s="11" t="s">
        <v>418</v>
      </c>
      <c r="L352" s="11"/>
      <c r="M352" s="11" t="s">
        <v>419</v>
      </c>
      <c r="N352" s="58">
        <v>567.88</v>
      </c>
      <c r="O352" s="59">
        <v>351.86</v>
      </c>
      <c r="P352" s="12" t="s">
        <v>420</v>
      </c>
      <c r="Q352" s="12" t="s">
        <v>4</v>
      </c>
      <c r="R352" s="12" t="s">
        <v>16</v>
      </c>
      <c r="S352" s="12" t="s">
        <v>26</v>
      </c>
      <c r="T352" s="12">
        <v>1</v>
      </c>
      <c r="U352" s="13">
        <v>44028</v>
      </c>
      <c r="V352" s="12" t="s">
        <v>427</v>
      </c>
      <c r="W352" s="12" t="s">
        <v>92</v>
      </c>
      <c r="X352" s="12" t="s">
        <v>93</v>
      </c>
      <c r="Y352" s="13"/>
      <c r="Z352" s="75"/>
    </row>
    <row r="353" spans="1:26" s="20" customFormat="1" hidden="1" x14ac:dyDescent="0.3">
      <c r="A353" s="12" t="s">
        <v>85</v>
      </c>
      <c r="B353" s="12">
        <v>15224</v>
      </c>
      <c r="C353" s="11" t="s">
        <v>95</v>
      </c>
      <c r="D353" s="12" t="s">
        <v>1</v>
      </c>
      <c r="E353" s="12" t="s">
        <v>1185</v>
      </c>
      <c r="F353" s="12" t="s">
        <v>87</v>
      </c>
      <c r="G353" s="12" t="s">
        <v>113</v>
      </c>
      <c r="H353" s="12" t="s">
        <v>96</v>
      </c>
      <c r="I353" s="12" t="s">
        <v>89</v>
      </c>
      <c r="J353" s="11" t="s">
        <v>293</v>
      </c>
      <c r="K353" s="11" t="s">
        <v>293</v>
      </c>
      <c r="L353" s="11" t="s">
        <v>1202</v>
      </c>
      <c r="M353" s="11" t="s">
        <v>294</v>
      </c>
      <c r="N353" s="58">
        <v>660</v>
      </c>
      <c r="O353" s="59"/>
      <c r="P353" s="12"/>
      <c r="Q353" s="12" t="s">
        <v>12</v>
      </c>
      <c r="R353" s="12" t="s">
        <v>99</v>
      </c>
      <c r="S353" s="12" t="s">
        <v>99</v>
      </c>
      <c r="T353" s="12">
        <v>1</v>
      </c>
      <c r="U353" s="13"/>
      <c r="V353" s="12" t="s">
        <v>428</v>
      </c>
      <c r="W353" s="12" t="s">
        <v>92</v>
      </c>
      <c r="X353" s="12" t="s">
        <v>93</v>
      </c>
      <c r="Y353" s="13">
        <v>44000</v>
      </c>
      <c r="Z353" s="75"/>
    </row>
    <row r="354" spans="1:26" s="20" customFormat="1" hidden="1" x14ac:dyDescent="0.3">
      <c r="A354" s="12" t="s">
        <v>85</v>
      </c>
      <c r="B354" s="12">
        <v>16022</v>
      </c>
      <c r="C354" s="11" t="s">
        <v>117</v>
      </c>
      <c r="D354" s="12" t="s">
        <v>1</v>
      </c>
      <c r="E354" s="12" t="s">
        <v>1185</v>
      </c>
      <c r="F354" s="12" t="s">
        <v>87</v>
      </c>
      <c r="G354" s="12" t="s">
        <v>113</v>
      </c>
      <c r="H354" s="12" t="s">
        <v>118</v>
      </c>
      <c r="I354" s="12" t="s">
        <v>119</v>
      </c>
      <c r="J354" s="11" t="s">
        <v>1268</v>
      </c>
      <c r="K354" s="11" t="s">
        <v>1237</v>
      </c>
      <c r="L354" s="11" t="s">
        <v>1199</v>
      </c>
      <c r="M354" s="11" t="s">
        <v>429</v>
      </c>
      <c r="N354" s="57">
        <v>30000</v>
      </c>
      <c r="O354" s="59"/>
      <c r="P354" s="12" t="s">
        <v>430</v>
      </c>
      <c r="Q354" s="12" t="s">
        <v>4</v>
      </c>
      <c r="R354" s="12" t="s">
        <v>13</v>
      </c>
      <c r="S354" s="12" t="s">
        <v>25</v>
      </c>
      <c r="T354" s="12">
        <v>1</v>
      </c>
      <c r="U354" s="13">
        <v>44028</v>
      </c>
      <c r="V354" s="12" t="s">
        <v>94</v>
      </c>
      <c r="W354" s="12" t="s">
        <v>92</v>
      </c>
      <c r="X354" s="12" t="s">
        <v>93</v>
      </c>
      <c r="Y354" s="13"/>
      <c r="Z354" s="75"/>
    </row>
    <row r="355" spans="1:26" s="20" customFormat="1" hidden="1" x14ac:dyDescent="0.3">
      <c r="A355" s="12" t="s">
        <v>85</v>
      </c>
      <c r="B355" s="12">
        <v>16267</v>
      </c>
      <c r="C355" s="11" t="s">
        <v>431</v>
      </c>
      <c r="D355" s="12" t="s">
        <v>417</v>
      </c>
      <c r="E355" s="12" t="s">
        <v>1180</v>
      </c>
      <c r="F355" s="12" t="s">
        <v>113</v>
      </c>
      <c r="G355" s="12" t="s">
        <v>113</v>
      </c>
      <c r="H355" s="12" t="s">
        <v>432</v>
      </c>
      <c r="I355" s="12" t="s">
        <v>433</v>
      </c>
      <c r="J355" s="11" t="s">
        <v>434</v>
      </c>
      <c r="K355" s="11" t="s">
        <v>434</v>
      </c>
      <c r="L355" s="11" t="s">
        <v>1222</v>
      </c>
      <c r="M355" s="11" t="s">
        <v>435</v>
      </c>
      <c r="N355" s="58">
        <v>336</v>
      </c>
      <c r="O355" s="59"/>
      <c r="P355" s="12" t="s">
        <v>91</v>
      </c>
      <c r="Q355" s="12" t="s">
        <v>4</v>
      </c>
      <c r="R355" s="12" t="s">
        <v>15</v>
      </c>
      <c r="S355" s="12" t="s">
        <v>48</v>
      </c>
      <c r="T355" s="12">
        <v>0</v>
      </c>
      <c r="U355" s="13"/>
      <c r="V355" s="12" t="s">
        <v>92</v>
      </c>
      <c r="W355" s="12" t="s">
        <v>92</v>
      </c>
      <c r="X355" s="12" t="s">
        <v>105</v>
      </c>
      <c r="Y355" s="13"/>
      <c r="Z355" s="13" t="s">
        <v>436</v>
      </c>
    </row>
    <row r="356" spans="1:26" s="20" customFormat="1" hidden="1" x14ac:dyDescent="0.3">
      <c r="A356" s="12" t="s">
        <v>85</v>
      </c>
      <c r="B356" s="12">
        <v>16272</v>
      </c>
      <c r="C356" s="11" t="s">
        <v>431</v>
      </c>
      <c r="D356" s="12" t="s">
        <v>417</v>
      </c>
      <c r="E356" s="12" t="s">
        <v>1180</v>
      </c>
      <c r="F356" s="12" t="s">
        <v>113</v>
      </c>
      <c r="G356" s="12" t="s">
        <v>113</v>
      </c>
      <c r="H356" s="12" t="s">
        <v>432</v>
      </c>
      <c r="I356" s="12" t="s">
        <v>433</v>
      </c>
      <c r="J356" s="11" t="s">
        <v>437</v>
      </c>
      <c r="K356" s="11" t="s">
        <v>437</v>
      </c>
      <c r="L356" s="11" t="s">
        <v>1222</v>
      </c>
      <c r="M356" s="11" t="s">
        <v>435</v>
      </c>
      <c r="N356" s="58">
        <v>336</v>
      </c>
      <c r="O356" s="59"/>
      <c r="P356" s="12" t="s">
        <v>91</v>
      </c>
      <c r="Q356" s="12" t="s">
        <v>4</v>
      </c>
      <c r="R356" s="12" t="s">
        <v>15</v>
      </c>
      <c r="S356" s="12" t="s">
        <v>48</v>
      </c>
      <c r="T356" s="12">
        <v>0</v>
      </c>
      <c r="U356" s="13"/>
      <c r="V356" s="12" t="s">
        <v>92</v>
      </c>
      <c r="W356" s="12" t="s">
        <v>92</v>
      </c>
      <c r="X356" s="12" t="s">
        <v>105</v>
      </c>
      <c r="Y356" s="13"/>
      <c r="Z356" s="13" t="s">
        <v>436</v>
      </c>
    </row>
    <row r="357" spans="1:26" s="20" customFormat="1" hidden="1" x14ac:dyDescent="0.3">
      <c r="A357" s="12" t="s">
        <v>85</v>
      </c>
      <c r="B357" s="12">
        <v>16310</v>
      </c>
      <c r="C357" s="11" t="s">
        <v>431</v>
      </c>
      <c r="D357" s="12" t="s">
        <v>417</v>
      </c>
      <c r="E357" s="12" t="s">
        <v>1180</v>
      </c>
      <c r="F357" s="12" t="s">
        <v>113</v>
      </c>
      <c r="G357" s="12" t="s">
        <v>113</v>
      </c>
      <c r="H357" s="12" t="s">
        <v>432</v>
      </c>
      <c r="I357" s="12" t="s">
        <v>433</v>
      </c>
      <c r="J357" s="11" t="s">
        <v>438</v>
      </c>
      <c r="K357" s="11" t="s">
        <v>438</v>
      </c>
      <c r="L357" s="11" t="s">
        <v>1222</v>
      </c>
      <c r="M357" s="11" t="s">
        <v>435</v>
      </c>
      <c r="N357" s="58">
        <v>336</v>
      </c>
      <c r="O357" s="59"/>
      <c r="P357" s="12" t="s">
        <v>91</v>
      </c>
      <c r="Q357" s="12" t="s">
        <v>4</v>
      </c>
      <c r="R357" s="12" t="s">
        <v>15</v>
      </c>
      <c r="S357" s="12" t="s">
        <v>48</v>
      </c>
      <c r="T357" s="12">
        <v>0</v>
      </c>
      <c r="U357" s="13"/>
      <c r="V357" s="12" t="s">
        <v>92</v>
      </c>
      <c r="W357" s="12" t="s">
        <v>92</v>
      </c>
      <c r="X357" s="12" t="s">
        <v>105</v>
      </c>
      <c r="Y357" s="13"/>
      <c r="Z357" s="13" t="s">
        <v>436</v>
      </c>
    </row>
    <row r="358" spans="1:26" s="20" customFormat="1" hidden="1" x14ac:dyDescent="0.3">
      <c r="A358" s="12" t="s">
        <v>85</v>
      </c>
      <c r="B358" s="12">
        <v>16311</v>
      </c>
      <c r="C358" s="11" t="s">
        <v>431</v>
      </c>
      <c r="D358" s="12" t="s">
        <v>417</v>
      </c>
      <c r="E358" s="12" t="s">
        <v>1180</v>
      </c>
      <c r="F358" s="12" t="s">
        <v>113</v>
      </c>
      <c r="G358" s="12" t="s">
        <v>113</v>
      </c>
      <c r="H358" s="12" t="s">
        <v>432</v>
      </c>
      <c r="I358" s="12" t="s">
        <v>433</v>
      </c>
      <c r="J358" s="11" t="s">
        <v>439</v>
      </c>
      <c r="K358" s="11" t="s">
        <v>439</v>
      </c>
      <c r="L358" s="11" t="s">
        <v>1222</v>
      </c>
      <c r="M358" s="11" t="s">
        <v>435</v>
      </c>
      <c r="N358" s="58">
        <v>336</v>
      </c>
      <c r="O358" s="59"/>
      <c r="P358" s="12" t="s">
        <v>91</v>
      </c>
      <c r="Q358" s="12" t="s">
        <v>4</v>
      </c>
      <c r="R358" s="12" t="s">
        <v>15</v>
      </c>
      <c r="S358" s="12" t="s">
        <v>48</v>
      </c>
      <c r="T358" s="12">
        <v>0</v>
      </c>
      <c r="U358" s="13"/>
      <c r="V358" s="12" t="s">
        <v>92</v>
      </c>
      <c r="W358" s="12" t="s">
        <v>92</v>
      </c>
      <c r="X358" s="12" t="s">
        <v>105</v>
      </c>
      <c r="Y358" s="13"/>
      <c r="Z358" s="13" t="s">
        <v>436</v>
      </c>
    </row>
    <row r="359" spans="1:26" s="20" customFormat="1" hidden="1" x14ac:dyDescent="0.3">
      <c r="A359" s="12" t="s">
        <v>85</v>
      </c>
      <c r="B359" s="12">
        <v>16316</v>
      </c>
      <c r="C359" s="11" t="s">
        <v>431</v>
      </c>
      <c r="D359" s="12" t="s">
        <v>417</v>
      </c>
      <c r="E359" s="12" t="s">
        <v>1180</v>
      </c>
      <c r="F359" s="12" t="s">
        <v>113</v>
      </c>
      <c r="G359" s="12" t="s">
        <v>113</v>
      </c>
      <c r="H359" s="12" t="s">
        <v>432</v>
      </c>
      <c r="I359" s="12" t="s">
        <v>433</v>
      </c>
      <c r="J359" s="11" t="s">
        <v>440</v>
      </c>
      <c r="K359" s="11" t="s">
        <v>440</v>
      </c>
      <c r="L359" s="11" t="s">
        <v>1222</v>
      </c>
      <c r="M359" s="11" t="s">
        <v>435</v>
      </c>
      <c r="N359" s="58">
        <v>336</v>
      </c>
      <c r="O359" s="59"/>
      <c r="P359" s="12" t="s">
        <v>91</v>
      </c>
      <c r="Q359" s="12" t="s">
        <v>4</v>
      </c>
      <c r="R359" s="12" t="s">
        <v>15</v>
      </c>
      <c r="S359" s="12" t="s">
        <v>48</v>
      </c>
      <c r="T359" s="12">
        <v>0</v>
      </c>
      <c r="U359" s="13"/>
      <c r="V359" s="12" t="s">
        <v>92</v>
      </c>
      <c r="W359" s="12" t="s">
        <v>92</v>
      </c>
      <c r="X359" s="12" t="s">
        <v>105</v>
      </c>
      <c r="Y359" s="13"/>
      <c r="Z359" s="13" t="s">
        <v>436</v>
      </c>
    </row>
    <row r="360" spans="1:26" s="20" customFormat="1" hidden="1" x14ac:dyDescent="0.3">
      <c r="A360" s="12" t="s">
        <v>85</v>
      </c>
      <c r="B360" s="12">
        <v>16319</v>
      </c>
      <c r="C360" s="11" t="s">
        <v>431</v>
      </c>
      <c r="D360" s="12" t="s">
        <v>417</v>
      </c>
      <c r="E360" s="12" t="s">
        <v>1180</v>
      </c>
      <c r="F360" s="12" t="s">
        <v>113</v>
      </c>
      <c r="G360" s="12" t="s">
        <v>113</v>
      </c>
      <c r="H360" s="12" t="s">
        <v>432</v>
      </c>
      <c r="I360" s="12" t="s">
        <v>433</v>
      </c>
      <c r="J360" s="11" t="s">
        <v>441</v>
      </c>
      <c r="K360" s="11" t="s">
        <v>441</v>
      </c>
      <c r="L360" s="11" t="s">
        <v>1222</v>
      </c>
      <c r="M360" s="11" t="s">
        <v>435</v>
      </c>
      <c r="N360" s="58">
        <v>336</v>
      </c>
      <c r="O360" s="59"/>
      <c r="P360" s="12" t="s">
        <v>91</v>
      </c>
      <c r="Q360" s="12" t="s">
        <v>4</v>
      </c>
      <c r="R360" s="12" t="s">
        <v>15</v>
      </c>
      <c r="S360" s="12" t="s">
        <v>48</v>
      </c>
      <c r="T360" s="12">
        <v>0</v>
      </c>
      <c r="U360" s="13"/>
      <c r="V360" s="12" t="s">
        <v>92</v>
      </c>
      <c r="W360" s="12" t="s">
        <v>92</v>
      </c>
      <c r="X360" s="12" t="s">
        <v>105</v>
      </c>
      <c r="Y360" s="13"/>
      <c r="Z360" s="13" t="s">
        <v>436</v>
      </c>
    </row>
    <row r="361" spans="1:26" s="20" customFormat="1" hidden="1" x14ac:dyDescent="0.3">
      <c r="A361" s="12" t="s">
        <v>85</v>
      </c>
      <c r="B361" s="12">
        <v>16324</v>
      </c>
      <c r="C361" s="11" t="s">
        <v>431</v>
      </c>
      <c r="D361" s="12" t="s">
        <v>417</v>
      </c>
      <c r="E361" s="12" t="s">
        <v>1180</v>
      </c>
      <c r="F361" s="12" t="s">
        <v>113</v>
      </c>
      <c r="G361" s="12" t="s">
        <v>113</v>
      </c>
      <c r="H361" s="12" t="s">
        <v>432</v>
      </c>
      <c r="I361" s="12" t="s">
        <v>433</v>
      </c>
      <c r="J361" s="11" t="s">
        <v>442</v>
      </c>
      <c r="K361" s="11" t="s">
        <v>442</v>
      </c>
      <c r="L361" s="11" t="s">
        <v>1222</v>
      </c>
      <c r="M361" s="11" t="s">
        <v>443</v>
      </c>
      <c r="N361" s="58">
        <v>336</v>
      </c>
      <c r="O361" s="59"/>
      <c r="P361" s="12" t="s">
        <v>91</v>
      </c>
      <c r="Q361" s="12" t="s">
        <v>4</v>
      </c>
      <c r="R361" s="12" t="s">
        <v>15</v>
      </c>
      <c r="S361" s="12" t="s">
        <v>48</v>
      </c>
      <c r="T361" s="12">
        <v>0</v>
      </c>
      <c r="U361" s="13"/>
      <c r="V361" s="12" t="s">
        <v>92</v>
      </c>
      <c r="W361" s="12" t="s">
        <v>92</v>
      </c>
      <c r="X361" s="12" t="s">
        <v>105</v>
      </c>
      <c r="Y361" s="13"/>
      <c r="Z361" s="13" t="s">
        <v>436</v>
      </c>
    </row>
    <row r="362" spans="1:26" s="20" customFormat="1" hidden="1" x14ac:dyDescent="0.3">
      <c r="A362" s="12" t="s">
        <v>85</v>
      </c>
      <c r="B362" s="12">
        <v>16327</v>
      </c>
      <c r="C362" s="11" t="s">
        <v>431</v>
      </c>
      <c r="D362" s="12" t="s">
        <v>417</v>
      </c>
      <c r="E362" s="12" t="s">
        <v>1180</v>
      </c>
      <c r="F362" s="12" t="s">
        <v>113</v>
      </c>
      <c r="G362" s="12" t="s">
        <v>113</v>
      </c>
      <c r="H362" s="12" t="s">
        <v>432</v>
      </c>
      <c r="I362" s="12" t="s">
        <v>433</v>
      </c>
      <c r="J362" s="11" t="s">
        <v>444</v>
      </c>
      <c r="K362" s="11" t="s">
        <v>444</v>
      </c>
      <c r="L362" s="11" t="s">
        <v>1222</v>
      </c>
      <c r="M362" s="11" t="s">
        <v>443</v>
      </c>
      <c r="N362" s="58">
        <v>336</v>
      </c>
      <c r="O362" s="59"/>
      <c r="P362" s="12" t="s">
        <v>91</v>
      </c>
      <c r="Q362" s="12" t="s">
        <v>4</v>
      </c>
      <c r="R362" s="12" t="s">
        <v>15</v>
      </c>
      <c r="S362" s="12" t="s">
        <v>48</v>
      </c>
      <c r="T362" s="12">
        <v>0</v>
      </c>
      <c r="U362" s="13"/>
      <c r="V362" s="12" t="s">
        <v>92</v>
      </c>
      <c r="W362" s="12" t="s">
        <v>92</v>
      </c>
      <c r="X362" s="12" t="s">
        <v>105</v>
      </c>
      <c r="Y362" s="13"/>
      <c r="Z362" s="13" t="s">
        <v>436</v>
      </c>
    </row>
    <row r="363" spans="1:26" s="20" customFormat="1" hidden="1" x14ac:dyDescent="0.3">
      <c r="A363" s="12" t="s">
        <v>85</v>
      </c>
      <c r="B363" s="12">
        <v>16328</v>
      </c>
      <c r="C363" s="11" t="s">
        <v>431</v>
      </c>
      <c r="D363" s="12" t="s">
        <v>417</v>
      </c>
      <c r="E363" s="12" t="s">
        <v>1180</v>
      </c>
      <c r="F363" s="12" t="s">
        <v>113</v>
      </c>
      <c r="G363" s="12" t="s">
        <v>113</v>
      </c>
      <c r="H363" s="12" t="s">
        <v>432</v>
      </c>
      <c r="I363" s="12" t="s">
        <v>433</v>
      </c>
      <c r="J363" s="11" t="s">
        <v>445</v>
      </c>
      <c r="K363" s="11" t="s">
        <v>445</v>
      </c>
      <c r="L363" s="11" t="s">
        <v>1222</v>
      </c>
      <c r="M363" s="11" t="s">
        <v>443</v>
      </c>
      <c r="N363" s="58">
        <v>336</v>
      </c>
      <c r="O363" s="59"/>
      <c r="P363" s="12" t="s">
        <v>91</v>
      </c>
      <c r="Q363" s="12" t="s">
        <v>4</v>
      </c>
      <c r="R363" s="12" t="s">
        <v>15</v>
      </c>
      <c r="S363" s="12" t="s">
        <v>48</v>
      </c>
      <c r="T363" s="12">
        <v>0</v>
      </c>
      <c r="U363" s="13"/>
      <c r="V363" s="12" t="s">
        <v>92</v>
      </c>
      <c r="W363" s="12" t="s">
        <v>92</v>
      </c>
      <c r="X363" s="12" t="s">
        <v>105</v>
      </c>
      <c r="Y363" s="13"/>
      <c r="Z363" s="13" t="s">
        <v>436</v>
      </c>
    </row>
    <row r="364" spans="1:26" s="20" customFormat="1" hidden="1" x14ac:dyDescent="0.3">
      <c r="A364" s="12" t="s">
        <v>85</v>
      </c>
      <c r="B364" s="12">
        <v>16329</v>
      </c>
      <c r="C364" s="11" t="s">
        <v>431</v>
      </c>
      <c r="D364" s="12" t="s">
        <v>417</v>
      </c>
      <c r="E364" s="12" t="s">
        <v>1180</v>
      </c>
      <c r="F364" s="12" t="s">
        <v>113</v>
      </c>
      <c r="G364" s="12" t="s">
        <v>113</v>
      </c>
      <c r="H364" s="12" t="s">
        <v>432</v>
      </c>
      <c r="I364" s="12" t="s">
        <v>433</v>
      </c>
      <c r="J364" s="11" t="s">
        <v>446</v>
      </c>
      <c r="K364" s="11" t="s">
        <v>446</v>
      </c>
      <c r="L364" s="11" t="s">
        <v>1222</v>
      </c>
      <c r="M364" s="11" t="s">
        <v>443</v>
      </c>
      <c r="N364" s="58">
        <v>336</v>
      </c>
      <c r="O364" s="59"/>
      <c r="P364" s="12" t="s">
        <v>91</v>
      </c>
      <c r="Q364" s="12" t="s">
        <v>4</v>
      </c>
      <c r="R364" s="12" t="s">
        <v>15</v>
      </c>
      <c r="S364" s="12" t="s">
        <v>48</v>
      </c>
      <c r="T364" s="12">
        <v>0</v>
      </c>
      <c r="U364" s="13"/>
      <c r="V364" s="12" t="s">
        <v>92</v>
      </c>
      <c r="W364" s="12" t="s">
        <v>92</v>
      </c>
      <c r="X364" s="12" t="s">
        <v>105</v>
      </c>
      <c r="Y364" s="13"/>
      <c r="Z364" s="13" t="s">
        <v>436</v>
      </c>
    </row>
    <row r="365" spans="1:26" s="20" customFormat="1" hidden="1" x14ac:dyDescent="0.3">
      <c r="A365" s="12" t="s">
        <v>85</v>
      </c>
      <c r="B365" s="12">
        <v>16330</v>
      </c>
      <c r="C365" s="11" t="s">
        <v>431</v>
      </c>
      <c r="D365" s="12" t="s">
        <v>417</v>
      </c>
      <c r="E365" s="12" t="s">
        <v>1180</v>
      </c>
      <c r="F365" s="12" t="s">
        <v>113</v>
      </c>
      <c r="G365" s="12" t="s">
        <v>113</v>
      </c>
      <c r="H365" s="12" t="s">
        <v>432</v>
      </c>
      <c r="I365" s="12" t="s">
        <v>433</v>
      </c>
      <c r="J365" s="11" t="s">
        <v>447</v>
      </c>
      <c r="K365" s="11" t="s">
        <v>447</v>
      </c>
      <c r="L365" s="11" t="s">
        <v>1222</v>
      </c>
      <c r="M365" s="11" t="s">
        <v>443</v>
      </c>
      <c r="N365" s="58">
        <v>336</v>
      </c>
      <c r="O365" s="59"/>
      <c r="P365" s="12" t="s">
        <v>91</v>
      </c>
      <c r="Q365" s="12" t="s">
        <v>4</v>
      </c>
      <c r="R365" s="12" t="s">
        <v>15</v>
      </c>
      <c r="S365" s="12" t="s">
        <v>48</v>
      </c>
      <c r="T365" s="12">
        <v>0</v>
      </c>
      <c r="U365" s="13"/>
      <c r="V365" s="12" t="s">
        <v>92</v>
      </c>
      <c r="W365" s="12" t="s">
        <v>92</v>
      </c>
      <c r="X365" s="12" t="s">
        <v>105</v>
      </c>
      <c r="Y365" s="13"/>
      <c r="Z365" s="13" t="s">
        <v>436</v>
      </c>
    </row>
    <row r="366" spans="1:26" s="20" customFormat="1" hidden="1" x14ac:dyDescent="0.3">
      <c r="A366" s="12" t="s">
        <v>85</v>
      </c>
      <c r="B366" s="12">
        <v>16331</v>
      </c>
      <c r="C366" s="11" t="s">
        <v>431</v>
      </c>
      <c r="D366" s="12" t="s">
        <v>417</v>
      </c>
      <c r="E366" s="12" t="s">
        <v>1180</v>
      </c>
      <c r="F366" s="12" t="s">
        <v>113</v>
      </c>
      <c r="G366" s="12" t="s">
        <v>113</v>
      </c>
      <c r="H366" s="12" t="s">
        <v>432</v>
      </c>
      <c r="I366" s="12" t="s">
        <v>433</v>
      </c>
      <c r="J366" s="11" t="s">
        <v>448</v>
      </c>
      <c r="K366" s="11" t="s">
        <v>448</v>
      </c>
      <c r="L366" s="11" t="s">
        <v>1222</v>
      </c>
      <c r="M366" s="11" t="s">
        <v>443</v>
      </c>
      <c r="N366" s="58">
        <v>336</v>
      </c>
      <c r="O366" s="59"/>
      <c r="P366" s="12" t="s">
        <v>91</v>
      </c>
      <c r="Q366" s="12" t="s">
        <v>4</v>
      </c>
      <c r="R366" s="12" t="s">
        <v>15</v>
      </c>
      <c r="S366" s="12" t="s">
        <v>48</v>
      </c>
      <c r="T366" s="12">
        <v>0</v>
      </c>
      <c r="U366" s="13"/>
      <c r="V366" s="12" t="s">
        <v>92</v>
      </c>
      <c r="W366" s="12" t="s">
        <v>92</v>
      </c>
      <c r="X366" s="12" t="s">
        <v>105</v>
      </c>
      <c r="Y366" s="13"/>
      <c r="Z366" s="13" t="s">
        <v>436</v>
      </c>
    </row>
    <row r="367" spans="1:26" s="20" customFormat="1" hidden="1" x14ac:dyDescent="0.3">
      <c r="A367" s="12" t="s">
        <v>85</v>
      </c>
      <c r="B367" s="12">
        <v>16818</v>
      </c>
      <c r="C367" s="11" t="s">
        <v>95</v>
      </c>
      <c r="D367" s="12" t="s">
        <v>1</v>
      </c>
      <c r="E367" s="12" t="s">
        <v>1185</v>
      </c>
      <c r="F367" s="12" t="s">
        <v>132</v>
      </c>
      <c r="G367" s="12" t="s">
        <v>132</v>
      </c>
      <c r="H367" s="12" t="s">
        <v>96</v>
      </c>
      <c r="I367" s="12" t="s">
        <v>89</v>
      </c>
      <c r="J367" s="11" t="s">
        <v>449</v>
      </c>
      <c r="K367" s="11" t="s">
        <v>449</v>
      </c>
      <c r="L367" s="11" t="s">
        <v>1202</v>
      </c>
      <c r="M367" s="11" t="s">
        <v>450</v>
      </c>
      <c r="N367" s="59">
        <v>0</v>
      </c>
      <c r="O367" s="59">
        <v>134.56</v>
      </c>
      <c r="P367" s="12" t="s">
        <v>451</v>
      </c>
      <c r="Q367" s="12" t="s">
        <v>12</v>
      </c>
      <c r="R367" s="12" t="s">
        <v>99</v>
      </c>
      <c r="S367" s="12" t="s">
        <v>99</v>
      </c>
      <c r="T367" s="12">
        <v>0</v>
      </c>
      <c r="U367" s="13"/>
      <c r="V367" s="12" t="s">
        <v>92</v>
      </c>
      <c r="W367" s="12" t="s">
        <v>92</v>
      </c>
      <c r="X367" s="12" t="s">
        <v>93</v>
      </c>
      <c r="Y367" s="13">
        <v>43678</v>
      </c>
      <c r="Z367" s="75"/>
    </row>
    <row r="368" spans="1:26" s="20" customFormat="1" hidden="1" x14ac:dyDescent="0.3">
      <c r="A368" s="12" t="s">
        <v>85</v>
      </c>
      <c r="B368" s="12">
        <v>17138</v>
      </c>
      <c r="C368" s="11" t="s">
        <v>452</v>
      </c>
      <c r="D368" s="12" t="s">
        <v>1</v>
      </c>
      <c r="E368" s="12" t="s">
        <v>1185</v>
      </c>
      <c r="F368" s="12" t="s">
        <v>87</v>
      </c>
      <c r="G368" s="12" t="s">
        <v>87</v>
      </c>
      <c r="H368" s="12" t="s">
        <v>346</v>
      </c>
      <c r="I368" s="12" t="s">
        <v>125</v>
      </c>
      <c r="J368" s="11" t="s">
        <v>347</v>
      </c>
      <c r="K368" s="11" t="s">
        <v>347</v>
      </c>
      <c r="L368" s="11" t="s">
        <v>1194</v>
      </c>
      <c r="M368" s="11" t="s">
        <v>348</v>
      </c>
      <c r="N368" s="57">
        <v>662870</v>
      </c>
      <c r="O368" s="59"/>
      <c r="P368" s="12">
        <v>0</v>
      </c>
      <c r="Q368" s="12" t="s">
        <v>12</v>
      </c>
      <c r="R368" s="12" t="s">
        <v>99</v>
      </c>
      <c r="S368" s="12" t="s">
        <v>99</v>
      </c>
      <c r="T368" s="12">
        <v>0</v>
      </c>
      <c r="U368" s="13"/>
      <c r="V368" s="12" t="s">
        <v>92</v>
      </c>
      <c r="W368" s="12" t="s">
        <v>92</v>
      </c>
      <c r="X368" s="12" t="s">
        <v>135</v>
      </c>
      <c r="Y368" s="13"/>
      <c r="Z368" s="75"/>
    </row>
    <row r="369" spans="1:26" s="20" customFormat="1" x14ac:dyDescent="0.3">
      <c r="A369" s="12" t="s">
        <v>85</v>
      </c>
      <c r="B369" s="12">
        <v>17236</v>
      </c>
      <c r="C369" s="11" t="s">
        <v>112</v>
      </c>
      <c r="D369" s="12" t="s">
        <v>1</v>
      </c>
      <c r="E369" s="12" t="s">
        <v>1185</v>
      </c>
      <c r="F369" s="12" t="s">
        <v>113</v>
      </c>
      <c r="G369" s="12" t="s">
        <v>113</v>
      </c>
      <c r="H369" s="12" t="s">
        <v>114</v>
      </c>
      <c r="I369" s="12" t="s">
        <v>115</v>
      </c>
      <c r="J369" s="11" t="s">
        <v>1244</v>
      </c>
      <c r="K369" s="11" t="s">
        <v>1244</v>
      </c>
      <c r="L369" s="11" t="s">
        <v>1194</v>
      </c>
      <c r="M369" s="11" t="s">
        <v>165</v>
      </c>
      <c r="N369" s="57">
        <v>33210</v>
      </c>
      <c r="O369" s="59"/>
      <c r="P369" s="12">
        <v>0</v>
      </c>
      <c r="Q369" s="12" t="s">
        <v>12</v>
      </c>
      <c r="R369" s="12" t="s">
        <v>99</v>
      </c>
      <c r="S369" s="12" t="s">
        <v>99</v>
      </c>
      <c r="T369" s="12">
        <v>0</v>
      </c>
      <c r="U369" s="13"/>
      <c r="V369" s="12" t="s">
        <v>92</v>
      </c>
      <c r="W369" s="12" t="s">
        <v>92</v>
      </c>
      <c r="X369" s="12" t="s">
        <v>135</v>
      </c>
      <c r="Y369" s="13"/>
      <c r="Z369" s="75"/>
    </row>
    <row r="370" spans="1:26" s="20" customFormat="1" hidden="1" x14ac:dyDescent="0.3">
      <c r="A370" s="12" t="s">
        <v>85</v>
      </c>
      <c r="B370" s="12">
        <v>17253</v>
      </c>
      <c r="C370" s="11" t="s">
        <v>453</v>
      </c>
      <c r="D370" s="12" t="s">
        <v>1</v>
      </c>
      <c r="E370" s="12" t="s">
        <v>1185</v>
      </c>
      <c r="F370" s="12" t="s">
        <v>113</v>
      </c>
      <c r="G370" s="12" t="s">
        <v>113</v>
      </c>
      <c r="H370" s="12" t="s">
        <v>454</v>
      </c>
      <c r="I370" s="12" t="s">
        <v>115</v>
      </c>
      <c r="J370" s="11" t="s">
        <v>455</v>
      </c>
      <c r="K370" s="11" t="s">
        <v>455</v>
      </c>
      <c r="L370" s="11" t="s">
        <v>1212</v>
      </c>
      <c r="M370" s="11" t="s">
        <v>456</v>
      </c>
      <c r="N370" s="58">
        <f>41224.99-140</f>
        <v>41084.99</v>
      </c>
      <c r="O370" s="58">
        <f>3626.5+1901.75+2688.13</f>
        <v>8216.380000000001</v>
      </c>
      <c r="P370" s="12"/>
      <c r="Q370" s="18" t="s">
        <v>12</v>
      </c>
      <c r="R370" s="12" t="s">
        <v>99</v>
      </c>
      <c r="S370" s="12" t="s">
        <v>99</v>
      </c>
      <c r="T370" s="12">
        <v>0</v>
      </c>
      <c r="U370" s="13">
        <v>44362</v>
      </c>
      <c r="V370" s="12" t="s">
        <v>92</v>
      </c>
      <c r="W370" s="12" t="s">
        <v>92</v>
      </c>
      <c r="X370" s="18" t="s">
        <v>105</v>
      </c>
      <c r="Y370" s="13">
        <v>44362</v>
      </c>
      <c r="Z370" s="75"/>
    </row>
    <row r="371" spans="1:26" s="20" customFormat="1" hidden="1" x14ac:dyDescent="0.3">
      <c r="A371" s="12" t="s">
        <v>122</v>
      </c>
      <c r="B371" s="12">
        <v>17352</v>
      </c>
      <c r="C371" s="11" t="s">
        <v>457</v>
      </c>
      <c r="D371" s="12" t="s">
        <v>1</v>
      </c>
      <c r="E371" s="12" t="s">
        <v>1185</v>
      </c>
      <c r="F371" s="12" t="s">
        <v>87</v>
      </c>
      <c r="G371" s="12" t="s">
        <v>113</v>
      </c>
      <c r="H371" s="12" t="s">
        <v>458</v>
      </c>
      <c r="I371" s="12" t="s">
        <v>125</v>
      </c>
      <c r="J371" s="11" t="s">
        <v>459</v>
      </c>
      <c r="K371" s="11" t="s">
        <v>459</v>
      </c>
      <c r="L371" s="11" t="s">
        <v>1199</v>
      </c>
      <c r="M371" s="11" t="s">
        <v>460</v>
      </c>
      <c r="N371" s="57">
        <v>60000</v>
      </c>
      <c r="O371" s="59"/>
      <c r="P371" s="12" t="s">
        <v>91</v>
      </c>
      <c r="Q371" s="12" t="s">
        <v>4</v>
      </c>
      <c r="R371" s="12" t="s">
        <v>13</v>
      </c>
      <c r="S371" s="12" t="s">
        <v>25</v>
      </c>
      <c r="T371" s="12">
        <v>0</v>
      </c>
      <c r="U371" s="13"/>
      <c r="V371" s="12" t="s">
        <v>92</v>
      </c>
      <c r="W371" s="12" t="s">
        <v>92</v>
      </c>
      <c r="X371" s="12" t="s">
        <v>93</v>
      </c>
      <c r="Y371" s="13"/>
      <c r="Z371" s="75"/>
    </row>
    <row r="372" spans="1:26" s="20" customFormat="1" hidden="1" x14ac:dyDescent="0.3">
      <c r="A372" s="12" t="s">
        <v>122</v>
      </c>
      <c r="B372" s="12">
        <v>17352</v>
      </c>
      <c r="C372" s="11" t="s">
        <v>457</v>
      </c>
      <c r="D372" s="12" t="s">
        <v>1</v>
      </c>
      <c r="E372" s="12" t="s">
        <v>1185</v>
      </c>
      <c r="F372" s="12" t="s">
        <v>87</v>
      </c>
      <c r="G372" s="12" t="s">
        <v>113</v>
      </c>
      <c r="H372" s="12" t="s">
        <v>458</v>
      </c>
      <c r="I372" s="12" t="s">
        <v>125</v>
      </c>
      <c r="J372" s="11" t="s">
        <v>459</v>
      </c>
      <c r="K372" s="11" t="s">
        <v>459</v>
      </c>
      <c r="L372" s="11" t="s">
        <v>1199</v>
      </c>
      <c r="M372" s="11" t="s">
        <v>460</v>
      </c>
      <c r="N372" s="57">
        <v>60000</v>
      </c>
      <c r="O372" s="59"/>
      <c r="P372" s="12" t="s">
        <v>91</v>
      </c>
      <c r="Q372" s="12" t="s">
        <v>4</v>
      </c>
      <c r="R372" s="12" t="s">
        <v>15</v>
      </c>
      <c r="S372" s="12" t="s">
        <v>25</v>
      </c>
      <c r="T372" s="12">
        <v>1</v>
      </c>
      <c r="U372" s="13">
        <v>43903</v>
      </c>
      <c r="V372" s="12" t="s">
        <v>461</v>
      </c>
      <c r="W372" s="12" t="s">
        <v>92</v>
      </c>
      <c r="X372" s="12" t="s">
        <v>105</v>
      </c>
      <c r="Y372" s="13"/>
      <c r="Z372" s="75"/>
    </row>
    <row r="373" spans="1:26" s="20" customFormat="1" hidden="1" x14ac:dyDescent="0.3">
      <c r="A373" s="12" t="s">
        <v>122</v>
      </c>
      <c r="B373" s="12">
        <v>17352</v>
      </c>
      <c r="C373" s="11" t="s">
        <v>457</v>
      </c>
      <c r="D373" s="12" t="s">
        <v>1</v>
      </c>
      <c r="E373" s="12" t="s">
        <v>1185</v>
      </c>
      <c r="F373" s="12" t="s">
        <v>87</v>
      </c>
      <c r="G373" s="12" t="s">
        <v>113</v>
      </c>
      <c r="H373" s="12" t="s">
        <v>458</v>
      </c>
      <c r="I373" s="12" t="s">
        <v>125</v>
      </c>
      <c r="J373" s="11" t="s">
        <v>459</v>
      </c>
      <c r="K373" s="11" t="s">
        <v>459</v>
      </c>
      <c r="L373" s="11" t="s">
        <v>1199</v>
      </c>
      <c r="M373" s="11" t="s">
        <v>460</v>
      </c>
      <c r="N373" s="57">
        <v>60000</v>
      </c>
      <c r="O373" s="59"/>
      <c r="P373" s="12" t="s">
        <v>91</v>
      </c>
      <c r="Q373" s="12" t="s">
        <v>4</v>
      </c>
      <c r="R373" s="12" t="s">
        <v>15</v>
      </c>
      <c r="S373" s="12" t="s">
        <v>25</v>
      </c>
      <c r="T373" s="12">
        <v>1</v>
      </c>
      <c r="U373" s="13">
        <v>43962</v>
      </c>
      <c r="V373" s="12" t="s">
        <v>462</v>
      </c>
      <c r="W373" s="12" t="s">
        <v>92</v>
      </c>
      <c r="X373" s="12" t="s">
        <v>105</v>
      </c>
      <c r="Y373" s="13"/>
      <c r="Z373" s="75"/>
    </row>
    <row r="374" spans="1:26" s="20" customFormat="1" hidden="1" x14ac:dyDescent="0.3">
      <c r="A374" s="12" t="s">
        <v>122</v>
      </c>
      <c r="B374" s="12">
        <v>17352</v>
      </c>
      <c r="C374" s="11" t="s">
        <v>457</v>
      </c>
      <c r="D374" s="12" t="s">
        <v>1</v>
      </c>
      <c r="E374" s="12" t="s">
        <v>1185</v>
      </c>
      <c r="F374" s="12" t="s">
        <v>87</v>
      </c>
      <c r="G374" s="12" t="s">
        <v>113</v>
      </c>
      <c r="H374" s="12" t="s">
        <v>458</v>
      </c>
      <c r="I374" s="12" t="s">
        <v>125</v>
      </c>
      <c r="J374" s="11" t="s">
        <v>459</v>
      </c>
      <c r="K374" s="11" t="s">
        <v>459</v>
      </c>
      <c r="L374" s="11" t="s">
        <v>1199</v>
      </c>
      <c r="M374" s="11" t="s">
        <v>460</v>
      </c>
      <c r="N374" s="57">
        <v>60000</v>
      </c>
      <c r="O374" s="59"/>
      <c r="P374" s="12" t="s">
        <v>91</v>
      </c>
      <c r="Q374" s="12" t="s">
        <v>4</v>
      </c>
      <c r="R374" s="12" t="s">
        <v>15</v>
      </c>
      <c r="S374" s="12" t="s">
        <v>25</v>
      </c>
      <c r="T374" s="12">
        <v>1</v>
      </c>
      <c r="U374" s="13">
        <v>43966</v>
      </c>
      <c r="V374" s="12" t="s">
        <v>463</v>
      </c>
      <c r="W374" s="12" t="s">
        <v>92</v>
      </c>
      <c r="X374" s="12" t="s">
        <v>105</v>
      </c>
      <c r="Y374" s="13"/>
      <c r="Z374" s="75"/>
    </row>
    <row r="375" spans="1:26" s="20" customFormat="1" hidden="1" x14ac:dyDescent="0.3">
      <c r="A375" s="12" t="s">
        <v>122</v>
      </c>
      <c r="B375" s="12">
        <v>17352</v>
      </c>
      <c r="C375" s="11" t="s">
        <v>457</v>
      </c>
      <c r="D375" s="12" t="s">
        <v>1</v>
      </c>
      <c r="E375" s="12" t="s">
        <v>1185</v>
      </c>
      <c r="F375" s="12" t="s">
        <v>87</v>
      </c>
      <c r="G375" s="12" t="s">
        <v>113</v>
      </c>
      <c r="H375" s="12" t="s">
        <v>458</v>
      </c>
      <c r="I375" s="12" t="s">
        <v>125</v>
      </c>
      <c r="J375" s="11" t="s">
        <v>459</v>
      </c>
      <c r="K375" s="11" t="s">
        <v>459</v>
      </c>
      <c r="L375" s="11" t="s">
        <v>1199</v>
      </c>
      <c r="M375" s="11" t="s">
        <v>460</v>
      </c>
      <c r="N375" s="57">
        <v>60000</v>
      </c>
      <c r="O375" s="59"/>
      <c r="P375" s="12" t="s">
        <v>91</v>
      </c>
      <c r="Q375" s="12" t="s">
        <v>4</v>
      </c>
      <c r="R375" s="12" t="s">
        <v>15</v>
      </c>
      <c r="S375" s="12" t="s">
        <v>25</v>
      </c>
      <c r="T375" s="12">
        <v>1</v>
      </c>
      <c r="U375" s="13">
        <v>43992</v>
      </c>
      <c r="V375" s="12" t="s">
        <v>464</v>
      </c>
      <c r="W375" s="12" t="s">
        <v>92</v>
      </c>
      <c r="X375" s="12" t="s">
        <v>105</v>
      </c>
      <c r="Y375" s="13"/>
      <c r="Z375" s="75"/>
    </row>
    <row r="376" spans="1:26" s="20" customFormat="1" hidden="1" x14ac:dyDescent="0.3">
      <c r="A376" s="12" t="s">
        <v>122</v>
      </c>
      <c r="B376" s="12">
        <v>17352</v>
      </c>
      <c r="C376" s="11" t="s">
        <v>457</v>
      </c>
      <c r="D376" s="12" t="s">
        <v>1</v>
      </c>
      <c r="E376" s="12" t="s">
        <v>1185</v>
      </c>
      <c r="F376" s="12" t="s">
        <v>87</v>
      </c>
      <c r="G376" s="12" t="s">
        <v>113</v>
      </c>
      <c r="H376" s="12" t="s">
        <v>458</v>
      </c>
      <c r="I376" s="12" t="s">
        <v>125</v>
      </c>
      <c r="J376" s="11" t="s">
        <v>459</v>
      </c>
      <c r="K376" s="11" t="s">
        <v>459</v>
      </c>
      <c r="L376" s="11" t="s">
        <v>1199</v>
      </c>
      <c r="M376" s="11" t="s">
        <v>460</v>
      </c>
      <c r="N376" s="57">
        <v>60000</v>
      </c>
      <c r="O376" s="59"/>
      <c r="P376" s="12" t="s">
        <v>91</v>
      </c>
      <c r="Q376" s="12" t="s">
        <v>4</v>
      </c>
      <c r="R376" s="12" t="s">
        <v>15</v>
      </c>
      <c r="S376" s="12" t="s">
        <v>22</v>
      </c>
      <c r="T376" s="12">
        <v>1</v>
      </c>
      <c r="U376" s="13">
        <v>43997</v>
      </c>
      <c r="V376" s="12" t="s">
        <v>110</v>
      </c>
      <c r="W376" s="12" t="s">
        <v>92</v>
      </c>
      <c r="X376" s="12" t="s">
        <v>105</v>
      </c>
      <c r="Y376" s="13"/>
      <c r="Z376" s="75"/>
    </row>
    <row r="377" spans="1:26" s="20" customFormat="1" hidden="1" x14ac:dyDescent="0.3">
      <c r="A377" s="12" t="s">
        <v>122</v>
      </c>
      <c r="B377" s="12">
        <v>17352</v>
      </c>
      <c r="C377" s="11" t="s">
        <v>457</v>
      </c>
      <c r="D377" s="12" t="s">
        <v>1</v>
      </c>
      <c r="E377" s="12" t="s">
        <v>1185</v>
      </c>
      <c r="F377" s="12" t="s">
        <v>87</v>
      </c>
      <c r="G377" s="12" t="s">
        <v>113</v>
      </c>
      <c r="H377" s="12" t="s">
        <v>458</v>
      </c>
      <c r="I377" s="12" t="s">
        <v>125</v>
      </c>
      <c r="J377" s="11" t="s">
        <v>459</v>
      </c>
      <c r="K377" s="11" t="s">
        <v>459</v>
      </c>
      <c r="L377" s="11" t="s">
        <v>1199</v>
      </c>
      <c r="M377" s="11" t="s">
        <v>460</v>
      </c>
      <c r="N377" s="57">
        <v>60000</v>
      </c>
      <c r="O377" s="59"/>
      <c r="P377" s="12" t="s">
        <v>91</v>
      </c>
      <c r="Q377" s="12" t="s">
        <v>4</v>
      </c>
      <c r="R377" s="12" t="s">
        <v>15</v>
      </c>
      <c r="S377" s="12" t="s">
        <v>25</v>
      </c>
      <c r="T377" s="12">
        <v>1</v>
      </c>
      <c r="U377" s="13">
        <v>44014</v>
      </c>
      <c r="V377" s="12" t="s">
        <v>465</v>
      </c>
      <c r="W377" s="12" t="s">
        <v>92</v>
      </c>
      <c r="X377" s="12" t="s">
        <v>105</v>
      </c>
      <c r="Y377" s="13"/>
      <c r="Z377" s="75"/>
    </row>
    <row r="378" spans="1:26" s="20" customFormat="1" hidden="1" x14ac:dyDescent="0.3">
      <c r="A378" s="12" t="s">
        <v>122</v>
      </c>
      <c r="B378" s="12">
        <v>17352</v>
      </c>
      <c r="C378" s="11" t="s">
        <v>457</v>
      </c>
      <c r="D378" s="12" t="s">
        <v>1</v>
      </c>
      <c r="E378" s="12" t="s">
        <v>1185</v>
      </c>
      <c r="F378" s="12" t="s">
        <v>87</v>
      </c>
      <c r="G378" s="12" t="s">
        <v>113</v>
      </c>
      <c r="H378" s="12" t="s">
        <v>458</v>
      </c>
      <c r="I378" s="12" t="s">
        <v>125</v>
      </c>
      <c r="J378" s="11" t="s">
        <v>459</v>
      </c>
      <c r="K378" s="11" t="s">
        <v>459</v>
      </c>
      <c r="L378" s="11" t="s">
        <v>1199</v>
      </c>
      <c r="M378" s="11" t="s">
        <v>460</v>
      </c>
      <c r="N378" s="57">
        <v>60000</v>
      </c>
      <c r="O378" s="59"/>
      <c r="P378" s="12" t="s">
        <v>91</v>
      </c>
      <c r="Q378" s="12" t="s">
        <v>4</v>
      </c>
      <c r="R378" s="12" t="s">
        <v>15</v>
      </c>
      <c r="S378" s="12" t="s">
        <v>25</v>
      </c>
      <c r="T378" s="12">
        <v>1</v>
      </c>
      <c r="U378" s="13">
        <v>44018</v>
      </c>
      <c r="V378" s="12" t="s">
        <v>466</v>
      </c>
      <c r="W378" s="12" t="s">
        <v>92</v>
      </c>
      <c r="X378" s="12" t="s">
        <v>105</v>
      </c>
      <c r="Y378" s="13"/>
      <c r="Z378" s="75"/>
    </row>
    <row r="379" spans="1:26" s="20" customFormat="1" hidden="1" x14ac:dyDescent="0.3">
      <c r="A379" s="12" t="s">
        <v>122</v>
      </c>
      <c r="B379" s="12">
        <v>17352</v>
      </c>
      <c r="C379" s="11" t="s">
        <v>457</v>
      </c>
      <c r="D379" s="12" t="s">
        <v>1</v>
      </c>
      <c r="E379" s="12" t="s">
        <v>1185</v>
      </c>
      <c r="F379" s="12" t="s">
        <v>87</v>
      </c>
      <c r="G379" s="12" t="s">
        <v>113</v>
      </c>
      <c r="H379" s="12" t="s">
        <v>458</v>
      </c>
      <c r="I379" s="12" t="s">
        <v>125</v>
      </c>
      <c r="J379" s="11" t="s">
        <v>459</v>
      </c>
      <c r="K379" s="11" t="s">
        <v>459</v>
      </c>
      <c r="L379" s="11" t="s">
        <v>1199</v>
      </c>
      <c r="M379" s="11" t="s">
        <v>460</v>
      </c>
      <c r="N379" s="57">
        <v>60000</v>
      </c>
      <c r="O379" s="59"/>
      <c r="P379" s="12" t="s">
        <v>91</v>
      </c>
      <c r="Q379" s="12" t="s">
        <v>4</v>
      </c>
      <c r="R379" s="12" t="s">
        <v>15</v>
      </c>
      <c r="S379" s="12" t="s">
        <v>22</v>
      </c>
      <c r="T379" s="12">
        <v>1</v>
      </c>
      <c r="U379" s="13">
        <v>44027</v>
      </c>
      <c r="V379" s="12" t="s">
        <v>111</v>
      </c>
      <c r="W379" s="12" t="s">
        <v>92</v>
      </c>
      <c r="X379" s="12" t="s">
        <v>105</v>
      </c>
      <c r="Y379" s="13"/>
      <c r="Z379" s="75"/>
    </row>
    <row r="380" spans="1:26" s="20" customFormat="1" hidden="1" x14ac:dyDescent="0.3">
      <c r="A380" s="12" t="s">
        <v>122</v>
      </c>
      <c r="B380" s="12">
        <v>17352</v>
      </c>
      <c r="C380" s="11" t="s">
        <v>457</v>
      </c>
      <c r="D380" s="12" t="s">
        <v>1</v>
      </c>
      <c r="E380" s="12" t="s">
        <v>1185</v>
      </c>
      <c r="F380" s="12" t="s">
        <v>87</v>
      </c>
      <c r="G380" s="12" t="s">
        <v>113</v>
      </c>
      <c r="H380" s="12" t="s">
        <v>458</v>
      </c>
      <c r="I380" s="12" t="s">
        <v>125</v>
      </c>
      <c r="J380" s="11" t="s">
        <v>459</v>
      </c>
      <c r="K380" s="11" t="s">
        <v>459</v>
      </c>
      <c r="L380" s="11" t="s">
        <v>1199</v>
      </c>
      <c r="M380" s="11" t="s">
        <v>460</v>
      </c>
      <c r="N380" s="57">
        <v>60000</v>
      </c>
      <c r="O380" s="59"/>
      <c r="P380" s="12" t="s">
        <v>91</v>
      </c>
      <c r="Q380" s="12" t="s">
        <v>4</v>
      </c>
      <c r="R380" s="12" t="s">
        <v>15</v>
      </c>
      <c r="S380" s="12" t="s">
        <v>25</v>
      </c>
      <c r="T380" s="12">
        <v>1</v>
      </c>
      <c r="U380" s="13">
        <v>44029</v>
      </c>
      <c r="V380" s="12" t="s">
        <v>467</v>
      </c>
      <c r="W380" s="12" t="s">
        <v>92</v>
      </c>
      <c r="X380" s="12" t="s">
        <v>105</v>
      </c>
      <c r="Y380" s="13"/>
      <c r="Z380" s="75"/>
    </row>
    <row r="381" spans="1:26" s="20" customFormat="1" hidden="1" x14ac:dyDescent="0.3">
      <c r="A381" s="12" t="s">
        <v>122</v>
      </c>
      <c r="B381" s="12">
        <v>17352</v>
      </c>
      <c r="C381" s="11" t="s">
        <v>457</v>
      </c>
      <c r="D381" s="12" t="s">
        <v>1</v>
      </c>
      <c r="E381" s="12" t="s">
        <v>1185</v>
      </c>
      <c r="F381" s="12" t="s">
        <v>87</v>
      </c>
      <c r="G381" s="12" t="s">
        <v>113</v>
      </c>
      <c r="H381" s="12" t="s">
        <v>458</v>
      </c>
      <c r="I381" s="12" t="s">
        <v>125</v>
      </c>
      <c r="J381" s="11" t="s">
        <v>459</v>
      </c>
      <c r="K381" s="11" t="s">
        <v>459</v>
      </c>
      <c r="L381" s="11" t="s">
        <v>1199</v>
      </c>
      <c r="M381" s="11" t="s">
        <v>460</v>
      </c>
      <c r="N381" s="57">
        <v>60000</v>
      </c>
      <c r="O381" s="59"/>
      <c r="P381" s="12" t="s">
        <v>91</v>
      </c>
      <c r="Q381" s="12" t="s">
        <v>4</v>
      </c>
      <c r="R381" s="12" t="s">
        <v>15</v>
      </c>
      <c r="S381" s="12" t="s">
        <v>25</v>
      </c>
      <c r="T381" s="12">
        <v>1</v>
      </c>
      <c r="U381" s="13">
        <v>44036</v>
      </c>
      <c r="V381" s="12" t="s">
        <v>468</v>
      </c>
      <c r="W381" s="12" t="s">
        <v>92</v>
      </c>
      <c r="X381" s="12" t="s">
        <v>105</v>
      </c>
      <c r="Y381" s="13"/>
      <c r="Z381" s="75"/>
    </row>
    <row r="382" spans="1:26" s="20" customFormat="1" hidden="1" x14ac:dyDescent="0.3">
      <c r="A382" s="12" t="s">
        <v>85</v>
      </c>
      <c r="B382" s="12">
        <v>17388</v>
      </c>
      <c r="C382" s="11" t="s">
        <v>333</v>
      </c>
      <c r="D382" s="12" t="s">
        <v>1</v>
      </c>
      <c r="E382" s="12" t="s">
        <v>1185</v>
      </c>
      <c r="F382" s="12" t="s">
        <v>87</v>
      </c>
      <c r="G382" s="12" t="s">
        <v>113</v>
      </c>
      <c r="H382" s="12" t="s">
        <v>334</v>
      </c>
      <c r="I382" s="12" t="s">
        <v>89</v>
      </c>
      <c r="J382" s="11" t="s">
        <v>1223</v>
      </c>
      <c r="K382" s="11" t="s">
        <v>1223</v>
      </c>
      <c r="L382" s="11" t="s">
        <v>1195</v>
      </c>
      <c r="M382" s="11" t="s">
        <v>469</v>
      </c>
      <c r="N382" s="57">
        <v>14900</v>
      </c>
      <c r="O382" s="60">
        <f>150+112</f>
        <v>262</v>
      </c>
      <c r="P382" s="12" t="s">
        <v>470</v>
      </c>
      <c r="Q382" s="12" t="s">
        <v>4</v>
      </c>
      <c r="R382" s="12" t="s">
        <v>13</v>
      </c>
      <c r="S382" s="12" t="s">
        <v>25</v>
      </c>
      <c r="T382" s="12">
        <v>0</v>
      </c>
      <c r="U382" s="13"/>
      <c r="V382" s="12" t="s">
        <v>92</v>
      </c>
      <c r="W382" s="12" t="s">
        <v>92</v>
      </c>
      <c r="X382" s="12" t="s">
        <v>93</v>
      </c>
      <c r="Y382" s="13"/>
      <c r="Z382" s="75"/>
    </row>
    <row r="383" spans="1:26" s="20" customFormat="1" hidden="1" x14ac:dyDescent="0.3">
      <c r="A383" s="12" t="s">
        <v>85</v>
      </c>
      <c r="B383" s="12">
        <v>17389</v>
      </c>
      <c r="C383" s="11" t="s">
        <v>333</v>
      </c>
      <c r="D383" s="12" t="s">
        <v>1</v>
      </c>
      <c r="E383" s="12" t="s">
        <v>1185</v>
      </c>
      <c r="F383" s="12" t="s">
        <v>87</v>
      </c>
      <c r="G383" s="12" t="s">
        <v>113</v>
      </c>
      <c r="H383" s="12" t="s">
        <v>334</v>
      </c>
      <c r="I383" s="12" t="s">
        <v>89</v>
      </c>
      <c r="J383" s="11" t="s">
        <v>471</v>
      </c>
      <c r="K383" s="11" t="s">
        <v>471</v>
      </c>
      <c r="L383" s="11" t="s">
        <v>1195</v>
      </c>
      <c r="M383" s="11" t="s">
        <v>469</v>
      </c>
      <c r="N383" s="57">
        <v>14750</v>
      </c>
      <c r="O383" s="59">
        <v>225.25</v>
      </c>
      <c r="P383" s="12" t="s">
        <v>472</v>
      </c>
      <c r="Q383" s="12" t="s">
        <v>4</v>
      </c>
      <c r="R383" s="12" t="s">
        <v>13</v>
      </c>
      <c r="S383" s="12" t="s">
        <v>25</v>
      </c>
      <c r="T383" s="12">
        <v>0</v>
      </c>
      <c r="U383" s="13"/>
      <c r="V383" s="12" t="s">
        <v>92</v>
      </c>
      <c r="W383" s="12" t="s">
        <v>92</v>
      </c>
      <c r="X383" s="12" t="s">
        <v>93</v>
      </c>
      <c r="Y383" s="13"/>
      <c r="Z383" s="75"/>
    </row>
    <row r="384" spans="1:26" s="20" customFormat="1" hidden="1" x14ac:dyDescent="0.3">
      <c r="A384" s="12" t="s">
        <v>85</v>
      </c>
      <c r="B384" s="12">
        <v>17390</v>
      </c>
      <c r="C384" s="11" t="s">
        <v>333</v>
      </c>
      <c r="D384" s="12" t="s">
        <v>1</v>
      </c>
      <c r="E384" s="12" t="s">
        <v>1185</v>
      </c>
      <c r="F384" s="12" t="s">
        <v>87</v>
      </c>
      <c r="G384" s="12" t="s">
        <v>113</v>
      </c>
      <c r="H384" s="12" t="s">
        <v>334</v>
      </c>
      <c r="I384" s="12" t="s">
        <v>89</v>
      </c>
      <c r="J384" s="11" t="s">
        <v>471</v>
      </c>
      <c r="K384" s="11" t="s">
        <v>471</v>
      </c>
      <c r="L384" s="11" t="s">
        <v>1195</v>
      </c>
      <c r="M384" s="11" t="s">
        <v>469</v>
      </c>
      <c r="N384" s="57">
        <v>14500</v>
      </c>
      <c r="O384" s="59"/>
      <c r="P384" s="12" t="s">
        <v>473</v>
      </c>
      <c r="Q384" s="12" t="s">
        <v>4</v>
      </c>
      <c r="R384" s="12" t="s">
        <v>13</v>
      </c>
      <c r="S384" s="12" t="s">
        <v>25</v>
      </c>
      <c r="T384" s="12">
        <v>0</v>
      </c>
      <c r="U384" s="13"/>
      <c r="V384" s="12" t="s">
        <v>92</v>
      </c>
      <c r="W384" s="12" t="s">
        <v>92</v>
      </c>
      <c r="X384" s="12" t="s">
        <v>93</v>
      </c>
      <c r="Y384" s="13"/>
      <c r="Z384" s="75"/>
    </row>
    <row r="385" spans="1:26" s="20" customFormat="1" hidden="1" x14ac:dyDescent="0.3">
      <c r="A385" s="12" t="s">
        <v>85</v>
      </c>
      <c r="B385" s="12">
        <v>17391</v>
      </c>
      <c r="C385" s="11" t="s">
        <v>333</v>
      </c>
      <c r="D385" s="12" t="s">
        <v>1</v>
      </c>
      <c r="E385" s="12" t="s">
        <v>1185</v>
      </c>
      <c r="F385" s="12" t="s">
        <v>87</v>
      </c>
      <c r="G385" s="12" t="s">
        <v>113</v>
      </c>
      <c r="H385" s="12" t="s">
        <v>334</v>
      </c>
      <c r="I385" s="12" t="s">
        <v>89</v>
      </c>
      <c r="J385" s="11" t="s">
        <v>471</v>
      </c>
      <c r="K385" s="11" t="s">
        <v>471</v>
      </c>
      <c r="L385" s="11" t="s">
        <v>1195</v>
      </c>
      <c r="M385" s="11" t="s">
        <v>469</v>
      </c>
      <c r="N385" s="57">
        <v>14425</v>
      </c>
      <c r="O385" s="59">
        <v>105.49</v>
      </c>
      <c r="P385" s="12" t="s">
        <v>474</v>
      </c>
      <c r="Q385" s="12" t="s">
        <v>4</v>
      </c>
      <c r="R385" s="12" t="s">
        <v>13</v>
      </c>
      <c r="S385" s="12" t="s">
        <v>25</v>
      </c>
      <c r="T385" s="12">
        <v>0</v>
      </c>
      <c r="U385" s="13"/>
      <c r="V385" s="12" t="s">
        <v>92</v>
      </c>
      <c r="W385" s="12" t="s">
        <v>92</v>
      </c>
      <c r="X385" s="12" t="s">
        <v>93</v>
      </c>
      <c r="Y385" s="13"/>
      <c r="Z385" s="75"/>
    </row>
    <row r="386" spans="1:26" s="20" customFormat="1" hidden="1" x14ac:dyDescent="0.3">
      <c r="A386" s="12" t="s">
        <v>85</v>
      </c>
      <c r="B386" s="12">
        <v>17392</v>
      </c>
      <c r="C386" s="11" t="s">
        <v>333</v>
      </c>
      <c r="D386" s="12" t="s">
        <v>1</v>
      </c>
      <c r="E386" s="12" t="s">
        <v>1185</v>
      </c>
      <c r="F386" s="12" t="s">
        <v>87</v>
      </c>
      <c r="G386" s="12" t="s">
        <v>113</v>
      </c>
      <c r="H386" s="12" t="s">
        <v>334</v>
      </c>
      <c r="I386" s="12" t="s">
        <v>89</v>
      </c>
      <c r="J386" s="11" t="s">
        <v>471</v>
      </c>
      <c r="K386" s="11" t="s">
        <v>471</v>
      </c>
      <c r="L386" s="11" t="s">
        <v>1195</v>
      </c>
      <c r="M386" s="11" t="s">
        <v>469</v>
      </c>
      <c r="N386" s="57">
        <v>14675</v>
      </c>
      <c r="O386" s="59"/>
      <c r="P386" s="12" t="s">
        <v>475</v>
      </c>
      <c r="Q386" s="12" t="s">
        <v>4</v>
      </c>
      <c r="R386" s="12" t="s">
        <v>13</v>
      </c>
      <c r="S386" s="12" t="s">
        <v>25</v>
      </c>
      <c r="T386" s="12">
        <v>0</v>
      </c>
      <c r="U386" s="13"/>
      <c r="V386" s="12" t="s">
        <v>92</v>
      </c>
      <c r="W386" s="12" t="s">
        <v>92</v>
      </c>
      <c r="X386" s="12" t="s">
        <v>93</v>
      </c>
      <c r="Y386" s="13"/>
      <c r="Z386" s="75"/>
    </row>
    <row r="387" spans="1:26" s="20" customFormat="1" hidden="1" x14ac:dyDescent="0.3">
      <c r="A387" s="12" t="s">
        <v>85</v>
      </c>
      <c r="B387" s="12">
        <v>17393</v>
      </c>
      <c r="C387" s="11" t="s">
        <v>333</v>
      </c>
      <c r="D387" s="12" t="s">
        <v>1</v>
      </c>
      <c r="E387" s="12" t="s">
        <v>1185</v>
      </c>
      <c r="F387" s="12" t="s">
        <v>87</v>
      </c>
      <c r="G387" s="12" t="s">
        <v>113</v>
      </c>
      <c r="H387" s="12" t="s">
        <v>334</v>
      </c>
      <c r="I387" s="12" t="s">
        <v>89</v>
      </c>
      <c r="J387" s="11" t="s">
        <v>471</v>
      </c>
      <c r="K387" s="11" t="s">
        <v>471</v>
      </c>
      <c r="L387" s="11" t="s">
        <v>1195</v>
      </c>
      <c r="M387" s="11" t="s">
        <v>469</v>
      </c>
      <c r="N387" s="57">
        <v>3250</v>
      </c>
      <c r="O387" s="59"/>
      <c r="P387" s="12" t="s">
        <v>476</v>
      </c>
      <c r="Q387" s="12" t="s">
        <v>4</v>
      </c>
      <c r="R387" s="12" t="s">
        <v>13</v>
      </c>
      <c r="S387" s="12" t="s">
        <v>25</v>
      </c>
      <c r="T387" s="12">
        <v>0</v>
      </c>
      <c r="U387" s="13"/>
      <c r="V387" s="12" t="s">
        <v>92</v>
      </c>
      <c r="W387" s="12" t="s">
        <v>92</v>
      </c>
      <c r="X387" s="12" t="s">
        <v>93</v>
      </c>
      <c r="Y387" s="13"/>
      <c r="Z387" s="75"/>
    </row>
    <row r="388" spans="1:26" s="20" customFormat="1" hidden="1" x14ac:dyDescent="0.3">
      <c r="A388" s="12" t="s">
        <v>85</v>
      </c>
      <c r="B388" s="12">
        <v>17617</v>
      </c>
      <c r="C388" s="11" t="s">
        <v>95</v>
      </c>
      <c r="D388" s="12" t="s">
        <v>1</v>
      </c>
      <c r="E388" s="12" t="s">
        <v>1185</v>
      </c>
      <c r="F388" s="12" t="s">
        <v>87</v>
      </c>
      <c r="G388" s="12" t="s">
        <v>113</v>
      </c>
      <c r="H388" s="12" t="s">
        <v>96</v>
      </c>
      <c r="I388" s="12" t="s">
        <v>89</v>
      </c>
      <c r="J388" s="11" t="s">
        <v>293</v>
      </c>
      <c r="K388" s="11" t="s">
        <v>293</v>
      </c>
      <c r="L388" s="11" t="s">
        <v>1202</v>
      </c>
      <c r="M388" s="11" t="s">
        <v>294</v>
      </c>
      <c r="N388" s="58">
        <v>660</v>
      </c>
      <c r="O388" s="59"/>
      <c r="P388" s="12"/>
      <c r="Q388" s="12" t="s">
        <v>12</v>
      </c>
      <c r="R388" s="12" t="s">
        <v>99</v>
      </c>
      <c r="S388" s="12" t="s">
        <v>99</v>
      </c>
      <c r="T388" s="12">
        <v>1</v>
      </c>
      <c r="U388" s="13"/>
      <c r="V388" s="12" t="s">
        <v>428</v>
      </c>
      <c r="W388" s="12" t="s">
        <v>92</v>
      </c>
      <c r="X388" s="12" t="s">
        <v>93</v>
      </c>
      <c r="Y388" s="13">
        <v>44000</v>
      </c>
      <c r="Z388" s="75"/>
    </row>
    <row r="389" spans="1:26" s="20" customFormat="1" hidden="1" x14ac:dyDescent="0.3">
      <c r="A389" s="12" t="s">
        <v>85</v>
      </c>
      <c r="B389" s="12">
        <v>17792</v>
      </c>
      <c r="C389" s="11" t="s">
        <v>95</v>
      </c>
      <c r="D389" s="12" t="s">
        <v>1</v>
      </c>
      <c r="E389" s="12" t="s">
        <v>1185</v>
      </c>
      <c r="F389" s="12" t="s">
        <v>87</v>
      </c>
      <c r="G389" s="12" t="s">
        <v>113</v>
      </c>
      <c r="H389" s="12" t="s">
        <v>96</v>
      </c>
      <c r="I389" s="12" t="s">
        <v>89</v>
      </c>
      <c r="J389" s="11" t="s">
        <v>477</v>
      </c>
      <c r="K389" s="11" t="s">
        <v>477</v>
      </c>
      <c r="L389" s="11" t="s">
        <v>1202</v>
      </c>
      <c r="M389" s="11" t="s">
        <v>478</v>
      </c>
      <c r="N389" s="58">
        <v>1440</v>
      </c>
      <c r="O389" s="59"/>
      <c r="P389" s="12"/>
      <c r="Q389" s="12" t="s">
        <v>12</v>
      </c>
      <c r="R389" s="12" t="s">
        <v>99</v>
      </c>
      <c r="S389" s="12" t="s">
        <v>99</v>
      </c>
      <c r="T389" s="12">
        <v>1</v>
      </c>
      <c r="U389" s="13"/>
      <c r="V389" s="12" t="s">
        <v>428</v>
      </c>
      <c r="W389" s="12" t="s">
        <v>92</v>
      </c>
      <c r="X389" s="12" t="s">
        <v>135</v>
      </c>
      <c r="Y389" s="13">
        <v>44000</v>
      </c>
      <c r="Z389" s="75"/>
    </row>
    <row r="390" spans="1:26" s="20" customFormat="1" hidden="1" x14ac:dyDescent="0.3">
      <c r="A390" s="12" t="s">
        <v>85</v>
      </c>
      <c r="B390" s="12">
        <v>17931</v>
      </c>
      <c r="C390" s="11" t="s">
        <v>479</v>
      </c>
      <c r="D390" s="12" t="s">
        <v>1</v>
      </c>
      <c r="E390" s="12" t="s">
        <v>1185</v>
      </c>
      <c r="F390" s="12" t="s">
        <v>87</v>
      </c>
      <c r="G390" s="12" t="s">
        <v>113</v>
      </c>
      <c r="H390" s="12" t="s">
        <v>480</v>
      </c>
      <c r="I390" s="12" t="s">
        <v>115</v>
      </c>
      <c r="J390" s="11" t="s">
        <v>481</v>
      </c>
      <c r="K390" s="11" t="s">
        <v>481</v>
      </c>
      <c r="L390" s="11" t="s">
        <v>1194</v>
      </c>
      <c r="M390" s="11" t="s">
        <v>482</v>
      </c>
      <c r="N390" s="59">
        <v>0</v>
      </c>
      <c r="O390" s="59">
        <v>109.22</v>
      </c>
      <c r="P390" s="12" t="s">
        <v>483</v>
      </c>
      <c r="Q390" s="12" t="s">
        <v>12</v>
      </c>
      <c r="R390" s="12" t="s">
        <v>99</v>
      </c>
      <c r="S390" s="12" t="s">
        <v>99</v>
      </c>
      <c r="T390" s="12">
        <v>1</v>
      </c>
      <c r="U390" s="13">
        <v>43903</v>
      </c>
      <c r="V390" s="12" t="s">
        <v>484</v>
      </c>
      <c r="W390" s="12" t="s">
        <v>92</v>
      </c>
      <c r="X390" s="12" t="s">
        <v>93</v>
      </c>
      <c r="Y390" s="13">
        <v>43903</v>
      </c>
      <c r="Z390" s="75"/>
    </row>
    <row r="391" spans="1:26" s="20" customFormat="1" hidden="1" x14ac:dyDescent="0.3">
      <c r="A391" s="12" t="s">
        <v>85</v>
      </c>
      <c r="B391" s="12">
        <v>17934</v>
      </c>
      <c r="C391" s="11" t="s">
        <v>479</v>
      </c>
      <c r="D391" s="12" t="s">
        <v>1</v>
      </c>
      <c r="E391" s="12" t="s">
        <v>1185</v>
      </c>
      <c r="F391" s="12" t="s">
        <v>87</v>
      </c>
      <c r="G391" s="12" t="s">
        <v>113</v>
      </c>
      <c r="H391" s="12" t="s">
        <v>480</v>
      </c>
      <c r="I391" s="12" t="s">
        <v>115</v>
      </c>
      <c r="J391" s="11" t="s">
        <v>485</v>
      </c>
      <c r="K391" s="11" t="s">
        <v>485</v>
      </c>
      <c r="L391" s="11" t="s">
        <v>1194</v>
      </c>
      <c r="M391" s="11" t="s">
        <v>482</v>
      </c>
      <c r="N391" s="59">
        <v>0</v>
      </c>
      <c r="O391" s="59">
        <v>106.85</v>
      </c>
      <c r="P391" s="12" t="s">
        <v>486</v>
      </c>
      <c r="Q391" s="12" t="s">
        <v>12</v>
      </c>
      <c r="R391" s="12" t="s">
        <v>99</v>
      </c>
      <c r="S391" s="12" t="s">
        <v>99</v>
      </c>
      <c r="T391" s="12">
        <v>1</v>
      </c>
      <c r="U391" s="13"/>
      <c r="V391" s="12" t="s">
        <v>484</v>
      </c>
      <c r="W391" s="12" t="s">
        <v>92</v>
      </c>
      <c r="X391" s="12" t="s">
        <v>93</v>
      </c>
      <c r="Y391" s="13">
        <v>43903</v>
      </c>
      <c r="Z391" s="75"/>
    </row>
    <row r="392" spans="1:26" s="20" customFormat="1" hidden="1" x14ac:dyDescent="0.3">
      <c r="A392" s="12" t="s">
        <v>85</v>
      </c>
      <c r="B392" s="12">
        <v>18217</v>
      </c>
      <c r="C392" s="11" t="s">
        <v>453</v>
      </c>
      <c r="D392" s="12" t="s">
        <v>1</v>
      </c>
      <c r="E392" s="12" t="s">
        <v>1185</v>
      </c>
      <c r="F392" s="12" t="s">
        <v>113</v>
      </c>
      <c r="G392" s="12" t="s">
        <v>113</v>
      </c>
      <c r="H392" s="12" t="s">
        <v>454</v>
      </c>
      <c r="I392" s="12" t="s">
        <v>115</v>
      </c>
      <c r="J392" s="11" t="s">
        <v>1245</v>
      </c>
      <c r="K392" s="11" t="s">
        <v>1245</v>
      </c>
      <c r="L392" s="11" t="s">
        <v>1199</v>
      </c>
      <c r="M392" s="11" t="s">
        <v>487</v>
      </c>
      <c r="N392" s="57">
        <v>23750</v>
      </c>
      <c r="O392" s="57"/>
      <c r="P392" s="12"/>
      <c r="Q392" s="12" t="s">
        <v>4</v>
      </c>
      <c r="R392" s="12" t="s">
        <v>13</v>
      </c>
      <c r="S392" s="12" t="s">
        <v>25</v>
      </c>
      <c r="T392" s="12">
        <v>0</v>
      </c>
      <c r="U392" s="13"/>
      <c r="V392" s="12" t="s">
        <v>92</v>
      </c>
      <c r="W392" s="12" t="s">
        <v>92</v>
      </c>
      <c r="X392" s="12" t="s">
        <v>93</v>
      </c>
      <c r="Y392" s="13"/>
      <c r="Z392" s="75"/>
    </row>
    <row r="393" spans="1:26" s="20" customFormat="1" hidden="1" x14ac:dyDescent="0.3">
      <c r="A393" s="12" t="s">
        <v>85</v>
      </c>
      <c r="B393" s="12">
        <v>18217</v>
      </c>
      <c r="C393" s="11" t="s">
        <v>453</v>
      </c>
      <c r="D393" s="12" t="s">
        <v>1</v>
      </c>
      <c r="E393" s="12" t="s">
        <v>1185</v>
      </c>
      <c r="F393" s="12" t="s">
        <v>113</v>
      </c>
      <c r="G393" s="12" t="s">
        <v>113</v>
      </c>
      <c r="H393" s="12" t="s">
        <v>454</v>
      </c>
      <c r="I393" s="12" t="s">
        <v>115</v>
      </c>
      <c r="J393" s="11" t="s">
        <v>1245</v>
      </c>
      <c r="K393" s="11" t="s">
        <v>1245</v>
      </c>
      <c r="L393" s="11" t="s">
        <v>1199</v>
      </c>
      <c r="M393" s="11" t="s">
        <v>487</v>
      </c>
      <c r="N393" s="57">
        <v>23750</v>
      </c>
      <c r="O393" s="57"/>
      <c r="P393" s="12"/>
      <c r="Q393" s="12" t="s">
        <v>4</v>
      </c>
      <c r="R393" s="12" t="s">
        <v>15</v>
      </c>
      <c r="S393" s="12" t="s">
        <v>22</v>
      </c>
      <c r="T393" s="12">
        <v>1</v>
      </c>
      <c r="U393" s="13">
        <v>43997</v>
      </c>
      <c r="V393" s="12" t="s">
        <v>110</v>
      </c>
      <c r="W393" s="12" t="s">
        <v>92</v>
      </c>
      <c r="X393" s="12" t="s">
        <v>105</v>
      </c>
      <c r="Y393" s="13"/>
      <c r="Z393" s="75"/>
    </row>
    <row r="394" spans="1:26" s="20" customFormat="1" hidden="1" x14ac:dyDescent="0.3">
      <c r="A394" s="12" t="s">
        <v>85</v>
      </c>
      <c r="B394" s="12">
        <v>18217</v>
      </c>
      <c r="C394" s="11" t="s">
        <v>453</v>
      </c>
      <c r="D394" s="12" t="s">
        <v>1</v>
      </c>
      <c r="E394" s="12" t="s">
        <v>1185</v>
      </c>
      <c r="F394" s="12" t="s">
        <v>113</v>
      </c>
      <c r="G394" s="12" t="s">
        <v>113</v>
      </c>
      <c r="H394" s="12" t="s">
        <v>454</v>
      </c>
      <c r="I394" s="12" t="s">
        <v>115</v>
      </c>
      <c r="J394" s="11" t="s">
        <v>1245</v>
      </c>
      <c r="K394" s="11" t="s">
        <v>1245</v>
      </c>
      <c r="L394" s="11" t="s">
        <v>1199</v>
      </c>
      <c r="M394" s="11" t="s">
        <v>487</v>
      </c>
      <c r="N394" s="57">
        <v>23750</v>
      </c>
      <c r="O394" s="57"/>
      <c r="P394" s="12"/>
      <c r="Q394" s="12" t="s">
        <v>4</v>
      </c>
      <c r="R394" s="12" t="s">
        <v>15</v>
      </c>
      <c r="S394" s="12" t="s">
        <v>49</v>
      </c>
      <c r="T394" s="12">
        <v>1</v>
      </c>
      <c r="U394" s="13">
        <v>43997</v>
      </c>
      <c r="V394" s="12" t="s">
        <v>488</v>
      </c>
      <c r="W394" s="12" t="s">
        <v>92</v>
      </c>
      <c r="X394" s="12" t="s">
        <v>105</v>
      </c>
      <c r="Y394" s="13"/>
      <c r="Z394" s="75"/>
    </row>
    <row r="395" spans="1:26" s="20" customFormat="1" hidden="1" x14ac:dyDescent="0.3">
      <c r="A395" s="12" t="s">
        <v>85</v>
      </c>
      <c r="B395" s="12">
        <v>18217</v>
      </c>
      <c r="C395" s="11" t="s">
        <v>453</v>
      </c>
      <c r="D395" s="12" t="s">
        <v>1</v>
      </c>
      <c r="E395" s="12" t="s">
        <v>1185</v>
      </c>
      <c r="F395" s="12" t="s">
        <v>113</v>
      </c>
      <c r="G395" s="12" t="s">
        <v>113</v>
      </c>
      <c r="H395" s="12" t="s">
        <v>454</v>
      </c>
      <c r="I395" s="12" t="s">
        <v>115</v>
      </c>
      <c r="J395" s="11" t="s">
        <v>1245</v>
      </c>
      <c r="K395" s="11" t="s">
        <v>1245</v>
      </c>
      <c r="L395" s="11" t="s">
        <v>1199</v>
      </c>
      <c r="M395" s="11" t="s">
        <v>487</v>
      </c>
      <c r="N395" s="57">
        <v>23750</v>
      </c>
      <c r="O395" s="57"/>
      <c r="P395" s="12"/>
      <c r="Q395" s="12" t="s">
        <v>4</v>
      </c>
      <c r="R395" s="12" t="s">
        <v>15</v>
      </c>
      <c r="S395" s="12" t="s">
        <v>22</v>
      </c>
      <c r="T395" s="12">
        <v>1</v>
      </c>
      <c r="U395" s="13">
        <v>44027</v>
      </c>
      <c r="V395" s="12" t="s">
        <v>111</v>
      </c>
      <c r="W395" s="12" t="s">
        <v>92</v>
      </c>
      <c r="X395" s="12" t="s">
        <v>105</v>
      </c>
      <c r="Y395" s="13"/>
      <c r="Z395" s="75"/>
    </row>
    <row r="396" spans="1:26" s="20" customFormat="1" hidden="1" x14ac:dyDescent="0.3">
      <c r="A396" s="12" t="s">
        <v>85</v>
      </c>
      <c r="B396" s="12">
        <v>18524</v>
      </c>
      <c r="C396" s="11" t="s">
        <v>489</v>
      </c>
      <c r="D396" s="12" t="s">
        <v>1</v>
      </c>
      <c r="E396" s="12" t="s">
        <v>1185</v>
      </c>
      <c r="F396" s="12" t="s">
        <v>87</v>
      </c>
      <c r="G396" s="12" t="s">
        <v>113</v>
      </c>
      <c r="H396" s="12" t="s">
        <v>255</v>
      </c>
      <c r="I396" s="12" t="s">
        <v>89</v>
      </c>
      <c r="J396" s="11" t="s">
        <v>1235</v>
      </c>
      <c r="K396" s="11" t="s">
        <v>1235</v>
      </c>
      <c r="L396" s="11" t="s">
        <v>1199</v>
      </c>
      <c r="M396" s="11" t="s">
        <v>490</v>
      </c>
      <c r="N396" s="57">
        <v>85936.43</v>
      </c>
      <c r="O396" s="59"/>
      <c r="P396" s="12">
        <v>0</v>
      </c>
      <c r="Q396" s="12" t="s">
        <v>12</v>
      </c>
      <c r="R396" s="12" t="s">
        <v>99</v>
      </c>
      <c r="S396" s="12" t="s">
        <v>99</v>
      </c>
      <c r="T396" s="12">
        <v>1</v>
      </c>
      <c r="U396" s="13">
        <v>43881</v>
      </c>
      <c r="V396" s="12" t="s">
        <v>491</v>
      </c>
      <c r="W396" s="12" t="s">
        <v>92</v>
      </c>
      <c r="X396" s="12" t="s">
        <v>93</v>
      </c>
      <c r="Y396" s="13">
        <v>43907</v>
      </c>
      <c r="Z396" s="75"/>
    </row>
    <row r="397" spans="1:26" s="20" customFormat="1" hidden="1" x14ac:dyDescent="0.3">
      <c r="A397" s="12" t="s">
        <v>85</v>
      </c>
      <c r="B397" s="12">
        <v>18657</v>
      </c>
      <c r="C397" s="11" t="s">
        <v>95</v>
      </c>
      <c r="D397" s="12" t="s">
        <v>1</v>
      </c>
      <c r="E397" s="12" t="s">
        <v>1185</v>
      </c>
      <c r="F397" s="12" t="s">
        <v>87</v>
      </c>
      <c r="G397" s="12" t="s">
        <v>87</v>
      </c>
      <c r="H397" s="12" t="s">
        <v>96</v>
      </c>
      <c r="I397" s="12" t="s">
        <v>89</v>
      </c>
      <c r="J397" s="11" t="s">
        <v>1265</v>
      </c>
      <c r="K397" s="11" t="s">
        <v>1234</v>
      </c>
      <c r="L397" s="11" t="s">
        <v>1194</v>
      </c>
      <c r="M397" s="11" t="s">
        <v>492</v>
      </c>
      <c r="N397" s="58">
        <v>321.75</v>
      </c>
      <c r="O397" s="58">
        <v>149.30000000000001</v>
      </c>
      <c r="P397" s="12" t="s">
        <v>493</v>
      </c>
      <c r="Q397" s="12" t="s">
        <v>4</v>
      </c>
      <c r="R397" s="12" t="s">
        <v>15</v>
      </c>
      <c r="S397" s="12" t="s">
        <v>50</v>
      </c>
      <c r="T397" s="12">
        <v>0</v>
      </c>
      <c r="U397" s="13"/>
      <c r="V397" s="12" t="s">
        <v>92</v>
      </c>
      <c r="W397" s="12" t="s">
        <v>92</v>
      </c>
      <c r="X397" s="12" t="s">
        <v>108</v>
      </c>
      <c r="Y397" s="13"/>
      <c r="Z397" s="75"/>
    </row>
    <row r="398" spans="1:26" s="20" customFormat="1" x14ac:dyDescent="0.3">
      <c r="A398" s="12" t="s">
        <v>85</v>
      </c>
      <c r="B398" s="12">
        <v>19631</v>
      </c>
      <c r="C398" s="11" t="s">
        <v>112</v>
      </c>
      <c r="D398" s="12" t="s">
        <v>1</v>
      </c>
      <c r="E398" s="12" t="s">
        <v>1185</v>
      </c>
      <c r="F398" s="12" t="s">
        <v>113</v>
      </c>
      <c r="G398" s="12" t="s">
        <v>113</v>
      </c>
      <c r="H398" s="12" t="s">
        <v>114</v>
      </c>
      <c r="I398" s="12" t="s">
        <v>115</v>
      </c>
      <c r="J398" s="11" t="s">
        <v>494</v>
      </c>
      <c r="K398" s="11" t="s">
        <v>494</v>
      </c>
      <c r="L398" s="11" t="s">
        <v>1195</v>
      </c>
      <c r="M398" s="11" t="s">
        <v>495</v>
      </c>
      <c r="N398" s="59">
        <f>378+388.08</f>
        <v>766.07999999999993</v>
      </c>
      <c r="O398" s="59"/>
      <c r="P398" s="12"/>
      <c r="Q398" s="12" t="s">
        <v>4</v>
      </c>
      <c r="R398" s="12" t="s">
        <v>13</v>
      </c>
      <c r="S398" s="12" t="s">
        <v>25</v>
      </c>
      <c r="T398" s="12">
        <v>0</v>
      </c>
      <c r="U398" s="13"/>
      <c r="V398" s="12" t="s">
        <v>92</v>
      </c>
      <c r="W398" s="12" t="s">
        <v>92</v>
      </c>
      <c r="X398" s="12" t="s">
        <v>93</v>
      </c>
      <c r="Y398" s="13"/>
      <c r="Z398" s="75"/>
    </row>
    <row r="399" spans="1:26" s="20" customFormat="1" hidden="1" x14ac:dyDescent="0.3">
      <c r="A399" s="12" t="s">
        <v>85</v>
      </c>
      <c r="B399" s="12">
        <v>20131</v>
      </c>
      <c r="C399" s="11" t="s">
        <v>333</v>
      </c>
      <c r="D399" s="12" t="s">
        <v>1</v>
      </c>
      <c r="E399" s="12" t="s">
        <v>1185</v>
      </c>
      <c r="F399" s="12" t="s">
        <v>132</v>
      </c>
      <c r="G399" s="12" t="s">
        <v>132</v>
      </c>
      <c r="H399" s="12" t="s">
        <v>334</v>
      </c>
      <c r="I399" s="12" t="s">
        <v>89</v>
      </c>
      <c r="J399" s="11" t="s">
        <v>496</v>
      </c>
      <c r="K399" s="11" t="s">
        <v>496</v>
      </c>
      <c r="L399" s="11" t="s">
        <v>1195</v>
      </c>
      <c r="M399" s="11" t="s">
        <v>497</v>
      </c>
      <c r="N399" s="57">
        <v>3250</v>
      </c>
      <c r="O399" s="59"/>
      <c r="P399" s="12" t="s">
        <v>498</v>
      </c>
      <c r="Q399" s="12" t="s">
        <v>12</v>
      </c>
      <c r="R399" s="12" t="s">
        <v>99</v>
      </c>
      <c r="S399" s="12" t="s">
        <v>99</v>
      </c>
      <c r="T399" s="12">
        <v>0</v>
      </c>
      <c r="U399" s="13"/>
      <c r="V399" s="12" t="s">
        <v>92</v>
      </c>
      <c r="W399" s="12" t="s">
        <v>92</v>
      </c>
      <c r="X399" s="12" t="s">
        <v>135</v>
      </c>
      <c r="Y399" s="13"/>
      <c r="Z399" s="75"/>
    </row>
    <row r="400" spans="1:26" s="20" customFormat="1" hidden="1" x14ac:dyDescent="0.3">
      <c r="A400" s="12" t="s">
        <v>85</v>
      </c>
      <c r="B400" s="12">
        <v>20132</v>
      </c>
      <c r="C400" s="11" t="s">
        <v>333</v>
      </c>
      <c r="D400" s="12" t="s">
        <v>1</v>
      </c>
      <c r="E400" s="12" t="s">
        <v>1185</v>
      </c>
      <c r="F400" s="12" t="s">
        <v>132</v>
      </c>
      <c r="G400" s="12" t="s">
        <v>132</v>
      </c>
      <c r="H400" s="12" t="s">
        <v>334</v>
      </c>
      <c r="I400" s="12" t="s">
        <v>89</v>
      </c>
      <c r="J400" s="11" t="s">
        <v>496</v>
      </c>
      <c r="K400" s="11" t="s">
        <v>496</v>
      </c>
      <c r="L400" s="11" t="s">
        <v>1195</v>
      </c>
      <c r="M400" s="11" t="s">
        <v>497</v>
      </c>
      <c r="N400" s="57">
        <v>3250</v>
      </c>
      <c r="O400" s="59"/>
      <c r="P400" s="12" t="s">
        <v>498</v>
      </c>
      <c r="Q400" s="12" t="s">
        <v>12</v>
      </c>
      <c r="R400" s="12" t="s">
        <v>99</v>
      </c>
      <c r="S400" s="12" t="s">
        <v>99</v>
      </c>
      <c r="T400" s="12">
        <v>0</v>
      </c>
      <c r="U400" s="13"/>
      <c r="V400" s="12" t="s">
        <v>92</v>
      </c>
      <c r="W400" s="12" t="s">
        <v>92</v>
      </c>
      <c r="X400" s="12" t="s">
        <v>135</v>
      </c>
      <c r="Y400" s="13"/>
      <c r="Z400" s="75"/>
    </row>
    <row r="401" spans="1:26" s="20" customFormat="1" hidden="1" x14ac:dyDescent="0.3">
      <c r="A401" s="12" t="s">
        <v>85</v>
      </c>
      <c r="B401" s="12">
        <v>20135</v>
      </c>
      <c r="C401" s="11" t="s">
        <v>333</v>
      </c>
      <c r="D401" s="12" t="s">
        <v>1</v>
      </c>
      <c r="E401" s="12" t="s">
        <v>1185</v>
      </c>
      <c r="F401" s="12" t="s">
        <v>132</v>
      </c>
      <c r="G401" s="12" t="s">
        <v>132</v>
      </c>
      <c r="H401" s="12" t="s">
        <v>334</v>
      </c>
      <c r="I401" s="12" t="s">
        <v>89</v>
      </c>
      <c r="J401" s="11" t="s">
        <v>496</v>
      </c>
      <c r="K401" s="11" t="s">
        <v>496</v>
      </c>
      <c r="L401" s="11" t="s">
        <v>1195</v>
      </c>
      <c r="M401" s="11" t="s">
        <v>497</v>
      </c>
      <c r="N401" s="57">
        <v>3250</v>
      </c>
      <c r="O401" s="59"/>
      <c r="P401" s="12" t="s">
        <v>498</v>
      </c>
      <c r="Q401" s="12" t="s">
        <v>12</v>
      </c>
      <c r="R401" s="12" t="s">
        <v>99</v>
      </c>
      <c r="S401" s="12" t="s">
        <v>99</v>
      </c>
      <c r="T401" s="12">
        <v>0</v>
      </c>
      <c r="U401" s="13"/>
      <c r="V401" s="12" t="s">
        <v>92</v>
      </c>
      <c r="W401" s="12" t="s">
        <v>92</v>
      </c>
      <c r="X401" s="12" t="s">
        <v>135</v>
      </c>
      <c r="Y401" s="13"/>
      <c r="Z401" s="75"/>
    </row>
    <row r="402" spans="1:26" s="20" customFormat="1" hidden="1" x14ac:dyDescent="0.3">
      <c r="A402" s="12" t="s">
        <v>85</v>
      </c>
      <c r="B402" s="12">
        <v>20136</v>
      </c>
      <c r="C402" s="11" t="s">
        <v>333</v>
      </c>
      <c r="D402" s="12" t="s">
        <v>1</v>
      </c>
      <c r="E402" s="12" t="s">
        <v>1185</v>
      </c>
      <c r="F402" s="12" t="s">
        <v>132</v>
      </c>
      <c r="G402" s="12" t="s">
        <v>132</v>
      </c>
      <c r="H402" s="12" t="s">
        <v>334</v>
      </c>
      <c r="I402" s="12" t="s">
        <v>89</v>
      </c>
      <c r="J402" s="11" t="s">
        <v>496</v>
      </c>
      <c r="K402" s="11" t="s">
        <v>496</v>
      </c>
      <c r="L402" s="11" t="s">
        <v>1195</v>
      </c>
      <c r="M402" s="11" t="s">
        <v>497</v>
      </c>
      <c r="N402" s="57">
        <v>3250</v>
      </c>
      <c r="O402" s="59"/>
      <c r="P402" s="12" t="s">
        <v>498</v>
      </c>
      <c r="Q402" s="12" t="s">
        <v>12</v>
      </c>
      <c r="R402" s="12" t="s">
        <v>99</v>
      </c>
      <c r="S402" s="12" t="s">
        <v>99</v>
      </c>
      <c r="T402" s="12">
        <v>0</v>
      </c>
      <c r="U402" s="13"/>
      <c r="V402" s="12" t="s">
        <v>92</v>
      </c>
      <c r="W402" s="12" t="s">
        <v>92</v>
      </c>
      <c r="X402" s="12" t="s">
        <v>135</v>
      </c>
      <c r="Y402" s="13"/>
      <c r="Z402" s="75"/>
    </row>
    <row r="403" spans="1:26" s="20" customFormat="1" hidden="1" x14ac:dyDescent="0.3">
      <c r="A403" s="12" t="s">
        <v>85</v>
      </c>
      <c r="B403" s="12">
        <v>20182</v>
      </c>
      <c r="C403" s="11" t="s">
        <v>95</v>
      </c>
      <c r="D403" s="12" t="s">
        <v>1</v>
      </c>
      <c r="E403" s="12" t="s">
        <v>1185</v>
      </c>
      <c r="F403" s="12" t="s">
        <v>87</v>
      </c>
      <c r="G403" s="12" t="s">
        <v>87</v>
      </c>
      <c r="H403" s="12" t="s">
        <v>96</v>
      </c>
      <c r="I403" s="12" t="s">
        <v>89</v>
      </c>
      <c r="J403" s="11" t="s">
        <v>293</v>
      </c>
      <c r="K403" s="11" t="s">
        <v>293</v>
      </c>
      <c r="L403" s="11" t="s">
        <v>1202</v>
      </c>
      <c r="M403" s="11" t="s">
        <v>92</v>
      </c>
      <c r="N403" s="58">
        <v>660</v>
      </c>
      <c r="O403" s="59"/>
      <c r="P403" s="12" t="s">
        <v>499</v>
      </c>
      <c r="Q403" s="12" t="s">
        <v>4</v>
      </c>
      <c r="R403" s="12" t="s">
        <v>15</v>
      </c>
      <c r="S403" s="12" t="s">
        <v>29</v>
      </c>
      <c r="T403" s="12">
        <v>1</v>
      </c>
      <c r="U403" s="13"/>
      <c r="V403" s="12" t="s">
        <v>500</v>
      </c>
      <c r="W403" s="12" t="s">
        <v>92</v>
      </c>
      <c r="X403" s="12" t="s">
        <v>93</v>
      </c>
      <c r="Y403" s="13"/>
      <c r="Z403" s="75"/>
    </row>
    <row r="404" spans="1:26" s="20" customFormat="1" hidden="1" x14ac:dyDescent="0.3">
      <c r="A404" s="12" t="s">
        <v>85</v>
      </c>
      <c r="B404" s="12">
        <v>20182</v>
      </c>
      <c r="C404" s="11" t="s">
        <v>95</v>
      </c>
      <c r="D404" s="12" t="s">
        <v>1</v>
      </c>
      <c r="E404" s="12" t="s">
        <v>1185</v>
      </c>
      <c r="F404" s="12" t="s">
        <v>87</v>
      </c>
      <c r="G404" s="12" t="s">
        <v>87</v>
      </c>
      <c r="H404" s="12" t="s">
        <v>96</v>
      </c>
      <c r="I404" s="12" t="s">
        <v>89</v>
      </c>
      <c r="J404" s="11" t="s">
        <v>293</v>
      </c>
      <c r="K404" s="11" t="s">
        <v>293</v>
      </c>
      <c r="L404" s="11" t="s">
        <v>1202</v>
      </c>
      <c r="M404" s="11" t="s">
        <v>92</v>
      </c>
      <c r="N404" s="58">
        <v>660</v>
      </c>
      <c r="O404" s="59"/>
      <c r="P404" s="12" t="s">
        <v>499</v>
      </c>
      <c r="Q404" s="12" t="s">
        <v>4</v>
      </c>
      <c r="R404" s="12" t="s">
        <v>15</v>
      </c>
      <c r="S404" s="12" t="s">
        <v>29</v>
      </c>
      <c r="T404" s="12">
        <v>1</v>
      </c>
      <c r="U404" s="13">
        <v>43814</v>
      </c>
      <c r="V404" s="12" t="s">
        <v>501</v>
      </c>
      <c r="W404" s="12" t="s">
        <v>92</v>
      </c>
      <c r="X404" s="12" t="s">
        <v>93</v>
      </c>
      <c r="Y404" s="13"/>
      <c r="Z404" s="75"/>
    </row>
    <row r="405" spans="1:26" s="20" customFormat="1" hidden="1" x14ac:dyDescent="0.3">
      <c r="A405" s="12" t="s">
        <v>85</v>
      </c>
      <c r="B405" s="12">
        <v>20182</v>
      </c>
      <c r="C405" s="11" t="s">
        <v>95</v>
      </c>
      <c r="D405" s="12" t="s">
        <v>1</v>
      </c>
      <c r="E405" s="12" t="s">
        <v>1185</v>
      </c>
      <c r="F405" s="12" t="s">
        <v>87</v>
      </c>
      <c r="G405" s="12" t="s">
        <v>87</v>
      </c>
      <c r="H405" s="12" t="s">
        <v>96</v>
      </c>
      <c r="I405" s="12" t="s">
        <v>89</v>
      </c>
      <c r="J405" s="11" t="s">
        <v>293</v>
      </c>
      <c r="K405" s="11" t="s">
        <v>293</v>
      </c>
      <c r="L405" s="11" t="s">
        <v>1202</v>
      </c>
      <c r="M405" s="11" t="s">
        <v>92</v>
      </c>
      <c r="N405" s="58">
        <v>660</v>
      </c>
      <c r="O405" s="59"/>
      <c r="P405" s="12" t="s">
        <v>499</v>
      </c>
      <c r="Q405" s="12" t="s">
        <v>4</v>
      </c>
      <c r="R405" s="12" t="s">
        <v>15</v>
      </c>
      <c r="S405" s="12" t="s">
        <v>29</v>
      </c>
      <c r="T405" s="12">
        <v>1</v>
      </c>
      <c r="U405" s="13">
        <v>43847</v>
      </c>
      <c r="V405" s="12" t="s">
        <v>502</v>
      </c>
      <c r="W405" s="12" t="s">
        <v>92</v>
      </c>
      <c r="X405" s="12" t="s">
        <v>93</v>
      </c>
      <c r="Y405" s="13"/>
      <c r="Z405" s="75"/>
    </row>
    <row r="406" spans="1:26" s="20" customFormat="1" hidden="1" x14ac:dyDescent="0.3">
      <c r="A406" s="12" t="s">
        <v>85</v>
      </c>
      <c r="B406" s="12">
        <v>20182</v>
      </c>
      <c r="C406" s="11" t="s">
        <v>95</v>
      </c>
      <c r="D406" s="12" t="s">
        <v>1</v>
      </c>
      <c r="E406" s="12" t="s">
        <v>1185</v>
      </c>
      <c r="F406" s="12" t="s">
        <v>87</v>
      </c>
      <c r="G406" s="12" t="s">
        <v>87</v>
      </c>
      <c r="H406" s="12" t="s">
        <v>96</v>
      </c>
      <c r="I406" s="12" t="s">
        <v>89</v>
      </c>
      <c r="J406" s="11" t="s">
        <v>293</v>
      </c>
      <c r="K406" s="11" t="s">
        <v>293</v>
      </c>
      <c r="L406" s="11" t="s">
        <v>1202</v>
      </c>
      <c r="M406" s="11" t="s">
        <v>92</v>
      </c>
      <c r="N406" s="58">
        <v>660</v>
      </c>
      <c r="O406" s="59"/>
      <c r="P406" s="12" t="s">
        <v>499</v>
      </c>
      <c r="Q406" s="12" t="s">
        <v>4</v>
      </c>
      <c r="R406" s="12" t="s">
        <v>15</v>
      </c>
      <c r="S406" s="12" t="s">
        <v>29</v>
      </c>
      <c r="T406" s="12">
        <v>1</v>
      </c>
      <c r="U406" s="13">
        <v>43879</v>
      </c>
      <c r="V406" s="12" t="s">
        <v>503</v>
      </c>
      <c r="W406" s="12" t="s">
        <v>92</v>
      </c>
      <c r="X406" s="12" t="s">
        <v>93</v>
      </c>
      <c r="Y406" s="13"/>
      <c r="Z406" s="75"/>
    </row>
    <row r="407" spans="1:26" s="20" customFormat="1" hidden="1" x14ac:dyDescent="0.3">
      <c r="A407" s="12" t="s">
        <v>85</v>
      </c>
      <c r="B407" s="12">
        <v>20182</v>
      </c>
      <c r="C407" s="11" t="s">
        <v>95</v>
      </c>
      <c r="D407" s="12" t="s">
        <v>1</v>
      </c>
      <c r="E407" s="12" t="s">
        <v>1185</v>
      </c>
      <c r="F407" s="12" t="s">
        <v>87</v>
      </c>
      <c r="G407" s="12" t="s">
        <v>87</v>
      </c>
      <c r="H407" s="12" t="s">
        <v>96</v>
      </c>
      <c r="I407" s="12" t="s">
        <v>89</v>
      </c>
      <c r="J407" s="11" t="s">
        <v>293</v>
      </c>
      <c r="K407" s="11" t="s">
        <v>293</v>
      </c>
      <c r="L407" s="11" t="s">
        <v>1202</v>
      </c>
      <c r="M407" s="11" t="s">
        <v>92</v>
      </c>
      <c r="N407" s="58">
        <v>660</v>
      </c>
      <c r="O407" s="59"/>
      <c r="P407" s="12" t="s">
        <v>499</v>
      </c>
      <c r="Q407" s="12" t="s">
        <v>4</v>
      </c>
      <c r="R407" s="12" t="s">
        <v>15</v>
      </c>
      <c r="S407" s="12" t="s">
        <v>29</v>
      </c>
      <c r="T407" s="12">
        <v>1</v>
      </c>
      <c r="U407" s="13">
        <v>43939</v>
      </c>
      <c r="V407" s="12" t="s">
        <v>504</v>
      </c>
      <c r="W407" s="12" t="s">
        <v>92</v>
      </c>
      <c r="X407" s="12" t="s">
        <v>93</v>
      </c>
      <c r="Y407" s="13"/>
      <c r="Z407" s="75"/>
    </row>
    <row r="408" spans="1:26" s="20" customFormat="1" hidden="1" x14ac:dyDescent="0.3">
      <c r="A408" s="12" t="s">
        <v>85</v>
      </c>
      <c r="B408" s="12">
        <v>20182</v>
      </c>
      <c r="C408" s="11" t="s">
        <v>95</v>
      </c>
      <c r="D408" s="12" t="s">
        <v>1</v>
      </c>
      <c r="E408" s="12" t="s">
        <v>1185</v>
      </c>
      <c r="F408" s="12" t="s">
        <v>87</v>
      </c>
      <c r="G408" s="12" t="s">
        <v>87</v>
      </c>
      <c r="H408" s="12" t="s">
        <v>96</v>
      </c>
      <c r="I408" s="12" t="s">
        <v>89</v>
      </c>
      <c r="J408" s="11" t="s">
        <v>293</v>
      </c>
      <c r="K408" s="11" t="s">
        <v>293</v>
      </c>
      <c r="L408" s="11" t="s">
        <v>1202</v>
      </c>
      <c r="M408" s="11" t="s">
        <v>92</v>
      </c>
      <c r="N408" s="58">
        <v>660</v>
      </c>
      <c r="O408" s="59"/>
      <c r="P408" s="12" t="s">
        <v>499</v>
      </c>
      <c r="Q408" s="12" t="s">
        <v>4</v>
      </c>
      <c r="R408" s="12" t="s">
        <v>15</v>
      </c>
      <c r="S408" s="12" t="s">
        <v>29</v>
      </c>
      <c r="T408" s="12">
        <v>1</v>
      </c>
      <c r="U408" s="13">
        <v>43962</v>
      </c>
      <c r="V408" s="12" t="s">
        <v>505</v>
      </c>
      <c r="W408" s="12" t="s">
        <v>92</v>
      </c>
      <c r="X408" s="12" t="s">
        <v>93</v>
      </c>
      <c r="Y408" s="13"/>
      <c r="Z408" s="75"/>
    </row>
    <row r="409" spans="1:26" s="20" customFormat="1" hidden="1" x14ac:dyDescent="0.3">
      <c r="A409" s="12" t="s">
        <v>85</v>
      </c>
      <c r="B409" s="12">
        <v>20182</v>
      </c>
      <c r="C409" s="11" t="s">
        <v>95</v>
      </c>
      <c r="D409" s="12" t="s">
        <v>1</v>
      </c>
      <c r="E409" s="12" t="s">
        <v>1185</v>
      </c>
      <c r="F409" s="12" t="s">
        <v>87</v>
      </c>
      <c r="G409" s="12" t="s">
        <v>87</v>
      </c>
      <c r="H409" s="12" t="s">
        <v>96</v>
      </c>
      <c r="I409" s="12" t="s">
        <v>89</v>
      </c>
      <c r="J409" s="11" t="s">
        <v>293</v>
      </c>
      <c r="K409" s="11" t="s">
        <v>293</v>
      </c>
      <c r="L409" s="11" t="s">
        <v>1202</v>
      </c>
      <c r="M409" s="11" t="s">
        <v>92</v>
      </c>
      <c r="N409" s="58">
        <v>660</v>
      </c>
      <c r="O409" s="59"/>
      <c r="P409" s="12" t="s">
        <v>499</v>
      </c>
      <c r="Q409" s="12" t="s">
        <v>4</v>
      </c>
      <c r="R409" s="12" t="s">
        <v>15</v>
      </c>
      <c r="S409" s="12" t="s">
        <v>29</v>
      </c>
      <c r="T409" s="12">
        <v>1</v>
      </c>
      <c r="U409" s="13">
        <v>43992</v>
      </c>
      <c r="V409" s="12" t="s">
        <v>506</v>
      </c>
      <c r="W409" s="12" t="s">
        <v>92</v>
      </c>
      <c r="X409" s="12" t="s">
        <v>93</v>
      </c>
      <c r="Y409" s="13"/>
      <c r="Z409" s="75"/>
    </row>
    <row r="410" spans="1:26" s="20" customFormat="1" hidden="1" x14ac:dyDescent="0.3">
      <c r="A410" s="12" t="s">
        <v>85</v>
      </c>
      <c r="B410" s="12">
        <v>20182</v>
      </c>
      <c r="C410" s="11" t="s">
        <v>95</v>
      </c>
      <c r="D410" s="12" t="s">
        <v>1</v>
      </c>
      <c r="E410" s="12" t="s">
        <v>1185</v>
      </c>
      <c r="F410" s="12" t="s">
        <v>87</v>
      </c>
      <c r="G410" s="12" t="s">
        <v>87</v>
      </c>
      <c r="H410" s="12" t="s">
        <v>96</v>
      </c>
      <c r="I410" s="12" t="s">
        <v>89</v>
      </c>
      <c r="J410" s="11" t="s">
        <v>293</v>
      </c>
      <c r="K410" s="11" t="s">
        <v>293</v>
      </c>
      <c r="L410" s="11" t="s">
        <v>1202</v>
      </c>
      <c r="M410" s="11" t="s">
        <v>92</v>
      </c>
      <c r="N410" s="58">
        <v>660</v>
      </c>
      <c r="O410" s="59"/>
      <c r="P410" s="12" t="s">
        <v>499</v>
      </c>
      <c r="Q410" s="12" t="s">
        <v>4</v>
      </c>
      <c r="R410" s="12" t="s">
        <v>15</v>
      </c>
      <c r="S410" s="12" t="s">
        <v>29</v>
      </c>
      <c r="T410" s="12">
        <v>1</v>
      </c>
      <c r="U410" s="13">
        <v>43998</v>
      </c>
      <c r="V410" s="12" t="s">
        <v>507</v>
      </c>
      <c r="W410" s="12" t="s">
        <v>92</v>
      </c>
      <c r="X410" s="12" t="s">
        <v>93</v>
      </c>
      <c r="Y410" s="13"/>
      <c r="Z410" s="75"/>
    </row>
    <row r="411" spans="1:26" s="20" customFormat="1" hidden="1" x14ac:dyDescent="0.3">
      <c r="A411" s="12" t="s">
        <v>85</v>
      </c>
      <c r="B411" s="12">
        <v>20182</v>
      </c>
      <c r="C411" s="11" t="s">
        <v>95</v>
      </c>
      <c r="D411" s="12" t="s">
        <v>1</v>
      </c>
      <c r="E411" s="12" t="s">
        <v>1185</v>
      </c>
      <c r="F411" s="12" t="s">
        <v>87</v>
      </c>
      <c r="G411" s="12" t="s">
        <v>87</v>
      </c>
      <c r="H411" s="12" t="s">
        <v>96</v>
      </c>
      <c r="I411" s="12" t="s">
        <v>89</v>
      </c>
      <c r="J411" s="11" t="s">
        <v>293</v>
      </c>
      <c r="K411" s="11" t="s">
        <v>293</v>
      </c>
      <c r="L411" s="11" t="s">
        <v>1202</v>
      </c>
      <c r="M411" s="11" t="s">
        <v>92</v>
      </c>
      <c r="N411" s="58">
        <v>660</v>
      </c>
      <c r="O411" s="59"/>
      <c r="P411" s="12" t="s">
        <v>499</v>
      </c>
      <c r="Q411" s="12" t="s">
        <v>4</v>
      </c>
      <c r="R411" s="12" t="s">
        <v>15</v>
      </c>
      <c r="S411" s="12" t="s">
        <v>29</v>
      </c>
      <c r="T411" s="12">
        <v>1</v>
      </c>
      <c r="U411" s="13">
        <v>44000</v>
      </c>
      <c r="V411" s="12" t="s">
        <v>508</v>
      </c>
      <c r="W411" s="12" t="s">
        <v>92</v>
      </c>
      <c r="X411" s="12" t="s">
        <v>93</v>
      </c>
      <c r="Y411" s="13"/>
      <c r="Z411" s="75"/>
    </row>
    <row r="412" spans="1:26" s="20" customFormat="1" hidden="1" x14ac:dyDescent="0.3">
      <c r="A412" s="12" t="s">
        <v>85</v>
      </c>
      <c r="B412" s="12">
        <v>20182</v>
      </c>
      <c r="C412" s="11" t="s">
        <v>95</v>
      </c>
      <c r="D412" s="12" t="s">
        <v>1</v>
      </c>
      <c r="E412" s="12" t="s">
        <v>1185</v>
      </c>
      <c r="F412" s="12" t="s">
        <v>87</v>
      </c>
      <c r="G412" s="12" t="s">
        <v>87</v>
      </c>
      <c r="H412" s="12" t="s">
        <v>96</v>
      </c>
      <c r="I412" s="12" t="s">
        <v>89</v>
      </c>
      <c r="J412" s="11" t="s">
        <v>293</v>
      </c>
      <c r="K412" s="11" t="s">
        <v>293</v>
      </c>
      <c r="L412" s="11" t="s">
        <v>1202</v>
      </c>
      <c r="M412" s="11" t="s">
        <v>92</v>
      </c>
      <c r="N412" s="58">
        <v>660</v>
      </c>
      <c r="O412" s="59"/>
      <c r="P412" s="12" t="s">
        <v>499</v>
      </c>
      <c r="Q412" s="12" t="s">
        <v>4</v>
      </c>
      <c r="R412" s="12" t="s">
        <v>15</v>
      </c>
      <c r="S412" s="12" t="s">
        <v>29</v>
      </c>
      <c r="T412" s="12">
        <v>1</v>
      </c>
      <c r="U412" s="13">
        <v>44028</v>
      </c>
      <c r="V412" s="12" t="s">
        <v>509</v>
      </c>
      <c r="W412" s="12" t="s">
        <v>92</v>
      </c>
      <c r="X412" s="12" t="s">
        <v>93</v>
      </c>
      <c r="Y412" s="13"/>
      <c r="Z412" s="75"/>
    </row>
    <row r="413" spans="1:26" s="20" customFormat="1" hidden="1" x14ac:dyDescent="0.3">
      <c r="A413" s="12" t="s">
        <v>122</v>
      </c>
      <c r="B413" s="12">
        <v>20778</v>
      </c>
      <c r="C413" s="11" t="s">
        <v>180</v>
      </c>
      <c r="D413" s="12" t="s">
        <v>1</v>
      </c>
      <c r="E413" s="12" t="s">
        <v>1185</v>
      </c>
      <c r="F413" s="12" t="s">
        <v>87</v>
      </c>
      <c r="G413" s="12" t="s">
        <v>113</v>
      </c>
      <c r="H413" s="12" t="s">
        <v>181</v>
      </c>
      <c r="I413" s="12" t="s">
        <v>89</v>
      </c>
      <c r="J413" s="11" t="s">
        <v>1249</v>
      </c>
      <c r="K413" s="11" t="s">
        <v>1249</v>
      </c>
      <c r="L413" s="11" t="s">
        <v>1199</v>
      </c>
      <c r="M413" s="11" t="s">
        <v>511</v>
      </c>
      <c r="N413" s="60">
        <v>437</v>
      </c>
      <c r="O413" s="59"/>
      <c r="P413" s="12" t="s">
        <v>512</v>
      </c>
      <c r="Q413" s="12" t="s">
        <v>4</v>
      </c>
      <c r="R413" s="12" t="s">
        <v>13</v>
      </c>
      <c r="S413" s="12" t="s">
        <v>25</v>
      </c>
      <c r="T413" s="12">
        <v>1</v>
      </c>
      <c r="U413" s="13">
        <v>44028</v>
      </c>
      <c r="V413" s="12" t="s">
        <v>94</v>
      </c>
      <c r="W413" s="12" t="s">
        <v>92</v>
      </c>
      <c r="X413" s="12" t="s">
        <v>93</v>
      </c>
      <c r="Y413" s="13"/>
      <c r="Z413" s="75"/>
    </row>
    <row r="414" spans="1:26" s="20" customFormat="1" hidden="1" x14ac:dyDescent="0.3">
      <c r="A414" s="12" t="s">
        <v>85</v>
      </c>
      <c r="B414" s="12">
        <v>20836</v>
      </c>
      <c r="C414" s="11" t="s">
        <v>95</v>
      </c>
      <c r="D414" s="12" t="s">
        <v>1</v>
      </c>
      <c r="E414" s="12" t="s">
        <v>1185</v>
      </c>
      <c r="F414" s="12" t="s">
        <v>132</v>
      </c>
      <c r="G414" s="12" t="s">
        <v>132</v>
      </c>
      <c r="H414" s="12" t="s">
        <v>96</v>
      </c>
      <c r="I414" s="12" t="s">
        <v>89</v>
      </c>
      <c r="J414" s="11" t="s">
        <v>1276</v>
      </c>
      <c r="K414" s="11" t="s">
        <v>513</v>
      </c>
      <c r="L414" s="11" t="s">
        <v>1194</v>
      </c>
      <c r="M414" s="11" t="s">
        <v>450</v>
      </c>
      <c r="N414" s="58">
        <v>279816.01</v>
      </c>
      <c r="O414" s="58">
        <v>5434</v>
      </c>
      <c r="P414" s="54" t="s">
        <v>514</v>
      </c>
      <c r="Q414" s="12" t="s">
        <v>4</v>
      </c>
      <c r="R414" s="12" t="s">
        <v>15</v>
      </c>
      <c r="S414" s="12" t="s">
        <v>51</v>
      </c>
      <c r="T414" s="12">
        <v>1</v>
      </c>
      <c r="U414" s="13"/>
      <c r="V414" s="12" t="s">
        <v>515</v>
      </c>
      <c r="W414" s="12" t="s">
        <v>92</v>
      </c>
      <c r="X414" s="12" t="s">
        <v>105</v>
      </c>
      <c r="Y414" s="13"/>
      <c r="Z414" s="75"/>
    </row>
    <row r="415" spans="1:26" s="20" customFormat="1" hidden="1" x14ac:dyDescent="0.3">
      <c r="A415" s="12" t="s">
        <v>85</v>
      </c>
      <c r="B415" s="12">
        <v>21691</v>
      </c>
      <c r="C415" s="11" t="s">
        <v>95</v>
      </c>
      <c r="D415" s="12" t="s">
        <v>1</v>
      </c>
      <c r="E415" s="12" t="s">
        <v>1185</v>
      </c>
      <c r="F415" s="12" t="s">
        <v>132</v>
      </c>
      <c r="G415" s="12" t="s">
        <v>132</v>
      </c>
      <c r="H415" s="12" t="s">
        <v>96</v>
      </c>
      <c r="I415" s="12" t="s">
        <v>89</v>
      </c>
      <c r="J415" s="11" t="s">
        <v>1279</v>
      </c>
      <c r="K415" s="11" t="s">
        <v>516</v>
      </c>
      <c r="L415" s="11" t="s">
        <v>1194</v>
      </c>
      <c r="M415" s="11" t="s">
        <v>517</v>
      </c>
      <c r="N415" s="58">
        <v>12549</v>
      </c>
      <c r="O415" s="59"/>
      <c r="P415" s="12">
        <v>24000420206005</v>
      </c>
      <c r="Q415" s="12" t="s">
        <v>4</v>
      </c>
      <c r="R415" s="12" t="s">
        <v>15</v>
      </c>
      <c r="S415" s="12" t="s">
        <v>50</v>
      </c>
      <c r="T415" s="12">
        <v>0</v>
      </c>
      <c r="U415" s="13"/>
      <c r="V415" s="12" t="s">
        <v>92</v>
      </c>
      <c r="W415" s="12" t="s">
        <v>92</v>
      </c>
      <c r="X415" s="12" t="s">
        <v>108</v>
      </c>
      <c r="Y415" s="13"/>
      <c r="Z415" s="75"/>
    </row>
    <row r="416" spans="1:26" s="20" customFormat="1" hidden="1" x14ac:dyDescent="0.3">
      <c r="A416" s="12" t="s">
        <v>85</v>
      </c>
      <c r="B416" s="12">
        <v>21757</v>
      </c>
      <c r="C416" s="11" t="s">
        <v>95</v>
      </c>
      <c r="D416" s="12" t="s">
        <v>1</v>
      </c>
      <c r="E416" s="12" t="s">
        <v>1185</v>
      </c>
      <c r="F416" s="12" t="s">
        <v>132</v>
      </c>
      <c r="G416" s="12" t="s">
        <v>113</v>
      </c>
      <c r="H416" s="12" t="s">
        <v>96</v>
      </c>
      <c r="I416" s="12" t="s">
        <v>89</v>
      </c>
      <c r="J416" s="11" t="s">
        <v>1277</v>
      </c>
      <c r="K416" s="11" t="s">
        <v>518</v>
      </c>
      <c r="L416" s="11" t="s">
        <v>1202</v>
      </c>
      <c r="M416" s="11" t="s">
        <v>519</v>
      </c>
      <c r="N416" s="58">
        <v>8701.39</v>
      </c>
      <c r="O416" s="58">
        <v>1481.2</v>
      </c>
      <c r="P416" s="12">
        <v>24100080112000</v>
      </c>
      <c r="Q416" s="12" t="s">
        <v>4</v>
      </c>
      <c r="R416" s="12" t="s">
        <v>13</v>
      </c>
      <c r="S416" s="12" t="s">
        <v>25</v>
      </c>
      <c r="T416" s="12">
        <v>1</v>
      </c>
      <c r="U416" s="13">
        <v>44028</v>
      </c>
      <c r="V416" s="12" t="s">
        <v>94</v>
      </c>
      <c r="W416" s="12">
        <v>80866</v>
      </c>
      <c r="X416" s="12" t="s">
        <v>93</v>
      </c>
      <c r="Y416" s="13"/>
      <c r="Z416" s="75"/>
    </row>
    <row r="417" spans="1:26" s="20" customFormat="1" hidden="1" x14ac:dyDescent="0.3">
      <c r="A417" s="12" t="s">
        <v>122</v>
      </c>
      <c r="B417" s="12">
        <v>21907</v>
      </c>
      <c r="C417" s="11" t="s">
        <v>520</v>
      </c>
      <c r="D417" s="12" t="s">
        <v>417</v>
      </c>
      <c r="E417" s="12" t="s">
        <v>417</v>
      </c>
      <c r="F417" s="12" t="s">
        <v>113</v>
      </c>
      <c r="G417" s="12" t="s">
        <v>113</v>
      </c>
      <c r="H417" s="12" t="s">
        <v>521</v>
      </c>
      <c r="I417" s="12" t="s">
        <v>115</v>
      </c>
      <c r="J417" s="11" t="s">
        <v>522</v>
      </c>
      <c r="K417" s="11" t="s">
        <v>522</v>
      </c>
      <c r="L417" s="11"/>
      <c r="M417" s="11" t="s">
        <v>523</v>
      </c>
      <c r="N417" s="60">
        <v>266</v>
      </c>
      <c r="O417" s="59"/>
      <c r="P417" s="12" t="s">
        <v>91</v>
      </c>
      <c r="Q417" s="12" t="s">
        <v>4</v>
      </c>
      <c r="R417" s="12" t="s">
        <v>15</v>
      </c>
      <c r="S417" s="12"/>
      <c r="T417" s="12">
        <v>1</v>
      </c>
      <c r="U417" s="13">
        <v>43999</v>
      </c>
      <c r="V417" s="12" t="s">
        <v>524</v>
      </c>
      <c r="W417" s="12" t="s">
        <v>92</v>
      </c>
      <c r="X417" s="12" t="s">
        <v>105</v>
      </c>
      <c r="Y417" s="13">
        <v>43999</v>
      </c>
      <c r="Z417" s="75"/>
    </row>
    <row r="418" spans="1:26" s="20" customFormat="1" hidden="1" x14ac:dyDescent="0.3">
      <c r="A418" s="12" t="s">
        <v>85</v>
      </c>
      <c r="B418" s="12">
        <v>22210</v>
      </c>
      <c r="C418" s="11" t="s">
        <v>130</v>
      </c>
      <c r="D418" s="12" t="s">
        <v>1</v>
      </c>
      <c r="E418" s="12" t="s">
        <v>1185</v>
      </c>
      <c r="F418" s="12" t="s">
        <v>525</v>
      </c>
      <c r="G418" s="12" t="s">
        <v>132</v>
      </c>
      <c r="H418" s="12" t="s">
        <v>96</v>
      </c>
      <c r="I418" s="12" t="s">
        <v>89</v>
      </c>
      <c r="J418" s="11" t="s">
        <v>1241</v>
      </c>
      <c r="K418" s="11" t="s">
        <v>133</v>
      </c>
      <c r="L418" s="11" t="s">
        <v>1194</v>
      </c>
      <c r="M418" s="11" t="s">
        <v>134</v>
      </c>
      <c r="N418" s="58">
        <v>1018</v>
      </c>
      <c r="O418" s="59"/>
      <c r="P418" s="12" t="s">
        <v>526</v>
      </c>
      <c r="Q418" s="12" t="s">
        <v>12</v>
      </c>
      <c r="R418" s="12" t="s">
        <v>99</v>
      </c>
      <c r="S418" s="12" t="s">
        <v>99</v>
      </c>
      <c r="T418" s="12">
        <v>0</v>
      </c>
      <c r="U418" s="13"/>
      <c r="V418" s="12" t="s">
        <v>92</v>
      </c>
      <c r="W418" s="12" t="s">
        <v>92</v>
      </c>
      <c r="X418" s="12" t="s">
        <v>135</v>
      </c>
      <c r="Y418" s="13"/>
      <c r="Z418" s="75"/>
    </row>
    <row r="419" spans="1:26" s="20" customFormat="1" hidden="1" x14ac:dyDescent="0.3">
      <c r="A419" s="12" t="s">
        <v>122</v>
      </c>
      <c r="B419" s="12">
        <v>22230</v>
      </c>
      <c r="C419" s="11" t="s">
        <v>520</v>
      </c>
      <c r="D419" s="12" t="s">
        <v>417</v>
      </c>
      <c r="E419" s="12" t="s">
        <v>1185</v>
      </c>
      <c r="F419" s="12" t="s">
        <v>113</v>
      </c>
      <c r="G419" s="12" t="s">
        <v>113</v>
      </c>
      <c r="H419" s="12" t="s">
        <v>521</v>
      </c>
      <c r="I419" s="12" t="s">
        <v>115</v>
      </c>
      <c r="J419" s="11" t="s">
        <v>522</v>
      </c>
      <c r="K419" s="11" t="s">
        <v>522</v>
      </c>
      <c r="L419" s="11"/>
      <c r="M419" s="11" t="s">
        <v>523</v>
      </c>
      <c r="N419" s="60">
        <v>724</v>
      </c>
      <c r="O419" s="59"/>
      <c r="P419" s="12" t="s">
        <v>91</v>
      </c>
      <c r="Q419" s="12" t="s">
        <v>4</v>
      </c>
      <c r="R419" s="12" t="s">
        <v>15</v>
      </c>
      <c r="S419" s="12"/>
      <c r="T419" s="12">
        <v>1</v>
      </c>
      <c r="U419" s="13">
        <v>43999</v>
      </c>
      <c r="V419" s="12" t="s">
        <v>524</v>
      </c>
      <c r="W419" s="12" t="s">
        <v>92</v>
      </c>
      <c r="X419" s="12" t="s">
        <v>105</v>
      </c>
      <c r="Y419" s="13">
        <v>43999</v>
      </c>
      <c r="Z419" s="75"/>
    </row>
    <row r="420" spans="1:26" s="20" customFormat="1" hidden="1" x14ac:dyDescent="0.3">
      <c r="A420" s="12" t="s">
        <v>85</v>
      </c>
      <c r="B420" s="12">
        <v>22927</v>
      </c>
      <c r="C420" s="11" t="s">
        <v>527</v>
      </c>
      <c r="D420" s="12" t="s">
        <v>1</v>
      </c>
      <c r="E420" s="12" t="s">
        <v>1185</v>
      </c>
      <c r="F420" s="12" t="s">
        <v>87</v>
      </c>
      <c r="G420" s="12" t="s">
        <v>113</v>
      </c>
      <c r="H420" s="12" t="s">
        <v>528</v>
      </c>
      <c r="I420" s="12" t="s">
        <v>125</v>
      </c>
      <c r="J420" s="11" t="s">
        <v>529</v>
      </c>
      <c r="K420" s="11" t="s">
        <v>529</v>
      </c>
      <c r="L420" s="11" t="s">
        <v>1199</v>
      </c>
      <c r="M420" s="11" t="s">
        <v>530</v>
      </c>
      <c r="N420" s="58">
        <v>180</v>
      </c>
      <c r="O420" s="59" t="s">
        <v>289</v>
      </c>
      <c r="P420" s="12" t="s">
        <v>531</v>
      </c>
      <c r="Q420" s="12" t="s">
        <v>4</v>
      </c>
      <c r="R420" s="12" t="s">
        <v>13</v>
      </c>
      <c r="S420" s="12" t="s">
        <v>25</v>
      </c>
      <c r="T420" s="12">
        <v>1</v>
      </c>
      <c r="U420" s="13">
        <v>44028</v>
      </c>
      <c r="V420" s="12" t="s">
        <v>94</v>
      </c>
      <c r="W420" s="12" t="s">
        <v>92</v>
      </c>
      <c r="X420" s="12" t="s">
        <v>93</v>
      </c>
      <c r="Y420" s="13"/>
      <c r="Z420" s="75"/>
    </row>
    <row r="421" spans="1:26" s="20" customFormat="1" hidden="1" x14ac:dyDescent="0.3">
      <c r="A421" s="12" t="s">
        <v>85</v>
      </c>
      <c r="B421" s="12">
        <v>23299</v>
      </c>
      <c r="C421" s="11" t="s">
        <v>532</v>
      </c>
      <c r="D421" s="12" t="s">
        <v>1</v>
      </c>
      <c r="E421" s="12" t="s">
        <v>1185</v>
      </c>
      <c r="F421" s="12" t="s">
        <v>87</v>
      </c>
      <c r="G421" s="12" t="s">
        <v>113</v>
      </c>
      <c r="H421" s="12" t="s">
        <v>533</v>
      </c>
      <c r="I421" s="12" t="s">
        <v>89</v>
      </c>
      <c r="J421" s="11" t="s">
        <v>1231</v>
      </c>
      <c r="K421" s="11" t="s">
        <v>1231</v>
      </c>
      <c r="L421" s="11" t="s">
        <v>1199</v>
      </c>
      <c r="M421" s="11" t="s">
        <v>534</v>
      </c>
      <c r="N421" s="57">
        <v>33750</v>
      </c>
      <c r="O421" s="59"/>
      <c r="P421" s="56">
        <v>241002500250100</v>
      </c>
      <c r="Q421" s="12" t="s">
        <v>4</v>
      </c>
      <c r="R421" s="12" t="s">
        <v>15</v>
      </c>
      <c r="S421" s="12" t="s">
        <v>92</v>
      </c>
      <c r="T421" s="12">
        <v>1</v>
      </c>
      <c r="U421" s="13"/>
      <c r="V421" s="12" t="s">
        <v>535</v>
      </c>
      <c r="W421" s="12" t="s">
        <v>92</v>
      </c>
      <c r="X421" s="12" t="s">
        <v>93</v>
      </c>
      <c r="Y421" s="13">
        <v>43891</v>
      </c>
      <c r="Z421" s="75"/>
    </row>
    <row r="422" spans="1:26" s="20" customFormat="1" hidden="1" x14ac:dyDescent="0.3">
      <c r="A422" s="12" t="s">
        <v>85</v>
      </c>
      <c r="B422" s="12">
        <v>23299</v>
      </c>
      <c r="C422" s="11" t="s">
        <v>532</v>
      </c>
      <c r="D422" s="12" t="s">
        <v>1</v>
      </c>
      <c r="E422" s="12" t="s">
        <v>1185</v>
      </c>
      <c r="F422" s="12" t="s">
        <v>87</v>
      </c>
      <c r="G422" s="12" t="s">
        <v>113</v>
      </c>
      <c r="H422" s="12" t="s">
        <v>533</v>
      </c>
      <c r="I422" s="12" t="s">
        <v>89</v>
      </c>
      <c r="J422" s="11" t="s">
        <v>1231</v>
      </c>
      <c r="K422" s="11" t="s">
        <v>1231</v>
      </c>
      <c r="L422" s="11" t="s">
        <v>1199</v>
      </c>
      <c r="M422" s="11" t="s">
        <v>534</v>
      </c>
      <c r="N422" s="57">
        <v>33750</v>
      </c>
      <c r="O422" s="59"/>
      <c r="P422" s="56">
        <v>241002500250100</v>
      </c>
      <c r="Q422" s="12" t="s">
        <v>4</v>
      </c>
      <c r="R422" s="12" t="s">
        <v>16</v>
      </c>
      <c r="S422" s="12" t="s">
        <v>26</v>
      </c>
      <c r="T422" s="12">
        <v>1</v>
      </c>
      <c r="U422" s="13">
        <v>44018</v>
      </c>
      <c r="V422" s="12" t="s">
        <v>536</v>
      </c>
      <c r="W422" s="12" t="s">
        <v>92</v>
      </c>
      <c r="X422" s="12" t="s">
        <v>93</v>
      </c>
      <c r="Y422" s="13"/>
      <c r="Z422" s="75"/>
    </row>
    <row r="423" spans="1:26" s="20" customFormat="1" hidden="1" x14ac:dyDescent="0.3">
      <c r="A423" s="12" t="s">
        <v>85</v>
      </c>
      <c r="B423" s="12">
        <v>23587</v>
      </c>
      <c r="C423" s="11" t="s">
        <v>527</v>
      </c>
      <c r="D423" s="12" t="s">
        <v>1</v>
      </c>
      <c r="E423" s="12" t="s">
        <v>1185</v>
      </c>
      <c r="F423" s="12" t="s">
        <v>87</v>
      </c>
      <c r="G423" s="12" t="s">
        <v>113</v>
      </c>
      <c r="H423" s="12" t="s">
        <v>528</v>
      </c>
      <c r="I423" s="12" t="s">
        <v>125</v>
      </c>
      <c r="J423" s="11" t="s">
        <v>529</v>
      </c>
      <c r="K423" s="11" t="s">
        <v>529</v>
      </c>
      <c r="L423" s="11" t="s">
        <v>1199</v>
      </c>
      <c r="M423" s="11" t="s">
        <v>537</v>
      </c>
      <c r="N423" s="58">
        <v>813.1</v>
      </c>
      <c r="O423" s="59" t="s">
        <v>289</v>
      </c>
      <c r="P423" s="12">
        <v>0</v>
      </c>
      <c r="Q423" s="12" t="s">
        <v>4</v>
      </c>
      <c r="R423" s="12" t="s">
        <v>13</v>
      </c>
      <c r="S423" s="12" t="s">
        <v>25</v>
      </c>
      <c r="T423" s="12">
        <v>1</v>
      </c>
      <c r="U423" s="13">
        <v>44028</v>
      </c>
      <c r="V423" s="12" t="s">
        <v>94</v>
      </c>
      <c r="W423" s="12" t="s">
        <v>92</v>
      </c>
      <c r="X423" s="12" t="s">
        <v>93</v>
      </c>
      <c r="Y423" s="13"/>
      <c r="Z423" s="75"/>
    </row>
    <row r="424" spans="1:26" s="20" customFormat="1" hidden="1" x14ac:dyDescent="0.3">
      <c r="A424" s="12" t="s">
        <v>85</v>
      </c>
      <c r="B424" s="12">
        <v>24025</v>
      </c>
      <c r="C424" s="11" t="s">
        <v>95</v>
      </c>
      <c r="D424" s="12" t="s">
        <v>1</v>
      </c>
      <c r="E424" s="12" t="s">
        <v>1185</v>
      </c>
      <c r="F424" s="12" t="s">
        <v>87</v>
      </c>
      <c r="G424" s="12" t="s">
        <v>87</v>
      </c>
      <c r="H424" s="12" t="s">
        <v>96</v>
      </c>
      <c r="I424" s="12" t="s">
        <v>89</v>
      </c>
      <c r="J424" s="11" t="s">
        <v>538</v>
      </c>
      <c r="K424" s="11" t="s">
        <v>538</v>
      </c>
      <c r="L424" s="11" t="s">
        <v>1195</v>
      </c>
      <c r="M424" s="11" t="s">
        <v>539</v>
      </c>
      <c r="N424" s="58">
        <v>1243.33</v>
      </c>
      <c r="O424" s="59"/>
      <c r="P424" s="12">
        <v>24000090222005</v>
      </c>
      <c r="Q424" s="12" t="s">
        <v>12</v>
      </c>
      <c r="R424" s="12" t="s">
        <v>99</v>
      </c>
      <c r="S424" s="12" t="s">
        <v>99</v>
      </c>
      <c r="T424" s="12">
        <v>0</v>
      </c>
      <c r="U424" s="13"/>
      <c r="V424" s="12" t="s">
        <v>92</v>
      </c>
      <c r="W424" s="12" t="s">
        <v>92</v>
      </c>
      <c r="X424" s="12" t="s">
        <v>135</v>
      </c>
      <c r="Y424" s="13"/>
      <c r="Z424" s="75"/>
    </row>
    <row r="425" spans="1:26" s="20" customFormat="1" hidden="1" x14ac:dyDescent="0.3">
      <c r="A425" s="12" t="s">
        <v>85</v>
      </c>
      <c r="B425" s="12">
        <v>25725</v>
      </c>
      <c r="C425" s="11" t="s">
        <v>540</v>
      </c>
      <c r="D425" s="12" t="s">
        <v>417</v>
      </c>
      <c r="E425" s="12" t="s">
        <v>1182</v>
      </c>
      <c r="F425" s="12" t="s">
        <v>87</v>
      </c>
      <c r="G425" s="12" t="s">
        <v>87</v>
      </c>
      <c r="H425" s="12" t="s">
        <v>541</v>
      </c>
      <c r="I425" s="12" t="s">
        <v>542</v>
      </c>
      <c r="J425" s="11" t="s">
        <v>543</v>
      </c>
      <c r="K425" s="11" t="s">
        <v>543</v>
      </c>
      <c r="L425" s="11"/>
      <c r="M425" s="11" t="s">
        <v>544</v>
      </c>
      <c r="N425" s="59">
        <v>0</v>
      </c>
      <c r="O425" s="59"/>
      <c r="P425" s="12" t="s">
        <v>545</v>
      </c>
      <c r="Q425" s="12" t="s">
        <v>12</v>
      </c>
      <c r="R425" s="12" t="s">
        <v>99</v>
      </c>
      <c r="S425" s="12" t="s">
        <v>99</v>
      </c>
      <c r="T425" s="12">
        <v>0</v>
      </c>
      <c r="U425" s="13">
        <v>44228</v>
      </c>
      <c r="V425" s="12" t="s">
        <v>92</v>
      </c>
      <c r="W425" s="12" t="s">
        <v>92</v>
      </c>
      <c r="X425" s="12" t="s">
        <v>105</v>
      </c>
      <c r="Y425" s="13"/>
      <c r="Z425" s="13" t="s">
        <v>1172</v>
      </c>
    </row>
    <row r="426" spans="1:26" s="20" customFormat="1" hidden="1" x14ac:dyDescent="0.3">
      <c r="A426" s="12" t="s">
        <v>85</v>
      </c>
      <c r="B426" s="12">
        <v>25750</v>
      </c>
      <c r="C426" s="11" t="s">
        <v>285</v>
      </c>
      <c r="D426" s="12" t="s">
        <v>1</v>
      </c>
      <c r="E426" s="12" t="s">
        <v>1185</v>
      </c>
      <c r="F426" s="12" t="s">
        <v>87</v>
      </c>
      <c r="G426" s="12" t="s">
        <v>87</v>
      </c>
      <c r="H426" s="12" t="s">
        <v>286</v>
      </c>
      <c r="I426" s="12" t="s">
        <v>125</v>
      </c>
      <c r="J426" s="11" t="s">
        <v>287</v>
      </c>
      <c r="K426" s="11" t="s">
        <v>287</v>
      </c>
      <c r="L426" s="11" t="s">
        <v>1194</v>
      </c>
      <c r="M426" s="11" t="s">
        <v>288</v>
      </c>
      <c r="N426" s="59">
        <v>142</v>
      </c>
      <c r="O426" s="59" t="s">
        <v>289</v>
      </c>
      <c r="P426" s="12">
        <v>36025004000</v>
      </c>
      <c r="Q426" s="12" t="s">
        <v>12</v>
      </c>
      <c r="R426" s="12" t="s">
        <v>99</v>
      </c>
      <c r="S426" s="12" t="s">
        <v>99</v>
      </c>
      <c r="T426" s="12">
        <v>0</v>
      </c>
      <c r="U426" s="13"/>
      <c r="V426" s="12" t="s">
        <v>92</v>
      </c>
      <c r="W426" s="12" t="s">
        <v>92</v>
      </c>
      <c r="X426" s="12" t="s">
        <v>135</v>
      </c>
      <c r="Y426" s="13"/>
      <c r="Z426" s="75"/>
    </row>
    <row r="427" spans="1:26" s="20" customFormat="1" hidden="1" x14ac:dyDescent="0.3">
      <c r="A427" s="12" t="s">
        <v>85</v>
      </c>
      <c r="B427" s="12">
        <v>26006</v>
      </c>
      <c r="C427" s="11" t="s">
        <v>254</v>
      </c>
      <c r="D427" s="12" t="s">
        <v>1</v>
      </c>
      <c r="E427" s="12" t="s">
        <v>1185</v>
      </c>
      <c r="F427" s="12" t="s">
        <v>132</v>
      </c>
      <c r="G427" s="12" t="s">
        <v>132</v>
      </c>
      <c r="H427" s="12" t="s">
        <v>547</v>
      </c>
      <c r="I427" s="12" t="s">
        <v>89</v>
      </c>
      <c r="J427" s="11" t="s">
        <v>548</v>
      </c>
      <c r="K427" s="11" t="s">
        <v>548</v>
      </c>
      <c r="L427" s="11" t="s">
        <v>1195</v>
      </c>
      <c r="M427" s="11" t="s">
        <v>549</v>
      </c>
      <c r="N427" s="60">
        <v>510</v>
      </c>
      <c r="O427" s="59"/>
      <c r="P427" s="12" t="s">
        <v>550</v>
      </c>
      <c r="Q427" s="12" t="s">
        <v>4</v>
      </c>
      <c r="R427" s="12" t="s">
        <v>1190</v>
      </c>
      <c r="S427" s="12" t="s">
        <v>25</v>
      </c>
      <c r="T427" s="12">
        <v>1</v>
      </c>
      <c r="U427" s="13">
        <v>43642</v>
      </c>
      <c r="V427" s="12" t="s">
        <v>551</v>
      </c>
      <c r="W427" s="12" t="s">
        <v>92</v>
      </c>
      <c r="X427" s="12" t="s">
        <v>93</v>
      </c>
      <c r="Y427" s="13"/>
      <c r="Z427" s="75"/>
    </row>
    <row r="428" spans="1:26" s="20" customFormat="1" hidden="1" x14ac:dyDescent="0.3">
      <c r="A428" s="12" t="s">
        <v>85</v>
      </c>
      <c r="B428" s="12">
        <v>26006</v>
      </c>
      <c r="C428" s="11" t="s">
        <v>254</v>
      </c>
      <c r="D428" s="12" t="s">
        <v>1</v>
      </c>
      <c r="E428" s="12" t="s">
        <v>1185</v>
      </c>
      <c r="F428" s="12" t="s">
        <v>132</v>
      </c>
      <c r="G428" s="12" t="s">
        <v>132</v>
      </c>
      <c r="H428" s="12" t="s">
        <v>547</v>
      </c>
      <c r="I428" s="12" t="s">
        <v>89</v>
      </c>
      <c r="J428" s="11" t="s">
        <v>548</v>
      </c>
      <c r="K428" s="11" t="s">
        <v>548</v>
      </c>
      <c r="L428" s="11" t="s">
        <v>1195</v>
      </c>
      <c r="M428" s="11" t="s">
        <v>549</v>
      </c>
      <c r="N428" s="60">
        <v>510</v>
      </c>
      <c r="O428" s="59"/>
      <c r="P428" s="12" t="s">
        <v>550</v>
      </c>
      <c r="Q428" s="12" t="s">
        <v>4</v>
      </c>
      <c r="R428" s="12" t="s">
        <v>1190</v>
      </c>
      <c r="S428" s="12" t="s">
        <v>25</v>
      </c>
      <c r="T428" s="12">
        <v>1</v>
      </c>
      <c r="U428" s="13">
        <v>43814</v>
      </c>
      <c r="V428" s="12" t="s">
        <v>552</v>
      </c>
      <c r="W428" s="12" t="s">
        <v>92</v>
      </c>
      <c r="X428" s="12" t="s">
        <v>93</v>
      </c>
      <c r="Y428" s="13"/>
      <c r="Z428" s="75"/>
    </row>
    <row r="429" spans="1:26" s="20" customFormat="1" hidden="1" x14ac:dyDescent="0.3">
      <c r="A429" s="12" t="s">
        <v>85</v>
      </c>
      <c r="B429" s="12">
        <v>26006</v>
      </c>
      <c r="C429" s="11" t="s">
        <v>254</v>
      </c>
      <c r="D429" s="12" t="s">
        <v>1</v>
      </c>
      <c r="E429" s="12" t="s">
        <v>1185</v>
      </c>
      <c r="F429" s="12" t="s">
        <v>132</v>
      </c>
      <c r="G429" s="12" t="s">
        <v>132</v>
      </c>
      <c r="H429" s="12" t="s">
        <v>547</v>
      </c>
      <c r="I429" s="12" t="s">
        <v>89</v>
      </c>
      <c r="J429" s="11" t="s">
        <v>548</v>
      </c>
      <c r="K429" s="11" t="s">
        <v>548</v>
      </c>
      <c r="L429" s="11" t="s">
        <v>1195</v>
      </c>
      <c r="M429" s="11" t="s">
        <v>549</v>
      </c>
      <c r="N429" s="60">
        <v>510</v>
      </c>
      <c r="O429" s="59"/>
      <c r="P429" s="12" t="s">
        <v>550</v>
      </c>
      <c r="Q429" s="12" t="s">
        <v>4</v>
      </c>
      <c r="R429" s="12" t="s">
        <v>1190</v>
      </c>
      <c r="S429" s="12" t="s">
        <v>25</v>
      </c>
      <c r="T429" s="12">
        <v>1</v>
      </c>
      <c r="U429" s="13">
        <v>43847</v>
      </c>
      <c r="V429" s="12" t="s">
        <v>553</v>
      </c>
      <c r="W429" s="12" t="s">
        <v>92</v>
      </c>
      <c r="X429" s="12" t="s">
        <v>93</v>
      </c>
      <c r="Y429" s="13"/>
      <c r="Z429" s="75"/>
    </row>
    <row r="430" spans="1:26" s="20" customFormat="1" hidden="1" x14ac:dyDescent="0.3">
      <c r="A430" s="12" t="s">
        <v>85</v>
      </c>
      <c r="B430" s="12">
        <v>26006</v>
      </c>
      <c r="C430" s="11" t="s">
        <v>254</v>
      </c>
      <c r="D430" s="12" t="s">
        <v>1</v>
      </c>
      <c r="E430" s="12" t="s">
        <v>1185</v>
      </c>
      <c r="F430" s="12" t="s">
        <v>132</v>
      </c>
      <c r="G430" s="12" t="s">
        <v>132</v>
      </c>
      <c r="H430" s="12" t="s">
        <v>547</v>
      </c>
      <c r="I430" s="12" t="s">
        <v>89</v>
      </c>
      <c r="J430" s="11" t="s">
        <v>548</v>
      </c>
      <c r="K430" s="11" t="s">
        <v>548</v>
      </c>
      <c r="L430" s="11" t="s">
        <v>1195</v>
      </c>
      <c r="M430" s="11" t="s">
        <v>549</v>
      </c>
      <c r="N430" s="60">
        <v>510</v>
      </c>
      <c r="O430" s="59"/>
      <c r="P430" s="12" t="s">
        <v>550</v>
      </c>
      <c r="Q430" s="12" t="s">
        <v>4</v>
      </c>
      <c r="R430" s="12" t="s">
        <v>1190</v>
      </c>
      <c r="S430" s="12" t="s">
        <v>25</v>
      </c>
      <c r="T430" s="12">
        <v>1</v>
      </c>
      <c r="U430" s="13">
        <v>43878</v>
      </c>
      <c r="V430" s="12" t="s">
        <v>552</v>
      </c>
      <c r="W430" s="12" t="s">
        <v>92</v>
      </c>
      <c r="X430" s="12" t="s">
        <v>93</v>
      </c>
      <c r="Y430" s="13"/>
      <c r="Z430" s="75"/>
    </row>
    <row r="431" spans="1:26" s="20" customFormat="1" hidden="1" x14ac:dyDescent="0.3">
      <c r="A431" s="12" t="s">
        <v>85</v>
      </c>
      <c r="B431" s="12">
        <v>26006</v>
      </c>
      <c r="C431" s="11" t="s">
        <v>254</v>
      </c>
      <c r="D431" s="12" t="s">
        <v>1</v>
      </c>
      <c r="E431" s="12" t="s">
        <v>1185</v>
      </c>
      <c r="F431" s="12" t="s">
        <v>132</v>
      </c>
      <c r="G431" s="12" t="s">
        <v>132</v>
      </c>
      <c r="H431" s="12" t="s">
        <v>547</v>
      </c>
      <c r="I431" s="12" t="s">
        <v>89</v>
      </c>
      <c r="J431" s="11" t="s">
        <v>548</v>
      </c>
      <c r="K431" s="11" t="s">
        <v>548</v>
      </c>
      <c r="L431" s="11" t="s">
        <v>1195</v>
      </c>
      <c r="M431" s="11" t="s">
        <v>549</v>
      </c>
      <c r="N431" s="60">
        <v>510</v>
      </c>
      <c r="O431" s="59"/>
      <c r="P431" s="12" t="s">
        <v>550</v>
      </c>
      <c r="Q431" s="12" t="s">
        <v>4</v>
      </c>
      <c r="R431" s="12" t="s">
        <v>1190</v>
      </c>
      <c r="S431" s="12" t="s">
        <v>25</v>
      </c>
      <c r="T431" s="12">
        <v>1</v>
      </c>
      <c r="U431" s="13">
        <v>43906</v>
      </c>
      <c r="V431" s="12" t="s">
        <v>552</v>
      </c>
      <c r="W431" s="12" t="s">
        <v>92</v>
      </c>
      <c r="X431" s="12" t="s">
        <v>93</v>
      </c>
      <c r="Y431" s="13"/>
      <c r="Z431" s="75"/>
    </row>
    <row r="432" spans="1:26" s="20" customFormat="1" hidden="1" x14ac:dyDescent="0.3">
      <c r="A432" s="12" t="s">
        <v>85</v>
      </c>
      <c r="B432" s="12">
        <v>26006</v>
      </c>
      <c r="C432" s="11" t="s">
        <v>254</v>
      </c>
      <c r="D432" s="12" t="s">
        <v>1</v>
      </c>
      <c r="E432" s="12" t="s">
        <v>1185</v>
      </c>
      <c r="F432" s="12" t="s">
        <v>132</v>
      </c>
      <c r="G432" s="12" t="s">
        <v>132</v>
      </c>
      <c r="H432" s="12" t="s">
        <v>547</v>
      </c>
      <c r="I432" s="12" t="s">
        <v>89</v>
      </c>
      <c r="J432" s="11" t="s">
        <v>548</v>
      </c>
      <c r="K432" s="11" t="s">
        <v>548</v>
      </c>
      <c r="L432" s="11" t="s">
        <v>1195</v>
      </c>
      <c r="M432" s="11" t="s">
        <v>549</v>
      </c>
      <c r="N432" s="60">
        <v>510</v>
      </c>
      <c r="O432" s="59"/>
      <c r="P432" s="12" t="s">
        <v>550</v>
      </c>
      <c r="Q432" s="12" t="s">
        <v>4</v>
      </c>
      <c r="R432" s="12" t="s">
        <v>1190</v>
      </c>
      <c r="S432" s="12" t="s">
        <v>25</v>
      </c>
      <c r="T432" s="12">
        <v>1</v>
      </c>
      <c r="U432" s="13">
        <v>43938</v>
      </c>
      <c r="V432" s="12" t="s">
        <v>554</v>
      </c>
      <c r="W432" s="12" t="s">
        <v>92</v>
      </c>
      <c r="X432" s="12" t="s">
        <v>93</v>
      </c>
      <c r="Y432" s="13"/>
      <c r="Z432" s="75"/>
    </row>
    <row r="433" spans="1:35" s="20" customFormat="1" hidden="1" x14ac:dyDescent="0.3">
      <c r="A433" s="12" t="s">
        <v>85</v>
      </c>
      <c r="B433" s="12">
        <v>26006</v>
      </c>
      <c r="C433" s="11" t="s">
        <v>254</v>
      </c>
      <c r="D433" s="12" t="s">
        <v>1</v>
      </c>
      <c r="E433" s="12" t="s">
        <v>1185</v>
      </c>
      <c r="F433" s="12" t="s">
        <v>132</v>
      </c>
      <c r="G433" s="12" t="s">
        <v>132</v>
      </c>
      <c r="H433" s="12" t="s">
        <v>547</v>
      </c>
      <c r="I433" s="12" t="s">
        <v>89</v>
      </c>
      <c r="J433" s="11" t="s">
        <v>548</v>
      </c>
      <c r="K433" s="11" t="s">
        <v>548</v>
      </c>
      <c r="L433" s="11" t="s">
        <v>1195</v>
      </c>
      <c r="M433" s="11" t="s">
        <v>549</v>
      </c>
      <c r="N433" s="60">
        <v>510</v>
      </c>
      <c r="O433" s="59"/>
      <c r="P433" s="12" t="s">
        <v>550</v>
      </c>
      <c r="Q433" s="12" t="s">
        <v>4</v>
      </c>
      <c r="R433" s="12" t="s">
        <v>1190</v>
      </c>
      <c r="S433" s="12" t="s">
        <v>25</v>
      </c>
      <c r="T433" s="12">
        <v>1</v>
      </c>
      <c r="U433" s="13">
        <v>43962</v>
      </c>
      <c r="V433" s="12" t="s">
        <v>552</v>
      </c>
      <c r="W433" s="12" t="s">
        <v>92</v>
      </c>
      <c r="X433" s="12" t="s">
        <v>93</v>
      </c>
      <c r="Y433" s="13"/>
      <c r="Z433" s="75"/>
    </row>
    <row r="434" spans="1:35" s="20" customFormat="1" hidden="1" x14ac:dyDescent="0.3">
      <c r="A434" s="12" t="s">
        <v>85</v>
      </c>
      <c r="B434" s="12">
        <v>26006</v>
      </c>
      <c r="C434" s="11" t="s">
        <v>254</v>
      </c>
      <c r="D434" s="12" t="s">
        <v>1</v>
      </c>
      <c r="E434" s="12" t="s">
        <v>1185</v>
      </c>
      <c r="F434" s="12" t="s">
        <v>132</v>
      </c>
      <c r="G434" s="12" t="s">
        <v>132</v>
      </c>
      <c r="H434" s="12" t="s">
        <v>547</v>
      </c>
      <c r="I434" s="12" t="s">
        <v>89</v>
      </c>
      <c r="J434" s="11" t="s">
        <v>548</v>
      </c>
      <c r="K434" s="11" t="s">
        <v>548</v>
      </c>
      <c r="L434" s="11" t="s">
        <v>1195</v>
      </c>
      <c r="M434" s="11" t="s">
        <v>549</v>
      </c>
      <c r="N434" s="60">
        <v>510</v>
      </c>
      <c r="O434" s="59"/>
      <c r="P434" s="12" t="s">
        <v>550</v>
      </c>
      <c r="Q434" s="12" t="s">
        <v>4</v>
      </c>
      <c r="R434" s="12" t="s">
        <v>1190</v>
      </c>
      <c r="S434" s="12" t="s">
        <v>25</v>
      </c>
      <c r="T434" s="12">
        <v>1</v>
      </c>
      <c r="U434" s="13">
        <v>43998</v>
      </c>
      <c r="V434" s="12" t="s">
        <v>555</v>
      </c>
      <c r="W434" s="12" t="s">
        <v>92</v>
      </c>
      <c r="X434" s="12" t="s">
        <v>93</v>
      </c>
      <c r="Y434" s="13"/>
      <c r="Z434" s="75"/>
    </row>
    <row r="435" spans="1:35" s="20" customFormat="1" hidden="1" x14ac:dyDescent="0.3">
      <c r="A435" s="12" t="s">
        <v>85</v>
      </c>
      <c r="B435" s="12">
        <v>26006</v>
      </c>
      <c r="C435" s="11" t="s">
        <v>254</v>
      </c>
      <c r="D435" s="12" t="s">
        <v>1</v>
      </c>
      <c r="E435" s="12" t="s">
        <v>1185</v>
      </c>
      <c r="F435" s="12" t="s">
        <v>132</v>
      </c>
      <c r="G435" s="12" t="s">
        <v>132</v>
      </c>
      <c r="H435" s="12" t="s">
        <v>547</v>
      </c>
      <c r="I435" s="12" t="s">
        <v>89</v>
      </c>
      <c r="J435" s="11" t="s">
        <v>548</v>
      </c>
      <c r="K435" s="11" t="s">
        <v>548</v>
      </c>
      <c r="L435" s="11" t="s">
        <v>1195</v>
      </c>
      <c r="M435" s="11" t="s">
        <v>549</v>
      </c>
      <c r="N435" s="60">
        <v>510</v>
      </c>
      <c r="O435" s="59"/>
      <c r="P435" s="12" t="s">
        <v>550</v>
      </c>
      <c r="Q435" s="12" t="s">
        <v>4</v>
      </c>
      <c r="R435" s="12" t="s">
        <v>1190</v>
      </c>
      <c r="S435" s="12" t="s">
        <v>25</v>
      </c>
      <c r="T435" s="12">
        <v>1</v>
      </c>
      <c r="U435" s="13">
        <v>44027</v>
      </c>
      <c r="V435" s="12" t="s">
        <v>556</v>
      </c>
      <c r="W435" s="12" t="s">
        <v>92</v>
      </c>
      <c r="X435" s="12" t="s">
        <v>93</v>
      </c>
      <c r="Y435" s="13"/>
      <c r="Z435" s="75"/>
    </row>
    <row r="436" spans="1:35" s="20" customFormat="1" hidden="1" x14ac:dyDescent="0.3">
      <c r="A436" s="12" t="s">
        <v>85</v>
      </c>
      <c r="B436" s="12">
        <v>26007</v>
      </c>
      <c r="C436" s="11" t="s">
        <v>254</v>
      </c>
      <c r="D436" s="12" t="s">
        <v>1</v>
      </c>
      <c r="E436" s="12" t="s">
        <v>1185</v>
      </c>
      <c r="F436" s="12" t="s">
        <v>132</v>
      </c>
      <c r="G436" s="12" t="s">
        <v>132</v>
      </c>
      <c r="H436" s="12" t="s">
        <v>547</v>
      </c>
      <c r="I436" s="12" t="s">
        <v>89</v>
      </c>
      <c r="J436" s="11" t="s">
        <v>557</v>
      </c>
      <c r="K436" s="11" t="s">
        <v>557</v>
      </c>
      <c r="L436" s="11" t="s">
        <v>1195</v>
      </c>
      <c r="M436" s="11" t="s">
        <v>549</v>
      </c>
      <c r="N436" s="60">
        <v>390</v>
      </c>
      <c r="O436" s="59"/>
      <c r="P436" s="12" t="s">
        <v>558</v>
      </c>
      <c r="Q436" s="12" t="s">
        <v>4</v>
      </c>
      <c r="R436" s="12" t="s">
        <v>1190</v>
      </c>
      <c r="S436" s="12" t="s">
        <v>25</v>
      </c>
      <c r="T436" s="12">
        <v>1</v>
      </c>
      <c r="U436" s="13"/>
      <c r="V436" s="12" t="s">
        <v>559</v>
      </c>
      <c r="W436" s="12" t="s">
        <v>92</v>
      </c>
      <c r="X436" s="12" t="s">
        <v>93</v>
      </c>
      <c r="Y436" s="13"/>
      <c r="Z436" s="75"/>
    </row>
    <row r="437" spans="1:35" s="20" customFormat="1" hidden="1" x14ac:dyDescent="0.3">
      <c r="A437" s="12" t="s">
        <v>85</v>
      </c>
      <c r="B437" s="12">
        <v>26008</v>
      </c>
      <c r="C437" s="11" t="s">
        <v>254</v>
      </c>
      <c r="D437" s="12" t="s">
        <v>1</v>
      </c>
      <c r="E437" s="12" t="s">
        <v>1185</v>
      </c>
      <c r="F437" s="12" t="s">
        <v>132</v>
      </c>
      <c r="G437" s="12" t="s">
        <v>132</v>
      </c>
      <c r="H437" s="12" t="s">
        <v>547</v>
      </c>
      <c r="I437" s="12" t="s">
        <v>89</v>
      </c>
      <c r="J437" s="11" t="s">
        <v>560</v>
      </c>
      <c r="K437" s="11" t="s">
        <v>560</v>
      </c>
      <c r="L437" s="11" t="s">
        <v>1195</v>
      </c>
      <c r="M437" s="11" t="s">
        <v>549</v>
      </c>
      <c r="N437" s="60">
        <v>382.5</v>
      </c>
      <c r="O437" s="59"/>
      <c r="P437" s="12" t="s">
        <v>561</v>
      </c>
      <c r="Q437" s="12" t="s">
        <v>4</v>
      </c>
      <c r="R437" s="12" t="s">
        <v>1190</v>
      </c>
      <c r="S437" s="12" t="s">
        <v>25</v>
      </c>
      <c r="T437" s="12">
        <v>1</v>
      </c>
      <c r="U437" s="13"/>
      <c r="V437" s="12" t="s">
        <v>559</v>
      </c>
      <c r="W437" s="12" t="s">
        <v>92</v>
      </c>
      <c r="X437" s="12" t="s">
        <v>93</v>
      </c>
      <c r="Y437" s="13"/>
      <c r="Z437" s="75"/>
    </row>
    <row r="438" spans="1:35" s="20" customFormat="1" hidden="1" x14ac:dyDescent="0.3">
      <c r="A438" s="12" t="s">
        <v>85</v>
      </c>
      <c r="B438" s="12">
        <v>26984</v>
      </c>
      <c r="C438" s="11" t="s">
        <v>333</v>
      </c>
      <c r="D438" s="12" t="s">
        <v>1</v>
      </c>
      <c r="E438" s="12" t="s">
        <v>1185</v>
      </c>
      <c r="F438" s="12" t="s">
        <v>132</v>
      </c>
      <c r="G438" s="12" t="s">
        <v>113</v>
      </c>
      <c r="H438" s="12" t="s">
        <v>334</v>
      </c>
      <c r="I438" s="12" t="s">
        <v>89</v>
      </c>
      <c r="J438" s="11" t="s">
        <v>562</v>
      </c>
      <c r="K438" s="11" t="s">
        <v>562</v>
      </c>
      <c r="L438" s="11" t="s">
        <v>1195</v>
      </c>
      <c r="M438" s="11" t="s">
        <v>563</v>
      </c>
      <c r="N438" s="57">
        <v>4312</v>
      </c>
      <c r="O438" s="59"/>
      <c r="P438" s="12" t="s">
        <v>564</v>
      </c>
      <c r="Q438" s="12" t="s">
        <v>4</v>
      </c>
      <c r="R438" s="12" t="s">
        <v>13</v>
      </c>
      <c r="S438" s="12" t="s">
        <v>25</v>
      </c>
      <c r="T438" s="12">
        <v>0</v>
      </c>
      <c r="U438" s="13"/>
      <c r="V438" s="12" t="s">
        <v>92</v>
      </c>
      <c r="W438" s="12" t="s">
        <v>92</v>
      </c>
      <c r="X438" s="12" t="s">
        <v>93</v>
      </c>
      <c r="Y438" s="13"/>
      <c r="Z438" s="75"/>
    </row>
    <row r="439" spans="1:35" hidden="1" x14ac:dyDescent="0.3">
      <c r="A439" s="12" t="s">
        <v>85</v>
      </c>
      <c r="B439" s="12">
        <v>27532</v>
      </c>
      <c r="C439" s="11" t="s">
        <v>565</v>
      </c>
      <c r="D439" s="12" t="s">
        <v>1</v>
      </c>
      <c r="E439" s="12" t="s">
        <v>1185</v>
      </c>
      <c r="F439" s="12" t="s">
        <v>87</v>
      </c>
      <c r="G439" s="12" t="s">
        <v>113</v>
      </c>
      <c r="H439" s="12" t="s">
        <v>96</v>
      </c>
      <c r="I439" s="12" t="s">
        <v>89</v>
      </c>
      <c r="J439" s="11" t="s">
        <v>566</v>
      </c>
      <c r="K439" s="11" t="s">
        <v>566</v>
      </c>
      <c r="L439" s="11" t="s">
        <v>1194</v>
      </c>
      <c r="M439" s="11" t="s">
        <v>567</v>
      </c>
      <c r="N439" s="58">
        <f>1567.68+7851.67</f>
        <v>9419.35</v>
      </c>
      <c r="O439" s="58">
        <f>1343.3+1200</f>
        <v>2543.3000000000002</v>
      </c>
      <c r="P439" s="12" t="s">
        <v>568</v>
      </c>
      <c r="Q439" s="12" t="s">
        <v>4</v>
      </c>
      <c r="R439" s="12" t="s">
        <v>15</v>
      </c>
      <c r="S439" s="12" t="s">
        <v>51</v>
      </c>
      <c r="T439" s="12">
        <v>1</v>
      </c>
      <c r="U439" s="13">
        <v>43882</v>
      </c>
      <c r="V439" s="12" t="s">
        <v>569</v>
      </c>
      <c r="W439" s="12">
        <v>328192</v>
      </c>
      <c r="X439" s="12" t="s">
        <v>105</v>
      </c>
      <c r="Y439" s="13"/>
      <c r="Z439" s="75"/>
      <c r="AA439" s="24"/>
      <c r="AC439" s="24"/>
      <c r="AD439" s="24"/>
      <c r="AE439" s="24"/>
      <c r="AF439" s="24"/>
      <c r="AG439" s="24"/>
      <c r="AH439" s="24"/>
      <c r="AI439" s="24"/>
    </row>
    <row r="440" spans="1:35" hidden="1" x14ac:dyDescent="0.3">
      <c r="A440" s="12" t="s">
        <v>85</v>
      </c>
      <c r="B440" s="12">
        <v>27532</v>
      </c>
      <c r="C440" s="11" t="s">
        <v>565</v>
      </c>
      <c r="D440" s="12" t="s">
        <v>1</v>
      </c>
      <c r="E440" s="12" t="s">
        <v>1185</v>
      </c>
      <c r="F440" s="12" t="s">
        <v>87</v>
      </c>
      <c r="G440" s="12" t="s">
        <v>113</v>
      </c>
      <c r="H440" s="12" t="s">
        <v>96</v>
      </c>
      <c r="I440" s="12" t="s">
        <v>89</v>
      </c>
      <c r="J440" s="11" t="s">
        <v>566</v>
      </c>
      <c r="K440" s="11" t="s">
        <v>566</v>
      </c>
      <c r="L440" s="11" t="s">
        <v>1194</v>
      </c>
      <c r="M440" s="11" t="s">
        <v>567</v>
      </c>
      <c r="N440" s="58">
        <f t="shared" ref="N440:N442" si="0">1567.68+7851.67</f>
        <v>9419.35</v>
      </c>
      <c r="O440" s="58">
        <f t="shared" ref="O440:O442" si="1">1343.3+1200</f>
        <v>2543.3000000000002</v>
      </c>
      <c r="P440" s="12" t="s">
        <v>568</v>
      </c>
      <c r="Q440" s="12" t="s">
        <v>4</v>
      </c>
      <c r="R440" s="12" t="s">
        <v>13</v>
      </c>
      <c r="S440" s="12" t="s">
        <v>25</v>
      </c>
      <c r="T440" s="12">
        <v>1</v>
      </c>
      <c r="U440" s="13">
        <v>44028</v>
      </c>
      <c r="V440" s="12" t="s">
        <v>94</v>
      </c>
      <c r="W440" s="12" t="s">
        <v>92</v>
      </c>
      <c r="X440" s="12" t="s">
        <v>93</v>
      </c>
      <c r="Y440" s="13"/>
      <c r="Z440" s="75"/>
      <c r="AA440" s="24"/>
      <c r="AC440" s="24"/>
      <c r="AD440" s="24"/>
      <c r="AE440" s="24"/>
      <c r="AF440" s="24"/>
      <c r="AG440" s="24"/>
      <c r="AH440" s="24"/>
      <c r="AI440" s="24"/>
    </row>
    <row r="441" spans="1:35" hidden="1" x14ac:dyDescent="0.3">
      <c r="A441" s="12" t="s">
        <v>85</v>
      </c>
      <c r="B441" s="12">
        <v>27532</v>
      </c>
      <c r="C441" s="11" t="s">
        <v>565</v>
      </c>
      <c r="D441" s="12" t="s">
        <v>1</v>
      </c>
      <c r="E441" s="12" t="s">
        <v>1185</v>
      </c>
      <c r="F441" s="12" t="s">
        <v>87</v>
      </c>
      <c r="G441" s="12" t="s">
        <v>113</v>
      </c>
      <c r="H441" s="12" t="s">
        <v>96</v>
      </c>
      <c r="I441" s="12" t="s">
        <v>89</v>
      </c>
      <c r="J441" s="11" t="s">
        <v>566</v>
      </c>
      <c r="K441" s="11" t="s">
        <v>566</v>
      </c>
      <c r="L441" s="11" t="s">
        <v>1194</v>
      </c>
      <c r="M441" s="11" t="s">
        <v>567</v>
      </c>
      <c r="N441" s="58">
        <f t="shared" si="0"/>
        <v>9419.35</v>
      </c>
      <c r="O441" s="58">
        <f t="shared" si="1"/>
        <v>2543.3000000000002</v>
      </c>
      <c r="P441" s="12" t="s">
        <v>568</v>
      </c>
      <c r="Q441" s="12" t="s">
        <v>4</v>
      </c>
      <c r="R441" s="12" t="s">
        <v>15</v>
      </c>
      <c r="S441" s="12" t="s">
        <v>51</v>
      </c>
      <c r="T441" s="12">
        <v>1</v>
      </c>
      <c r="U441" s="13">
        <v>43956</v>
      </c>
      <c r="V441" s="12" t="s">
        <v>570</v>
      </c>
      <c r="W441" s="12" t="s">
        <v>92</v>
      </c>
      <c r="X441" s="12" t="s">
        <v>105</v>
      </c>
      <c r="Y441" s="13"/>
      <c r="Z441" s="75"/>
      <c r="AA441" s="24"/>
      <c r="AC441" s="24"/>
      <c r="AD441" s="24"/>
      <c r="AE441" s="24"/>
      <c r="AF441" s="24"/>
      <c r="AG441" s="24"/>
      <c r="AH441" s="24"/>
      <c r="AI441" s="24"/>
    </row>
    <row r="442" spans="1:35" hidden="1" x14ac:dyDescent="0.3">
      <c r="A442" s="12" t="s">
        <v>85</v>
      </c>
      <c r="B442" s="12">
        <v>27532</v>
      </c>
      <c r="C442" s="11" t="s">
        <v>565</v>
      </c>
      <c r="D442" s="12" t="s">
        <v>1</v>
      </c>
      <c r="E442" s="12" t="s">
        <v>1185</v>
      </c>
      <c r="F442" s="12" t="s">
        <v>87</v>
      </c>
      <c r="G442" s="12" t="s">
        <v>113</v>
      </c>
      <c r="H442" s="12" t="s">
        <v>96</v>
      </c>
      <c r="I442" s="12" t="s">
        <v>89</v>
      </c>
      <c r="J442" s="11" t="s">
        <v>566</v>
      </c>
      <c r="K442" s="11" t="s">
        <v>566</v>
      </c>
      <c r="L442" s="11" t="s">
        <v>1194</v>
      </c>
      <c r="M442" s="11" t="s">
        <v>567</v>
      </c>
      <c r="N442" s="58">
        <f t="shared" si="0"/>
        <v>9419.35</v>
      </c>
      <c r="O442" s="58">
        <f t="shared" si="1"/>
        <v>2543.3000000000002</v>
      </c>
      <c r="P442" s="12" t="s">
        <v>568</v>
      </c>
      <c r="Q442" s="12" t="s">
        <v>4</v>
      </c>
      <c r="R442" s="12" t="s">
        <v>15</v>
      </c>
      <c r="S442" s="12" t="s">
        <v>51</v>
      </c>
      <c r="T442" s="12">
        <v>1</v>
      </c>
      <c r="U442" s="13">
        <v>43994</v>
      </c>
      <c r="V442" s="12" t="s">
        <v>571</v>
      </c>
      <c r="W442" s="12" t="s">
        <v>92</v>
      </c>
      <c r="X442" s="12" t="s">
        <v>105</v>
      </c>
      <c r="Y442" s="13"/>
      <c r="Z442" s="75"/>
      <c r="AA442" s="24"/>
      <c r="AC442" s="24"/>
      <c r="AD442" s="24"/>
      <c r="AE442" s="24"/>
      <c r="AF442" s="24"/>
      <c r="AG442" s="24"/>
      <c r="AH442" s="24"/>
      <c r="AI442" s="24"/>
    </row>
    <row r="443" spans="1:35" hidden="1" x14ac:dyDescent="0.3">
      <c r="A443" s="12" t="s">
        <v>85</v>
      </c>
      <c r="B443" s="12">
        <v>27990</v>
      </c>
      <c r="C443" s="11" t="s">
        <v>285</v>
      </c>
      <c r="D443" s="12" t="s">
        <v>1</v>
      </c>
      <c r="E443" s="12" t="s">
        <v>1185</v>
      </c>
      <c r="F443" s="12" t="s">
        <v>87</v>
      </c>
      <c r="G443" s="12" t="s">
        <v>87</v>
      </c>
      <c r="H443" s="12" t="s">
        <v>286</v>
      </c>
      <c r="I443" s="12" t="s">
        <v>125</v>
      </c>
      <c r="J443" s="11" t="s">
        <v>287</v>
      </c>
      <c r="K443" s="11" t="s">
        <v>287</v>
      </c>
      <c r="L443" s="11" t="s">
        <v>1194</v>
      </c>
      <c r="M443" s="11" t="s">
        <v>572</v>
      </c>
      <c r="N443" s="58">
        <v>480</v>
      </c>
      <c r="O443" s="59" t="s">
        <v>289</v>
      </c>
      <c r="P443" s="12">
        <v>36025009000</v>
      </c>
      <c r="Q443" s="12" t="s">
        <v>12</v>
      </c>
      <c r="R443" s="12" t="s">
        <v>99</v>
      </c>
      <c r="S443" s="12" t="s">
        <v>99</v>
      </c>
      <c r="T443" s="12">
        <v>0</v>
      </c>
      <c r="U443" s="13"/>
      <c r="V443" s="12" t="s">
        <v>92</v>
      </c>
      <c r="W443" s="12" t="s">
        <v>92</v>
      </c>
      <c r="X443" s="12" t="s">
        <v>135</v>
      </c>
      <c r="Y443" s="13"/>
      <c r="Z443" s="75"/>
      <c r="AA443" s="24"/>
      <c r="AC443" s="24"/>
      <c r="AD443" s="24"/>
      <c r="AE443" s="24"/>
      <c r="AF443" s="24"/>
      <c r="AG443" s="24"/>
      <c r="AH443" s="24"/>
      <c r="AI443" s="24"/>
    </row>
    <row r="444" spans="1:35" hidden="1" x14ac:dyDescent="0.3">
      <c r="A444" s="12" t="s">
        <v>85</v>
      </c>
      <c r="B444" s="12">
        <v>28464</v>
      </c>
      <c r="C444" s="11" t="s">
        <v>573</v>
      </c>
      <c r="D444" s="12" t="s">
        <v>1</v>
      </c>
      <c r="E444" s="12" t="s">
        <v>1185</v>
      </c>
      <c r="F444" s="12" t="s">
        <v>113</v>
      </c>
      <c r="G444" s="12" t="s">
        <v>113</v>
      </c>
      <c r="H444" s="12" t="s">
        <v>574</v>
      </c>
      <c r="I444" s="12" t="s">
        <v>89</v>
      </c>
      <c r="J444" s="11" t="s">
        <v>1239</v>
      </c>
      <c r="K444" s="11" t="s">
        <v>1239</v>
      </c>
      <c r="L444" s="11" t="s">
        <v>1195</v>
      </c>
      <c r="M444" s="11" t="s">
        <v>575</v>
      </c>
      <c r="N444" s="57">
        <v>193600</v>
      </c>
      <c r="O444" s="59"/>
      <c r="P444" s="12" t="s">
        <v>576</v>
      </c>
      <c r="Q444" s="12" t="s">
        <v>4</v>
      </c>
      <c r="R444" s="12" t="s">
        <v>15</v>
      </c>
      <c r="S444" s="12" t="s">
        <v>52</v>
      </c>
      <c r="T444" s="12">
        <v>1</v>
      </c>
      <c r="U444" s="13">
        <v>43707</v>
      </c>
      <c r="V444" s="12" t="s">
        <v>577</v>
      </c>
      <c r="W444" s="12" t="s">
        <v>92</v>
      </c>
      <c r="X444" s="12" t="s">
        <v>93</v>
      </c>
      <c r="Y444" s="13"/>
      <c r="Z444" s="75"/>
      <c r="AA444" s="24"/>
      <c r="AC444" s="24"/>
      <c r="AD444" s="24"/>
      <c r="AE444" s="24"/>
      <c r="AF444" s="24"/>
      <c r="AG444" s="24"/>
      <c r="AH444" s="24"/>
      <c r="AI444" s="24"/>
    </row>
    <row r="445" spans="1:35" hidden="1" x14ac:dyDescent="0.3">
      <c r="A445" s="12" t="s">
        <v>85</v>
      </c>
      <c r="B445" s="12">
        <v>28464</v>
      </c>
      <c r="C445" s="11" t="s">
        <v>573</v>
      </c>
      <c r="D445" s="12" t="s">
        <v>1</v>
      </c>
      <c r="E445" s="12" t="s">
        <v>1185</v>
      </c>
      <c r="F445" s="12" t="s">
        <v>113</v>
      </c>
      <c r="G445" s="12" t="s">
        <v>113</v>
      </c>
      <c r="H445" s="12" t="s">
        <v>574</v>
      </c>
      <c r="I445" s="12" t="s">
        <v>89</v>
      </c>
      <c r="J445" s="11" t="s">
        <v>1239</v>
      </c>
      <c r="K445" s="11" t="s">
        <v>1239</v>
      </c>
      <c r="L445" s="11" t="s">
        <v>1195</v>
      </c>
      <c r="M445" s="11" t="s">
        <v>575</v>
      </c>
      <c r="N445" s="57">
        <v>193600</v>
      </c>
      <c r="O445" s="59"/>
      <c r="P445" s="12" t="s">
        <v>576</v>
      </c>
      <c r="Q445" s="12" t="s">
        <v>4</v>
      </c>
      <c r="R445" s="12" t="s">
        <v>15</v>
      </c>
      <c r="S445" s="12" t="s">
        <v>92</v>
      </c>
      <c r="T445" s="12">
        <v>1</v>
      </c>
      <c r="U445" s="13">
        <v>43847</v>
      </c>
      <c r="V445" s="12" t="s">
        <v>578</v>
      </c>
      <c r="W445" s="12" t="s">
        <v>92</v>
      </c>
      <c r="X445" s="12" t="s">
        <v>93</v>
      </c>
      <c r="Y445" s="13">
        <v>43608</v>
      </c>
      <c r="Z445" s="75"/>
      <c r="AA445" s="24"/>
      <c r="AC445" s="24"/>
      <c r="AD445" s="24"/>
      <c r="AE445" s="24"/>
      <c r="AF445" s="24"/>
      <c r="AG445" s="24"/>
      <c r="AH445" s="24"/>
      <c r="AI445" s="24"/>
    </row>
    <row r="446" spans="1:35" hidden="1" x14ac:dyDescent="0.3">
      <c r="A446" s="12" t="s">
        <v>85</v>
      </c>
      <c r="B446" s="12">
        <v>28464</v>
      </c>
      <c r="C446" s="11" t="s">
        <v>573</v>
      </c>
      <c r="D446" s="12" t="s">
        <v>1</v>
      </c>
      <c r="E446" s="12" t="s">
        <v>1185</v>
      </c>
      <c r="F446" s="12" t="s">
        <v>113</v>
      </c>
      <c r="G446" s="12" t="s">
        <v>113</v>
      </c>
      <c r="H446" s="12" t="s">
        <v>574</v>
      </c>
      <c r="I446" s="12" t="s">
        <v>89</v>
      </c>
      <c r="J446" s="11" t="s">
        <v>1239</v>
      </c>
      <c r="K446" s="11" t="s">
        <v>1239</v>
      </c>
      <c r="L446" s="11" t="s">
        <v>1195</v>
      </c>
      <c r="M446" s="11" t="s">
        <v>575</v>
      </c>
      <c r="N446" s="57">
        <v>193600</v>
      </c>
      <c r="O446" s="59"/>
      <c r="P446" s="12" t="s">
        <v>576</v>
      </c>
      <c r="Q446" s="12" t="s">
        <v>4</v>
      </c>
      <c r="R446" s="12" t="s">
        <v>15</v>
      </c>
      <c r="S446" s="12" t="s">
        <v>52</v>
      </c>
      <c r="T446" s="12">
        <v>1</v>
      </c>
      <c r="U446" s="13">
        <v>43879</v>
      </c>
      <c r="V446" s="12" t="s">
        <v>579</v>
      </c>
      <c r="W446" s="12" t="s">
        <v>92</v>
      </c>
      <c r="X446" s="12" t="s">
        <v>93</v>
      </c>
      <c r="Y446" s="13"/>
      <c r="Z446" s="75"/>
      <c r="AA446" s="24"/>
      <c r="AC446" s="24"/>
      <c r="AD446" s="24"/>
      <c r="AE446" s="24"/>
      <c r="AF446" s="24"/>
      <c r="AG446" s="24"/>
      <c r="AH446" s="24"/>
      <c r="AI446" s="24"/>
    </row>
    <row r="447" spans="1:35" hidden="1" x14ac:dyDescent="0.3">
      <c r="A447" s="12" t="s">
        <v>85</v>
      </c>
      <c r="B447" s="12">
        <v>28464</v>
      </c>
      <c r="C447" s="11" t="s">
        <v>573</v>
      </c>
      <c r="D447" s="12" t="s">
        <v>1</v>
      </c>
      <c r="E447" s="12" t="s">
        <v>1185</v>
      </c>
      <c r="F447" s="12" t="s">
        <v>113</v>
      </c>
      <c r="G447" s="12" t="s">
        <v>113</v>
      </c>
      <c r="H447" s="12" t="s">
        <v>574</v>
      </c>
      <c r="I447" s="12" t="s">
        <v>89</v>
      </c>
      <c r="J447" s="11" t="s">
        <v>1239</v>
      </c>
      <c r="K447" s="11" t="s">
        <v>1239</v>
      </c>
      <c r="L447" s="11" t="s">
        <v>1195</v>
      </c>
      <c r="M447" s="11" t="s">
        <v>575</v>
      </c>
      <c r="N447" s="57">
        <v>193600</v>
      </c>
      <c r="O447" s="59"/>
      <c r="P447" s="12" t="s">
        <v>576</v>
      </c>
      <c r="Q447" s="12" t="s">
        <v>4</v>
      </c>
      <c r="R447" s="12" t="s">
        <v>15</v>
      </c>
      <c r="S447" s="12" t="s">
        <v>92</v>
      </c>
      <c r="T447" s="12">
        <v>1</v>
      </c>
      <c r="U447" s="13">
        <v>43907</v>
      </c>
      <c r="V447" s="12" t="s">
        <v>580</v>
      </c>
      <c r="W447" s="12" t="s">
        <v>92</v>
      </c>
      <c r="X447" s="12" t="s">
        <v>105</v>
      </c>
      <c r="Y447" s="13">
        <v>43906</v>
      </c>
      <c r="Z447" s="75"/>
      <c r="AA447" s="24"/>
      <c r="AC447" s="24"/>
      <c r="AD447" s="24"/>
      <c r="AE447" s="24"/>
      <c r="AF447" s="24"/>
      <c r="AG447" s="24"/>
      <c r="AH447" s="24"/>
      <c r="AI447" s="24"/>
    </row>
    <row r="448" spans="1:35" hidden="1" x14ac:dyDescent="0.3">
      <c r="A448" s="12" t="s">
        <v>85</v>
      </c>
      <c r="B448" s="12">
        <v>28464</v>
      </c>
      <c r="C448" s="11" t="s">
        <v>573</v>
      </c>
      <c r="D448" s="12" t="s">
        <v>1</v>
      </c>
      <c r="E448" s="12" t="s">
        <v>1185</v>
      </c>
      <c r="F448" s="12" t="s">
        <v>113</v>
      </c>
      <c r="G448" s="12" t="s">
        <v>113</v>
      </c>
      <c r="H448" s="12" t="s">
        <v>574</v>
      </c>
      <c r="I448" s="12" t="s">
        <v>89</v>
      </c>
      <c r="J448" s="11" t="s">
        <v>1239</v>
      </c>
      <c r="K448" s="11" t="s">
        <v>1239</v>
      </c>
      <c r="L448" s="11" t="s">
        <v>1195</v>
      </c>
      <c r="M448" s="11" t="s">
        <v>575</v>
      </c>
      <c r="N448" s="57">
        <v>193600</v>
      </c>
      <c r="O448" s="59"/>
      <c r="P448" s="12" t="s">
        <v>576</v>
      </c>
      <c r="Q448" s="12" t="s">
        <v>4</v>
      </c>
      <c r="R448" s="12" t="s">
        <v>15</v>
      </c>
      <c r="S448" s="12" t="s">
        <v>22</v>
      </c>
      <c r="T448" s="12">
        <v>1</v>
      </c>
      <c r="U448" s="13">
        <v>43997</v>
      </c>
      <c r="V448" s="12" t="s">
        <v>110</v>
      </c>
      <c r="W448" s="12" t="s">
        <v>92</v>
      </c>
      <c r="X448" s="12" t="s">
        <v>105</v>
      </c>
      <c r="Y448" s="13"/>
      <c r="Z448" s="75"/>
      <c r="AA448" s="24"/>
      <c r="AC448" s="24"/>
      <c r="AD448" s="24"/>
      <c r="AE448" s="24"/>
      <c r="AF448" s="24"/>
      <c r="AG448" s="24"/>
      <c r="AH448" s="24"/>
      <c r="AI448" s="24"/>
    </row>
    <row r="449" spans="1:35" hidden="1" x14ac:dyDescent="0.3">
      <c r="A449" s="12" t="s">
        <v>85</v>
      </c>
      <c r="B449" s="12">
        <v>28464</v>
      </c>
      <c r="C449" s="11" t="s">
        <v>573</v>
      </c>
      <c r="D449" s="12" t="s">
        <v>1</v>
      </c>
      <c r="E449" s="12" t="s">
        <v>1185</v>
      </c>
      <c r="F449" s="12" t="s">
        <v>113</v>
      </c>
      <c r="G449" s="12" t="s">
        <v>113</v>
      </c>
      <c r="H449" s="12" t="s">
        <v>574</v>
      </c>
      <c r="I449" s="12" t="s">
        <v>89</v>
      </c>
      <c r="J449" s="11" t="s">
        <v>1239</v>
      </c>
      <c r="K449" s="11" t="s">
        <v>1239</v>
      </c>
      <c r="L449" s="11" t="s">
        <v>1195</v>
      </c>
      <c r="M449" s="11" t="s">
        <v>575</v>
      </c>
      <c r="N449" s="57">
        <v>193600</v>
      </c>
      <c r="O449" s="59"/>
      <c r="P449" s="12" t="s">
        <v>576</v>
      </c>
      <c r="Q449" s="12" t="s">
        <v>4</v>
      </c>
      <c r="R449" s="12" t="s">
        <v>15</v>
      </c>
      <c r="S449" s="12" t="s">
        <v>22</v>
      </c>
      <c r="T449" s="12">
        <v>1</v>
      </c>
      <c r="U449" s="13">
        <v>44027</v>
      </c>
      <c r="V449" s="12" t="s">
        <v>111</v>
      </c>
      <c r="W449" s="12" t="s">
        <v>92</v>
      </c>
      <c r="X449" s="12" t="s">
        <v>105</v>
      </c>
      <c r="Y449" s="13"/>
      <c r="Z449" s="75"/>
      <c r="AA449" s="24"/>
      <c r="AC449" s="24"/>
      <c r="AD449" s="24"/>
      <c r="AE449" s="24"/>
      <c r="AF449" s="24"/>
      <c r="AG449" s="24"/>
      <c r="AH449" s="24"/>
      <c r="AI449" s="24"/>
    </row>
    <row r="450" spans="1:35" hidden="1" x14ac:dyDescent="0.3">
      <c r="A450" s="12" t="s">
        <v>85</v>
      </c>
      <c r="B450" s="12">
        <v>28579</v>
      </c>
      <c r="C450" s="11" t="s">
        <v>95</v>
      </c>
      <c r="D450" s="12" t="s">
        <v>417</v>
      </c>
      <c r="E450" s="12" t="s">
        <v>1185</v>
      </c>
      <c r="F450" s="12" t="s">
        <v>87</v>
      </c>
      <c r="G450" s="12" t="s">
        <v>87</v>
      </c>
      <c r="H450" s="12" t="s">
        <v>96</v>
      </c>
      <c r="I450" s="12" t="s">
        <v>89</v>
      </c>
      <c r="J450" s="11" t="s">
        <v>1281</v>
      </c>
      <c r="K450" s="11" t="s">
        <v>581</v>
      </c>
      <c r="L450" s="11" t="s">
        <v>1204</v>
      </c>
      <c r="M450" s="11" t="s">
        <v>582</v>
      </c>
      <c r="N450" s="57">
        <v>99272.99</v>
      </c>
      <c r="O450" s="62"/>
      <c r="P450" s="12"/>
      <c r="Q450" s="12" t="s">
        <v>12</v>
      </c>
      <c r="R450" s="12" t="s">
        <v>15</v>
      </c>
      <c r="S450" s="12" t="s">
        <v>53</v>
      </c>
      <c r="T450" s="12">
        <v>1</v>
      </c>
      <c r="U450" s="13">
        <v>43663</v>
      </c>
      <c r="V450" s="12" t="s">
        <v>583</v>
      </c>
      <c r="W450" s="12" t="s">
        <v>584</v>
      </c>
      <c r="X450" s="12" t="s">
        <v>93</v>
      </c>
      <c r="Y450" s="13"/>
      <c r="Z450" s="75"/>
      <c r="AA450" s="24"/>
      <c r="AC450" s="24"/>
      <c r="AD450" s="24"/>
      <c r="AE450" s="24"/>
      <c r="AF450" s="24"/>
      <c r="AG450" s="24"/>
      <c r="AH450" s="24"/>
      <c r="AI450" s="24"/>
    </row>
    <row r="451" spans="1:35" hidden="1" x14ac:dyDescent="0.3">
      <c r="A451" s="12" t="s">
        <v>85</v>
      </c>
      <c r="B451" s="12">
        <v>28579</v>
      </c>
      <c r="C451" s="11" t="s">
        <v>95</v>
      </c>
      <c r="D451" s="12" t="s">
        <v>417</v>
      </c>
      <c r="E451" s="12" t="s">
        <v>1185</v>
      </c>
      <c r="F451" s="12" t="s">
        <v>87</v>
      </c>
      <c r="G451" s="12" t="s">
        <v>87</v>
      </c>
      <c r="H451" s="12" t="s">
        <v>96</v>
      </c>
      <c r="I451" s="12" t="s">
        <v>89</v>
      </c>
      <c r="J451" s="11" t="s">
        <v>1281</v>
      </c>
      <c r="K451" s="11" t="s">
        <v>581</v>
      </c>
      <c r="L451" s="11" t="s">
        <v>1204</v>
      </c>
      <c r="M451" s="11" t="s">
        <v>582</v>
      </c>
      <c r="N451" s="57">
        <v>99272.99</v>
      </c>
      <c r="O451" s="62"/>
      <c r="P451" s="12"/>
      <c r="Q451" s="12" t="s">
        <v>12</v>
      </c>
      <c r="R451" s="12" t="s">
        <v>15</v>
      </c>
      <c r="S451" s="12" t="s">
        <v>53</v>
      </c>
      <c r="T451" s="12">
        <v>1</v>
      </c>
      <c r="U451" s="13">
        <v>43698</v>
      </c>
      <c r="V451" s="12" t="s">
        <v>585</v>
      </c>
      <c r="W451" s="12" t="s">
        <v>584</v>
      </c>
      <c r="X451" s="12" t="s">
        <v>93</v>
      </c>
      <c r="Y451" s="13"/>
      <c r="Z451" s="75"/>
      <c r="AA451" s="24"/>
      <c r="AC451" s="24"/>
      <c r="AD451" s="24"/>
      <c r="AE451" s="24"/>
      <c r="AF451" s="24"/>
      <c r="AG451" s="24"/>
      <c r="AH451" s="24"/>
      <c r="AI451" s="24"/>
    </row>
    <row r="452" spans="1:35" hidden="1" x14ac:dyDescent="0.3">
      <c r="A452" s="12" t="s">
        <v>85</v>
      </c>
      <c r="B452" s="12">
        <v>28579</v>
      </c>
      <c r="C452" s="11" t="s">
        <v>95</v>
      </c>
      <c r="D452" s="12" t="s">
        <v>417</v>
      </c>
      <c r="E452" s="12" t="s">
        <v>1185</v>
      </c>
      <c r="F452" s="12" t="s">
        <v>87</v>
      </c>
      <c r="G452" s="12" t="s">
        <v>87</v>
      </c>
      <c r="H452" s="12" t="s">
        <v>96</v>
      </c>
      <c r="I452" s="12" t="s">
        <v>89</v>
      </c>
      <c r="J452" s="11" t="s">
        <v>1281</v>
      </c>
      <c r="K452" s="11" t="s">
        <v>581</v>
      </c>
      <c r="L452" s="11" t="s">
        <v>1204</v>
      </c>
      <c r="M452" s="11" t="s">
        <v>582</v>
      </c>
      <c r="N452" s="57">
        <v>99272.99</v>
      </c>
      <c r="O452" s="62"/>
      <c r="P452" s="12"/>
      <c r="Q452" s="12" t="s">
        <v>12</v>
      </c>
      <c r="R452" s="12" t="s">
        <v>15</v>
      </c>
      <c r="S452" s="12" t="s">
        <v>92</v>
      </c>
      <c r="T452" s="12">
        <v>1</v>
      </c>
      <c r="U452" s="13">
        <v>43703</v>
      </c>
      <c r="V452" s="12" t="s">
        <v>586</v>
      </c>
      <c r="W452" s="12" t="s">
        <v>584</v>
      </c>
      <c r="X452" s="12" t="s">
        <v>93</v>
      </c>
      <c r="Y452" s="13">
        <v>43787</v>
      </c>
      <c r="Z452" s="75"/>
      <c r="AA452" s="24"/>
      <c r="AC452" s="24"/>
      <c r="AD452" s="24"/>
      <c r="AE452" s="24"/>
      <c r="AF452" s="24"/>
      <c r="AG452" s="24"/>
      <c r="AH452" s="24"/>
      <c r="AI452" s="24"/>
    </row>
    <row r="453" spans="1:35" hidden="1" x14ac:dyDescent="0.3">
      <c r="A453" s="12" t="s">
        <v>85</v>
      </c>
      <c r="B453" s="12">
        <v>28579</v>
      </c>
      <c r="C453" s="11" t="s">
        <v>95</v>
      </c>
      <c r="D453" s="12" t="s">
        <v>417</v>
      </c>
      <c r="E453" s="12" t="s">
        <v>1185</v>
      </c>
      <c r="F453" s="12" t="s">
        <v>87</v>
      </c>
      <c r="G453" s="12" t="s">
        <v>87</v>
      </c>
      <c r="H453" s="12" t="s">
        <v>96</v>
      </c>
      <c r="I453" s="12" t="s">
        <v>89</v>
      </c>
      <c r="J453" s="11" t="s">
        <v>1281</v>
      </c>
      <c r="K453" s="11" t="s">
        <v>581</v>
      </c>
      <c r="L453" s="11" t="s">
        <v>1204</v>
      </c>
      <c r="M453" s="11" t="s">
        <v>582</v>
      </c>
      <c r="N453" s="57">
        <v>99272.99</v>
      </c>
      <c r="O453" s="62"/>
      <c r="P453" s="12"/>
      <c r="Q453" s="12" t="s">
        <v>12</v>
      </c>
      <c r="R453" s="12" t="s">
        <v>15</v>
      </c>
      <c r="S453" s="12" t="s">
        <v>53</v>
      </c>
      <c r="T453" s="12">
        <v>1</v>
      </c>
      <c r="U453" s="13">
        <v>43721</v>
      </c>
      <c r="V453" s="12" t="s">
        <v>587</v>
      </c>
      <c r="W453" s="12" t="s">
        <v>584</v>
      </c>
      <c r="X453" s="12" t="s">
        <v>93</v>
      </c>
      <c r="Y453" s="13"/>
      <c r="Z453" s="75"/>
      <c r="AA453" s="24"/>
      <c r="AC453" s="24"/>
      <c r="AD453" s="24"/>
      <c r="AE453" s="24"/>
      <c r="AF453" s="24"/>
      <c r="AG453" s="24"/>
      <c r="AH453" s="24"/>
      <c r="AI453" s="24"/>
    </row>
    <row r="454" spans="1:35" hidden="1" x14ac:dyDescent="0.3">
      <c r="A454" s="12" t="s">
        <v>85</v>
      </c>
      <c r="B454" s="12">
        <v>28579</v>
      </c>
      <c r="C454" s="11" t="s">
        <v>95</v>
      </c>
      <c r="D454" s="12" t="s">
        <v>417</v>
      </c>
      <c r="E454" s="12" t="s">
        <v>1185</v>
      </c>
      <c r="F454" s="12" t="s">
        <v>87</v>
      </c>
      <c r="G454" s="12" t="s">
        <v>87</v>
      </c>
      <c r="H454" s="12" t="s">
        <v>96</v>
      </c>
      <c r="I454" s="12" t="s">
        <v>89</v>
      </c>
      <c r="J454" s="11" t="s">
        <v>1281</v>
      </c>
      <c r="K454" s="11" t="s">
        <v>581</v>
      </c>
      <c r="L454" s="11" t="s">
        <v>1204</v>
      </c>
      <c r="M454" s="11" t="s">
        <v>582</v>
      </c>
      <c r="N454" s="57">
        <v>99272.99</v>
      </c>
      <c r="O454" s="62"/>
      <c r="P454" s="12"/>
      <c r="Q454" s="12" t="s">
        <v>12</v>
      </c>
      <c r="R454" s="12" t="s">
        <v>15</v>
      </c>
      <c r="S454" s="12" t="s">
        <v>53</v>
      </c>
      <c r="T454" s="12">
        <v>1</v>
      </c>
      <c r="U454" s="13">
        <v>43725</v>
      </c>
      <c r="V454" s="12" t="s">
        <v>588</v>
      </c>
      <c r="W454" s="12" t="s">
        <v>584</v>
      </c>
      <c r="X454" s="12" t="s">
        <v>93</v>
      </c>
      <c r="Y454" s="13"/>
      <c r="Z454" s="75"/>
      <c r="AA454" s="24"/>
      <c r="AC454" s="24"/>
      <c r="AD454" s="24"/>
      <c r="AE454" s="24"/>
      <c r="AF454" s="24"/>
      <c r="AG454" s="24"/>
      <c r="AH454" s="24"/>
      <c r="AI454" s="24"/>
    </row>
    <row r="455" spans="1:35" hidden="1" x14ac:dyDescent="0.3">
      <c r="A455" s="12" t="s">
        <v>85</v>
      </c>
      <c r="B455" s="12">
        <v>28579</v>
      </c>
      <c r="C455" s="11" t="s">
        <v>95</v>
      </c>
      <c r="D455" s="12" t="s">
        <v>417</v>
      </c>
      <c r="E455" s="12" t="s">
        <v>1185</v>
      </c>
      <c r="F455" s="12" t="s">
        <v>87</v>
      </c>
      <c r="G455" s="12" t="s">
        <v>87</v>
      </c>
      <c r="H455" s="12" t="s">
        <v>96</v>
      </c>
      <c r="I455" s="12" t="s">
        <v>89</v>
      </c>
      <c r="J455" s="11" t="s">
        <v>1281</v>
      </c>
      <c r="K455" s="11" t="s">
        <v>581</v>
      </c>
      <c r="L455" s="11" t="s">
        <v>1204</v>
      </c>
      <c r="M455" s="11" t="s">
        <v>582</v>
      </c>
      <c r="N455" s="57">
        <v>99272.99</v>
      </c>
      <c r="O455" s="62"/>
      <c r="P455" s="12"/>
      <c r="Q455" s="12" t="s">
        <v>12</v>
      </c>
      <c r="R455" s="12" t="s">
        <v>15</v>
      </c>
      <c r="S455" s="12" t="s">
        <v>53</v>
      </c>
      <c r="T455" s="12">
        <v>1</v>
      </c>
      <c r="U455" s="13">
        <v>43755</v>
      </c>
      <c r="V455" s="12" t="s">
        <v>589</v>
      </c>
      <c r="W455" s="12" t="s">
        <v>584</v>
      </c>
      <c r="X455" s="12" t="s">
        <v>93</v>
      </c>
      <c r="Y455" s="13"/>
      <c r="Z455" s="75"/>
      <c r="AA455" s="24"/>
      <c r="AC455" s="24"/>
      <c r="AD455" s="24"/>
      <c r="AE455" s="24"/>
      <c r="AF455" s="24"/>
      <c r="AG455" s="24"/>
      <c r="AH455" s="24"/>
      <c r="AI455" s="24"/>
    </row>
    <row r="456" spans="1:35" hidden="1" x14ac:dyDescent="0.3">
      <c r="A456" s="12" t="s">
        <v>85</v>
      </c>
      <c r="B456" s="12">
        <v>28579</v>
      </c>
      <c r="C456" s="11" t="s">
        <v>95</v>
      </c>
      <c r="D456" s="12" t="s">
        <v>417</v>
      </c>
      <c r="E456" s="12" t="s">
        <v>1185</v>
      </c>
      <c r="F456" s="12" t="s">
        <v>87</v>
      </c>
      <c r="G456" s="12" t="s">
        <v>87</v>
      </c>
      <c r="H456" s="12" t="s">
        <v>96</v>
      </c>
      <c r="I456" s="12" t="s">
        <v>89</v>
      </c>
      <c r="J456" s="11" t="s">
        <v>1281</v>
      </c>
      <c r="K456" s="11" t="s">
        <v>581</v>
      </c>
      <c r="L456" s="11" t="s">
        <v>1204</v>
      </c>
      <c r="M456" s="11" t="s">
        <v>582</v>
      </c>
      <c r="N456" s="57">
        <v>99272.99</v>
      </c>
      <c r="O456" s="62"/>
      <c r="P456" s="12"/>
      <c r="Q456" s="12" t="s">
        <v>12</v>
      </c>
      <c r="R456" s="12" t="s">
        <v>15</v>
      </c>
      <c r="S456" s="12" t="s">
        <v>53</v>
      </c>
      <c r="T456" s="12">
        <v>1</v>
      </c>
      <c r="U456" s="13">
        <v>43775</v>
      </c>
      <c r="V456" s="12" t="s">
        <v>590</v>
      </c>
      <c r="W456" s="12" t="s">
        <v>584</v>
      </c>
      <c r="X456" s="12" t="s">
        <v>93</v>
      </c>
      <c r="Y456" s="13"/>
      <c r="Z456" s="75"/>
      <c r="AA456" s="24"/>
      <c r="AC456" s="24"/>
      <c r="AD456" s="24"/>
      <c r="AE456" s="24"/>
      <c r="AF456" s="24"/>
      <c r="AG456" s="24"/>
      <c r="AH456" s="24"/>
      <c r="AI456" s="24"/>
    </row>
    <row r="457" spans="1:35" hidden="1" x14ac:dyDescent="0.3">
      <c r="A457" s="12" t="s">
        <v>85</v>
      </c>
      <c r="B457" s="12">
        <v>28579</v>
      </c>
      <c r="C457" s="11" t="s">
        <v>95</v>
      </c>
      <c r="D457" s="12" t="s">
        <v>417</v>
      </c>
      <c r="E457" s="12" t="s">
        <v>1185</v>
      </c>
      <c r="F457" s="12" t="s">
        <v>87</v>
      </c>
      <c r="G457" s="12" t="s">
        <v>87</v>
      </c>
      <c r="H457" s="12" t="s">
        <v>96</v>
      </c>
      <c r="I457" s="12" t="s">
        <v>89</v>
      </c>
      <c r="J457" s="11" t="s">
        <v>1281</v>
      </c>
      <c r="K457" s="11" t="s">
        <v>581</v>
      </c>
      <c r="L457" s="11" t="s">
        <v>1204</v>
      </c>
      <c r="M457" s="11" t="s">
        <v>582</v>
      </c>
      <c r="N457" s="57">
        <v>99272.99</v>
      </c>
      <c r="O457" s="62"/>
      <c r="P457" s="12"/>
      <c r="Q457" s="12" t="s">
        <v>12</v>
      </c>
      <c r="R457" s="12" t="s">
        <v>15</v>
      </c>
      <c r="S457" s="12" t="s">
        <v>53</v>
      </c>
      <c r="T457" s="12">
        <v>1</v>
      </c>
      <c r="U457" s="13">
        <v>43796</v>
      </c>
      <c r="V457" s="12" t="s">
        <v>591</v>
      </c>
      <c r="W457" s="12" t="s">
        <v>584</v>
      </c>
      <c r="X457" s="12" t="s">
        <v>93</v>
      </c>
      <c r="Y457" s="13"/>
      <c r="Z457" s="75"/>
      <c r="AA457" s="24"/>
      <c r="AC457" s="24"/>
      <c r="AD457" s="24"/>
      <c r="AE457" s="24"/>
      <c r="AF457" s="24"/>
      <c r="AG457" s="24"/>
      <c r="AH457" s="24"/>
      <c r="AI457" s="24"/>
    </row>
    <row r="458" spans="1:35" hidden="1" x14ac:dyDescent="0.3">
      <c r="A458" s="12" t="s">
        <v>85</v>
      </c>
      <c r="B458" s="12">
        <v>28579</v>
      </c>
      <c r="C458" s="11" t="s">
        <v>95</v>
      </c>
      <c r="D458" s="12" t="s">
        <v>417</v>
      </c>
      <c r="E458" s="12" t="s">
        <v>1185</v>
      </c>
      <c r="F458" s="12" t="s">
        <v>87</v>
      </c>
      <c r="G458" s="12" t="s">
        <v>87</v>
      </c>
      <c r="H458" s="12" t="s">
        <v>96</v>
      </c>
      <c r="I458" s="12" t="s">
        <v>89</v>
      </c>
      <c r="J458" s="11" t="s">
        <v>1281</v>
      </c>
      <c r="K458" s="11" t="s">
        <v>581</v>
      </c>
      <c r="L458" s="11" t="s">
        <v>1204</v>
      </c>
      <c r="M458" s="11" t="s">
        <v>582</v>
      </c>
      <c r="N458" s="57">
        <v>99272.99</v>
      </c>
      <c r="O458" s="62"/>
      <c r="P458" s="12"/>
      <c r="Q458" s="12" t="s">
        <v>12</v>
      </c>
      <c r="R458" s="12" t="s">
        <v>15</v>
      </c>
      <c r="S458" s="12" t="s">
        <v>53</v>
      </c>
      <c r="T458" s="12">
        <v>1</v>
      </c>
      <c r="U458" s="13">
        <v>43839</v>
      </c>
      <c r="V458" s="12" t="s">
        <v>592</v>
      </c>
      <c r="W458" s="12" t="s">
        <v>584</v>
      </c>
      <c r="X458" s="12" t="s">
        <v>93</v>
      </c>
      <c r="Y458" s="13"/>
      <c r="Z458" s="75"/>
      <c r="AA458" s="24"/>
      <c r="AC458" s="24"/>
      <c r="AD458" s="24"/>
      <c r="AE458" s="24"/>
      <c r="AF458" s="24"/>
      <c r="AG458" s="24"/>
      <c r="AH458" s="24"/>
      <c r="AI458" s="24"/>
    </row>
    <row r="459" spans="1:35" hidden="1" x14ac:dyDescent="0.3">
      <c r="A459" s="12" t="s">
        <v>85</v>
      </c>
      <c r="B459" s="12">
        <v>28579</v>
      </c>
      <c r="C459" s="11" t="s">
        <v>95</v>
      </c>
      <c r="D459" s="12" t="s">
        <v>417</v>
      </c>
      <c r="E459" s="12" t="s">
        <v>1185</v>
      </c>
      <c r="F459" s="12" t="s">
        <v>87</v>
      </c>
      <c r="G459" s="12" t="s">
        <v>87</v>
      </c>
      <c r="H459" s="12" t="s">
        <v>96</v>
      </c>
      <c r="I459" s="12" t="s">
        <v>89</v>
      </c>
      <c r="J459" s="11" t="s">
        <v>1281</v>
      </c>
      <c r="K459" s="11" t="s">
        <v>581</v>
      </c>
      <c r="L459" s="11" t="s">
        <v>1204</v>
      </c>
      <c r="M459" s="11" t="s">
        <v>582</v>
      </c>
      <c r="N459" s="57">
        <v>99272.99</v>
      </c>
      <c r="O459" s="62"/>
      <c r="P459" s="12"/>
      <c r="Q459" s="12" t="s">
        <v>12</v>
      </c>
      <c r="R459" s="12" t="s">
        <v>15</v>
      </c>
      <c r="S459" s="12" t="s">
        <v>53</v>
      </c>
      <c r="T459" s="12">
        <v>1</v>
      </c>
      <c r="U459" s="13">
        <v>43847</v>
      </c>
      <c r="V459" s="12" t="s">
        <v>593</v>
      </c>
      <c r="W459" s="12" t="s">
        <v>584</v>
      </c>
      <c r="X459" s="12" t="s">
        <v>93</v>
      </c>
      <c r="Y459" s="13"/>
      <c r="Z459" s="75"/>
      <c r="AA459" s="24"/>
      <c r="AC459" s="24"/>
      <c r="AD459" s="24"/>
      <c r="AE459" s="24"/>
      <c r="AF459" s="24"/>
      <c r="AG459" s="24"/>
      <c r="AH459" s="24"/>
      <c r="AI459" s="24"/>
    </row>
    <row r="460" spans="1:35" hidden="1" x14ac:dyDescent="0.3">
      <c r="A460" s="12" t="s">
        <v>85</v>
      </c>
      <c r="B460" s="12">
        <v>28579</v>
      </c>
      <c r="C460" s="11" t="s">
        <v>95</v>
      </c>
      <c r="D460" s="12" t="s">
        <v>417</v>
      </c>
      <c r="E460" s="12" t="s">
        <v>1185</v>
      </c>
      <c r="F460" s="12" t="s">
        <v>87</v>
      </c>
      <c r="G460" s="12" t="s">
        <v>87</v>
      </c>
      <c r="H460" s="12" t="s">
        <v>96</v>
      </c>
      <c r="I460" s="12" t="s">
        <v>89</v>
      </c>
      <c r="J460" s="11" t="s">
        <v>1281</v>
      </c>
      <c r="K460" s="11" t="s">
        <v>581</v>
      </c>
      <c r="L460" s="11" t="s">
        <v>1204</v>
      </c>
      <c r="M460" s="11" t="s">
        <v>582</v>
      </c>
      <c r="N460" s="57">
        <v>99272.99</v>
      </c>
      <c r="O460" s="62"/>
      <c r="P460" s="12"/>
      <c r="Q460" s="12" t="s">
        <v>12</v>
      </c>
      <c r="R460" s="12" t="s">
        <v>15</v>
      </c>
      <c r="S460" s="12" t="s">
        <v>53</v>
      </c>
      <c r="T460" s="12">
        <v>1</v>
      </c>
      <c r="U460" s="13">
        <v>43878</v>
      </c>
      <c r="V460" s="12" t="s">
        <v>594</v>
      </c>
      <c r="W460" s="12" t="s">
        <v>584</v>
      </c>
      <c r="X460" s="12" t="s">
        <v>93</v>
      </c>
      <c r="Y460" s="13"/>
      <c r="Z460" s="75"/>
      <c r="AA460" s="24"/>
      <c r="AC460" s="24"/>
      <c r="AD460" s="24"/>
      <c r="AE460" s="24"/>
      <c r="AF460" s="24"/>
      <c r="AG460" s="24"/>
      <c r="AH460" s="24"/>
      <c r="AI460" s="24"/>
    </row>
    <row r="461" spans="1:35" hidden="1" x14ac:dyDescent="0.3">
      <c r="A461" s="12" t="s">
        <v>85</v>
      </c>
      <c r="B461" s="12">
        <v>28579</v>
      </c>
      <c r="C461" s="11" t="s">
        <v>95</v>
      </c>
      <c r="D461" s="12" t="s">
        <v>417</v>
      </c>
      <c r="E461" s="12" t="s">
        <v>1185</v>
      </c>
      <c r="F461" s="12" t="s">
        <v>87</v>
      </c>
      <c r="G461" s="12" t="s">
        <v>87</v>
      </c>
      <c r="H461" s="12" t="s">
        <v>96</v>
      </c>
      <c r="I461" s="12" t="s">
        <v>89</v>
      </c>
      <c r="J461" s="11" t="s">
        <v>1281</v>
      </c>
      <c r="K461" s="11" t="s">
        <v>581</v>
      </c>
      <c r="L461" s="11" t="s">
        <v>1204</v>
      </c>
      <c r="M461" s="11" t="s">
        <v>582</v>
      </c>
      <c r="N461" s="57">
        <v>99272.99</v>
      </c>
      <c r="O461" s="62"/>
      <c r="P461" s="12"/>
      <c r="Q461" s="12" t="s">
        <v>12</v>
      </c>
      <c r="R461" s="12" t="s">
        <v>15</v>
      </c>
      <c r="S461" s="12" t="s">
        <v>53</v>
      </c>
      <c r="T461" s="12">
        <v>1</v>
      </c>
      <c r="U461" s="13">
        <v>43903</v>
      </c>
      <c r="V461" s="12" t="s">
        <v>595</v>
      </c>
      <c r="W461" s="12" t="s">
        <v>584</v>
      </c>
      <c r="X461" s="12" t="s">
        <v>93</v>
      </c>
      <c r="Y461" s="13"/>
      <c r="Z461" s="75"/>
      <c r="AA461" s="24"/>
      <c r="AC461" s="24"/>
      <c r="AD461" s="24"/>
      <c r="AE461" s="24"/>
      <c r="AF461" s="24"/>
      <c r="AG461" s="24"/>
      <c r="AH461" s="24"/>
      <c r="AI461" s="24"/>
    </row>
    <row r="462" spans="1:35" hidden="1" x14ac:dyDescent="0.3">
      <c r="A462" s="12" t="s">
        <v>85</v>
      </c>
      <c r="B462" s="12">
        <v>28579</v>
      </c>
      <c r="C462" s="11" t="s">
        <v>95</v>
      </c>
      <c r="D462" s="12" t="s">
        <v>417</v>
      </c>
      <c r="E462" s="12" t="s">
        <v>1185</v>
      </c>
      <c r="F462" s="12" t="s">
        <v>87</v>
      </c>
      <c r="G462" s="12" t="s">
        <v>87</v>
      </c>
      <c r="H462" s="12" t="s">
        <v>96</v>
      </c>
      <c r="I462" s="12" t="s">
        <v>89</v>
      </c>
      <c r="J462" s="11" t="s">
        <v>1281</v>
      </c>
      <c r="K462" s="11" t="s">
        <v>581</v>
      </c>
      <c r="L462" s="11" t="s">
        <v>1204</v>
      </c>
      <c r="M462" s="11" t="s">
        <v>582</v>
      </c>
      <c r="N462" s="57">
        <v>99272.99</v>
      </c>
      <c r="O462" s="62"/>
      <c r="P462" s="12"/>
      <c r="Q462" s="12" t="s">
        <v>12</v>
      </c>
      <c r="R462" s="12" t="s">
        <v>15</v>
      </c>
      <c r="S462" s="12" t="s">
        <v>53</v>
      </c>
      <c r="T462" s="12">
        <v>1</v>
      </c>
      <c r="U462" s="13">
        <v>43938</v>
      </c>
      <c r="V462" s="12" t="s">
        <v>596</v>
      </c>
      <c r="W462" s="12" t="s">
        <v>584</v>
      </c>
      <c r="X462" s="12" t="s">
        <v>93</v>
      </c>
      <c r="Y462" s="13"/>
      <c r="Z462" s="75"/>
      <c r="AA462" s="24"/>
      <c r="AC462" s="24"/>
      <c r="AD462" s="24"/>
      <c r="AE462" s="24"/>
      <c r="AF462" s="24"/>
      <c r="AG462" s="24"/>
      <c r="AH462" s="24"/>
      <c r="AI462" s="24"/>
    </row>
    <row r="463" spans="1:35" hidden="1" x14ac:dyDescent="0.3">
      <c r="A463" s="12" t="s">
        <v>85</v>
      </c>
      <c r="B463" s="12">
        <v>28579</v>
      </c>
      <c r="C463" s="11" t="s">
        <v>95</v>
      </c>
      <c r="D463" s="12" t="s">
        <v>417</v>
      </c>
      <c r="E463" s="12" t="s">
        <v>1185</v>
      </c>
      <c r="F463" s="12" t="s">
        <v>87</v>
      </c>
      <c r="G463" s="12" t="s">
        <v>87</v>
      </c>
      <c r="H463" s="12" t="s">
        <v>96</v>
      </c>
      <c r="I463" s="12" t="s">
        <v>89</v>
      </c>
      <c r="J463" s="11" t="s">
        <v>1281</v>
      </c>
      <c r="K463" s="11" t="s">
        <v>581</v>
      </c>
      <c r="L463" s="11" t="s">
        <v>1204</v>
      </c>
      <c r="M463" s="11" t="s">
        <v>582</v>
      </c>
      <c r="N463" s="57">
        <v>99272.99</v>
      </c>
      <c r="O463" s="62"/>
      <c r="P463" s="12"/>
      <c r="Q463" s="12" t="s">
        <v>12</v>
      </c>
      <c r="R463" s="12" t="s">
        <v>15</v>
      </c>
      <c r="S463" s="12" t="s">
        <v>53</v>
      </c>
      <c r="T463" s="12">
        <v>1</v>
      </c>
      <c r="U463" s="13">
        <v>43962</v>
      </c>
      <c r="V463" s="12" t="s">
        <v>597</v>
      </c>
      <c r="W463" s="12" t="s">
        <v>584</v>
      </c>
      <c r="X463" s="12" t="s">
        <v>93</v>
      </c>
      <c r="Y463" s="13"/>
      <c r="Z463" s="75"/>
      <c r="AA463" s="24"/>
      <c r="AC463" s="24"/>
      <c r="AD463" s="24"/>
      <c r="AE463" s="24"/>
      <c r="AF463" s="24"/>
      <c r="AG463" s="24"/>
      <c r="AH463" s="24"/>
      <c r="AI463" s="24"/>
    </row>
    <row r="464" spans="1:35" hidden="1" x14ac:dyDescent="0.3">
      <c r="A464" s="12" t="s">
        <v>85</v>
      </c>
      <c r="B464" s="12">
        <v>28579</v>
      </c>
      <c r="C464" s="11" t="s">
        <v>95</v>
      </c>
      <c r="D464" s="12" t="s">
        <v>417</v>
      </c>
      <c r="E464" s="12" t="s">
        <v>1185</v>
      </c>
      <c r="F464" s="12" t="s">
        <v>87</v>
      </c>
      <c r="G464" s="12" t="s">
        <v>87</v>
      </c>
      <c r="H464" s="12" t="s">
        <v>96</v>
      </c>
      <c r="I464" s="12" t="s">
        <v>89</v>
      </c>
      <c r="J464" s="11" t="s">
        <v>1281</v>
      </c>
      <c r="K464" s="11" t="s">
        <v>581</v>
      </c>
      <c r="L464" s="11" t="s">
        <v>1204</v>
      </c>
      <c r="M464" s="11" t="s">
        <v>582</v>
      </c>
      <c r="N464" s="57">
        <v>99272.99</v>
      </c>
      <c r="O464" s="62"/>
      <c r="P464" s="12"/>
      <c r="Q464" s="12" t="s">
        <v>12</v>
      </c>
      <c r="R464" s="12" t="s">
        <v>15</v>
      </c>
      <c r="S464" s="12" t="s">
        <v>53</v>
      </c>
      <c r="T464" s="12">
        <v>1</v>
      </c>
      <c r="U464" s="13">
        <v>43998</v>
      </c>
      <c r="V464" s="12" t="s">
        <v>598</v>
      </c>
      <c r="W464" s="12" t="s">
        <v>584</v>
      </c>
      <c r="X464" s="12" t="s">
        <v>93</v>
      </c>
      <c r="Y464" s="13"/>
      <c r="Z464" s="75"/>
      <c r="AA464" s="24"/>
      <c r="AC464" s="24"/>
      <c r="AD464" s="24"/>
      <c r="AE464" s="24"/>
      <c r="AF464" s="24"/>
      <c r="AG464" s="24"/>
      <c r="AH464" s="24"/>
      <c r="AI464" s="24"/>
    </row>
    <row r="465" spans="1:35" hidden="1" x14ac:dyDescent="0.3">
      <c r="A465" s="12" t="s">
        <v>85</v>
      </c>
      <c r="B465" s="12">
        <v>28579</v>
      </c>
      <c r="C465" s="11" t="s">
        <v>95</v>
      </c>
      <c r="D465" s="12" t="s">
        <v>417</v>
      </c>
      <c r="E465" s="12" t="s">
        <v>1185</v>
      </c>
      <c r="F465" s="12" t="s">
        <v>87</v>
      </c>
      <c r="G465" s="12" t="s">
        <v>87</v>
      </c>
      <c r="H465" s="12" t="s">
        <v>96</v>
      </c>
      <c r="I465" s="12" t="s">
        <v>89</v>
      </c>
      <c r="J465" s="11" t="s">
        <v>1281</v>
      </c>
      <c r="K465" s="11" t="s">
        <v>581</v>
      </c>
      <c r="L465" s="11" t="s">
        <v>1204</v>
      </c>
      <c r="M465" s="11" t="s">
        <v>582</v>
      </c>
      <c r="N465" s="57">
        <v>99272.99</v>
      </c>
      <c r="O465" s="62"/>
      <c r="P465" s="12"/>
      <c r="Q465" s="12" t="s">
        <v>12</v>
      </c>
      <c r="R465" s="12" t="s">
        <v>15</v>
      </c>
      <c r="S465" s="12" t="s">
        <v>53</v>
      </c>
      <c r="T465" s="12">
        <v>1</v>
      </c>
      <c r="U465" s="13">
        <v>44000</v>
      </c>
      <c r="V465" s="12" t="s">
        <v>599</v>
      </c>
      <c r="W465" s="12" t="s">
        <v>584</v>
      </c>
      <c r="X465" s="12" t="s">
        <v>93</v>
      </c>
      <c r="Y465" s="13"/>
      <c r="Z465" s="75"/>
      <c r="AA465" s="24"/>
      <c r="AC465" s="24"/>
      <c r="AD465" s="24"/>
      <c r="AE465" s="24"/>
      <c r="AF465" s="24"/>
      <c r="AG465" s="24"/>
      <c r="AH465" s="24"/>
      <c r="AI465" s="24"/>
    </row>
    <row r="466" spans="1:35" hidden="1" x14ac:dyDescent="0.3">
      <c r="A466" s="12" t="s">
        <v>85</v>
      </c>
      <c r="B466" s="12">
        <v>28579</v>
      </c>
      <c r="C466" s="11" t="s">
        <v>95</v>
      </c>
      <c r="D466" s="12" t="s">
        <v>417</v>
      </c>
      <c r="E466" s="12" t="s">
        <v>1185</v>
      </c>
      <c r="F466" s="12" t="s">
        <v>87</v>
      </c>
      <c r="G466" s="12" t="s">
        <v>87</v>
      </c>
      <c r="H466" s="12" t="s">
        <v>96</v>
      </c>
      <c r="I466" s="12" t="s">
        <v>89</v>
      </c>
      <c r="J466" s="11" t="s">
        <v>1281</v>
      </c>
      <c r="K466" s="11" t="s">
        <v>581</v>
      </c>
      <c r="L466" s="11" t="s">
        <v>1204</v>
      </c>
      <c r="M466" s="11" t="s">
        <v>582</v>
      </c>
      <c r="N466" s="57">
        <v>99272.99</v>
      </c>
      <c r="O466" s="62"/>
      <c r="P466" s="12"/>
      <c r="Q466" s="12" t="s">
        <v>12</v>
      </c>
      <c r="R466" s="12" t="s">
        <v>15</v>
      </c>
      <c r="S466" s="12" t="s">
        <v>53</v>
      </c>
      <c r="T466" s="12">
        <v>1</v>
      </c>
      <c r="U466" s="13">
        <v>44004</v>
      </c>
      <c r="V466" s="12" t="s">
        <v>600</v>
      </c>
      <c r="W466" s="12" t="s">
        <v>584</v>
      </c>
      <c r="X466" s="12" t="s">
        <v>93</v>
      </c>
      <c r="Y466" s="13"/>
      <c r="Z466" s="75"/>
      <c r="AA466" s="24"/>
      <c r="AC466" s="24"/>
      <c r="AD466" s="24"/>
      <c r="AE466" s="24"/>
      <c r="AF466" s="24"/>
      <c r="AG466" s="24"/>
      <c r="AH466" s="24"/>
      <c r="AI466" s="24"/>
    </row>
    <row r="467" spans="1:35" hidden="1" x14ac:dyDescent="0.3">
      <c r="A467" s="12" t="s">
        <v>85</v>
      </c>
      <c r="B467" s="12">
        <v>28579</v>
      </c>
      <c r="C467" s="11" t="s">
        <v>95</v>
      </c>
      <c r="D467" s="12" t="s">
        <v>417</v>
      </c>
      <c r="E467" s="12" t="s">
        <v>1185</v>
      </c>
      <c r="F467" s="12" t="s">
        <v>87</v>
      </c>
      <c r="G467" s="12" t="s">
        <v>87</v>
      </c>
      <c r="H467" s="12" t="s">
        <v>96</v>
      </c>
      <c r="I467" s="12" t="s">
        <v>89</v>
      </c>
      <c r="J467" s="11" t="s">
        <v>1281</v>
      </c>
      <c r="K467" s="11" t="s">
        <v>581</v>
      </c>
      <c r="L467" s="11" t="s">
        <v>1204</v>
      </c>
      <c r="M467" s="11" t="s">
        <v>582</v>
      </c>
      <c r="N467" s="57">
        <v>99272.99</v>
      </c>
      <c r="O467" s="62"/>
      <c r="P467" s="12"/>
      <c r="Q467" s="12" t="s">
        <v>12</v>
      </c>
      <c r="R467" s="12" t="s">
        <v>15</v>
      </c>
      <c r="S467" s="12" t="s">
        <v>53</v>
      </c>
      <c r="T467" s="12">
        <v>1</v>
      </c>
      <c r="U467" s="13">
        <v>44012</v>
      </c>
      <c r="V467" s="12" t="s">
        <v>601</v>
      </c>
      <c r="W467" s="12" t="s">
        <v>584</v>
      </c>
      <c r="X467" s="12" t="s">
        <v>93</v>
      </c>
      <c r="Y467" s="13"/>
      <c r="Z467" s="75"/>
      <c r="AA467" s="24"/>
      <c r="AC467" s="24"/>
      <c r="AD467" s="24"/>
      <c r="AE467" s="24"/>
      <c r="AF467" s="24"/>
      <c r="AG467" s="24"/>
      <c r="AH467" s="24"/>
      <c r="AI467" s="24"/>
    </row>
    <row r="468" spans="1:35" hidden="1" x14ac:dyDescent="0.3">
      <c r="A468" s="12" t="s">
        <v>85</v>
      </c>
      <c r="B468" s="12">
        <v>28579</v>
      </c>
      <c r="C468" s="11" t="s">
        <v>95</v>
      </c>
      <c r="D468" s="12" t="s">
        <v>417</v>
      </c>
      <c r="E468" s="12" t="s">
        <v>1185</v>
      </c>
      <c r="F468" s="12" t="s">
        <v>87</v>
      </c>
      <c r="G468" s="12" t="s">
        <v>87</v>
      </c>
      <c r="H468" s="12" t="s">
        <v>96</v>
      </c>
      <c r="I468" s="12" t="s">
        <v>89</v>
      </c>
      <c r="J468" s="11" t="s">
        <v>1281</v>
      </c>
      <c r="K468" s="11" t="s">
        <v>581</v>
      </c>
      <c r="L468" s="11" t="s">
        <v>1204</v>
      </c>
      <c r="M468" s="11" t="s">
        <v>582</v>
      </c>
      <c r="N468" s="57">
        <v>99272.99</v>
      </c>
      <c r="O468" s="62"/>
      <c r="P468" s="12"/>
      <c r="Q468" s="12" t="s">
        <v>12</v>
      </c>
      <c r="R468" s="12" t="s">
        <v>15</v>
      </c>
      <c r="S468" s="12" t="s">
        <v>53</v>
      </c>
      <c r="T468" s="12">
        <v>1</v>
      </c>
      <c r="U468" s="13">
        <v>44028</v>
      </c>
      <c r="V468" s="12" t="s">
        <v>602</v>
      </c>
      <c r="W468" s="12" t="s">
        <v>584</v>
      </c>
      <c r="X468" s="12" t="s">
        <v>93</v>
      </c>
      <c r="Y468" s="13"/>
      <c r="Z468" s="75"/>
      <c r="AA468" s="24"/>
      <c r="AC468" s="24"/>
      <c r="AD468" s="24"/>
      <c r="AE468" s="24"/>
      <c r="AF468" s="24"/>
      <c r="AG468" s="24"/>
      <c r="AH468" s="24"/>
      <c r="AI468" s="24"/>
    </row>
    <row r="469" spans="1:35" hidden="1" x14ac:dyDescent="0.3">
      <c r="A469" s="12" t="s">
        <v>85</v>
      </c>
      <c r="B469" s="12">
        <v>28897</v>
      </c>
      <c r="C469" s="11" t="s">
        <v>527</v>
      </c>
      <c r="D469" s="12" t="s">
        <v>1</v>
      </c>
      <c r="E469" s="12" t="s">
        <v>1185</v>
      </c>
      <c r="F469" s="12" t="s">
        <v>87</v>
      </c>
      <c r="G469" s="12" t="s">
        <v>113</v>
      </c>
      <c r="H469" s="12" t="s">
        <v>528</v>
      </c>
      <c r="I469" s="12" t="s">
        <v>125</v>
      </c>
      <c r="J469" s="11" t="s">
        <v>529</v>
      </c>
      <c r="K469" s="11" t="s">
        <v>529</v>
      </c>
      <c r="L469" s="11" t="s">
        <v>1212</v>
      </c>
      <c r="M469" s="11" t="s">
        <v>537</v>
      </c>
      <c r="N469" s="58">
        <v>720</v>
      </c>
      <c r="O469" s="59" t="s">
        <v>289</v>
      </c>
      <c r="P469" s="12" t="s">
        <v>603</v>
      </c>
      <c r="Q469" s="12" t="s">
        <v>4</v>
      </c>
      <c r="R469" s="12" t="s">
        <v>13</v>
      </c>
      <c r="S469" s="12" t="s">
        <v>25</v>
      </c>
      <c r="T469" s="12">
        <v>1</v>
      </c>
      <c r="U469" s="13">
        <v>44028</v>
      </c>
      <c r="V469" s="12" t="s">
        <v>94</v>
      </c>
      <c r="W469" s="12" t="s">
        <v>92</v>
      </c>
      <c r="X469" s="12" t="s">
        <v>93</v>
      </c>
      <c r="Y469" s="13"/>
      <c r="Z469" s="75"/>
      <c r="AA469" s="24"/>
      <c r="AC469" s="24"/>
      <c r="AD469" s="24"/>
      <c r="AE469" s="24"/>
      <c r="AF469" s="24"/>
      <c r="AG469" s="24"/>
      <c r="AH469" s="24"/>
      <c r="AI469" s="24"/>
    </row>
    <row r="470" spans="1:35" hidden="1" x14ac:dyDescent="0.3">
      <c r="A470" s="12" t="s">
        <v>85</v>
      </c>
      <c r="B470" s="12">
        <v>28960</v>
      </c>
      <c r="C470" s="11" t="s">
        <v>95</v>
      </c>
      <c r="D470" s="12" t="s">
        <v>1</v>
      </c>
      <c r="E470" s="12" t="s">
        <v>1185</v>
      </c>
      <c r="F470" s="12" t="s">
        <v>87</v>
      </c>
      <c r="G470" s="12" t="s">
        <v>87</v>
      </c>
      <c r="H470" s="12" t="s">
        <v>96</v>
      </c>
      <c r="I470" s="12" t="s">
        <v>89</v>
      </c>
      <c r="J470" s="11" t="s">
        <v>1271</v>
      </c>
      <c r="K470" s="11" t="s">
        <v>604</v>
      </c>
      <c r="L470" s="11" t="s">
        <v>1218</v>
      </c>
      <c r="M470" s="11" t="s">
        <v>605</v>
      </c>
      <c r="N470" s="58">
        <v>1889.45</v>
      </c>
      <c r="O470" s="59" t="s">
        <v>606</v>
      </c>
      <c r="P470" s="12" t="s">
        <v>607</v>
      </c>
      <c r="Q470" s="12" t="s">
        <v>12</v>
      </c>
      <c r="R470" s="12" t="s">
        <v>99</v>
      </c>
      <c r="S470" s="12" t="s">
        <v>99</v>
      </c>
      <c r="T470" s="12">
        <v>0</v>
      </c>
      <c r="U470" s="13"/>
      <c r="V470" s="12" t="s">
        <v>92</v>
      </c>
      <c r="W470" s="12" t="s">
        <v>92</v>
      </c>
      <c r="X470" s="12" t="s">
        <v>135</v>
      </c>
      <c r="Y470" s="13"/>
      <c r="Z470" s="75"/>
      <c r="AA470" s="24"/>
      <c r="AC470" s="24"/>
      <c r="AD470" s="24"/>
      <c r="AE470" s="24"/>
      <c r="AF470" s="24"/>
      <c r="AG470" s="24"/>
      <c r="AH470" s="24"/>
      <c r="AI470" s="24"/>
    </row>
    <row r="471" spans="1:35" hidden="1" x14ac:dyDescent="0.3">
      <c r="A471" s="12" t="s">
        <v>85</v>
      </c>
      <c r="B471" s="12">
        <v>30431</v>
      </c>
      <c r="C471" s="11" t="s">
        <v>608</v>
      </c>
      <c r="D471" s="12" t="s">
        <v>1</v>
      </c>
      <c r="E471" s="12" t="s">
        <v>1185</v>
      </c>
      <c r="F471" s="12" t="s">
        <v>87</v>
      </c>
      <c r="G471" s="12" t="s">
        <v>87</v>
      </c>
      <c r="H471" s="12" t="s">
        <v>609</v>
      </c>
      <c r="I471" s="12" t="s">
        <v>89</v>
      </c>
      <c r="J471" s="11" t="s">
        <v>1280</v>
      </c>
      <c r="K471" s="11" t="s">
        <v>610</v>
      </c>
      <c r="L471" s="11" t="s">
        <v>1195</v>
      </c>
      <c r="M471" s="11" t="s">
        <v>611</v>
      </c>
      <c r="N471" s="58">
        <f>11797.5/4+433.5+925.05</f>
        <v>4307.9250000000002</v>
      </c>
      <c r="O471" s="59"/>
      <c r="P471" s="12">
        <v>561304</v>
      </c>
      <c r="Q471" s="12" t="s">
        <v>4</v>
      </c>
      <c r="R471" s="12" t="s">
        <v>15</v>
      </c>
      <c r="S471" s="12" t="s">
        <v>53</v>
      </c>
      <c r="T471" s="12">
        <v>1</v>
      </c>
      <c r="U471" s="13">
        <v>43814</v>
      </c>
      <c r="V471" s="12" t="s">
        <v>612</v>
      </c>
      <c r="W471" s="12" t="s">
        <v>92</v>
      </c>
      <c r="X471" s="12" t="s">
        <v>93</v>
      </c>
      <c r="Y471" s="13"/>
      <c r="Z471" s="75"/>
      <c r="AA471" s="24"/>
      <c r="AC471" s="24"/>
      <c r="AD471" s="24"/>
      <c r="AE471" s="24"/>
      <c r="AF471" s="24"/>
      <c r="AG471" s="24"/>
      <c r="AH471" s="24"/>
      <c r="AI471" s="24"/>
    </row>
    <row r="472" spans="1:35" hidden="1" x14ac:dyDescent="0.3">
      <c r="A472" s="12" t="s">
        <v>85</v>
      </c>
      <c r="B472" s="12">
        <v>30431</v>
      </c>
      <c r="C472" s="11" t="s">
        <v>608</v>
      </c>
      <c r="D472" s="12" t="s">
        <v>1</v>
      </c>
      <c r="E472" s="12" t="s">
        <v>1185</v>
      </c>
      <c r="F472" s="12" t="s">
        <v>87</v>
      </c>
      <c r="G472" s="12" t="s">
        <v>87</v>
      </c>
      <c r="H472" s="12" t="s">
        <v>609</v>
      </c>
      <c r="I472" s="12" t="s">
        <v>89</v>
      </c>
      <c r="J472" s="11" t="s">
        <v>1280</v>
      </c>
      <c r="K472" s="11" t="s">
        <v>610</v>
      </c>
      <c r="L472" s="11" t="s">
        <v>1195</v>
      </c>
      <c r="M472" s="11" t="s">
        <v>611</v>
      </c>
      <c r="N472" s="58">
        <f t="shared" ref="N472:N478" si="2">11797.5/4+433.5+925.05</f>
        <v>4307.9250000000002</v>
      </c>
      <c r="O472" s="59"/>
      <c r="P472" s="12">
        <v>561304</v>
      </c>
      <c r="Q472" s="12" t="s">
        <v>4</v>
      </c>
      <c r="R472" s="12" t="s">
        <v>15</v>
      </c>
      <c r="S472" s="12" t="s">
        <v>53</v>
      </c>
      <c r="T472" s="12">
        <v>1</v>
      </c>
      <c r="U472" s="13">
        <v>43847</v>
      </c>
      <c r="V472" s="12" t="s">
        <v>613</v>
      </c>
      <c r="W472" s="12" t="s">
        <v>92</v>
      </c>
      <c r="X472" s="12" t="s">
        <v>93</v>
      </c>
      <c r="Y472" s="13"/>
      <c r="Z472" s="75"/>
      <c r="AA472" s="24"/>
      <c r="AC472" s="24"/>
      <c r="AD472" s="24"/>
      <c r="AE472" s="24"/>
      <c r="AF472" s="24"/>
      <c r="AG472" s="24"/>
      <c r="AH472" s="24"/>
      <c r="AI472" s="24"/>
    </row>
    <row r="473" spans="1:35" hidden="1" x14ac:dyDescent="0.3">
      <c r="A473" s="12" t="s">
        <v>85</v>
      </c>
      <c r="B473" s="12">
        <v>30431</v>
      </c>
      <c r="C473" s="11" t="s">
        <v>608</v>
      </c>
      <c r="D473" s="12" t="s">
        <v>1</v>
      </c>
      <c r="E473" s="12" t="s">
        <v>1185</v>
      </c>
      <c r="F473" s="12" t="s">
        <v>87</v>
      </c>
      <c r="G473" s="12" t="s">
        <v>87</v>
      </c>
      <c r="H473" s="12" t="s">
        <v>609</v>
      </c>
      <c r="I473" s="12" t="s">
        <v>89</v>
      </c>
      <c r="J473" s="11" t="s">
        <v>1280</v>
      </c>
      <c r="K473" s="11" t="s">
        <v>610</v>
      </c>
      <c r="L473" s="11" t="s">
        <v>1195</v>
      </c>
      <c r="M473" s="11" t="s">
        <v>611</v>
      </c>
      <c r="N473" s="58">
        <f t="shared" si="2"/>
        <v>4307.9250000000002</v>
      </c>
      <c r="O473" s="59"/>
      <c r="P473" s="12">
        <v>561304</v>
      </c>
      <c r="Q473" s="12" t="s">
        <v>4</v>
      </c>
      <c r="R473" s="12" t="s">
        <v>15</v>
      </c>
      <c r="S473" s="12" t="s">
        <v>53</v>
      </c>
      <c r="T473" s="12">
        <v>1</v>
      </c>
      <c r="U473" s="13">
        <v>43879</v>
      </c>
      <c r="V473" s="12" t="s">
        <v>614</v>
      </c>
      <c r="W473" s="12" t="s">
        <v>92</v>
      </c>
      <c r="X473" s="12" t="s">
        <v>93</v>
      </c>
      <c r="Y473" s="13"/>
      <c r="Z473" s="75"/>
      <c r="AA473" s="24"/>
      <c r="AC473" s="24"/>
      <c r="AD473" s="24"/>
      <c r="AE473" s="24"/>
      <c r="AF473" s="24"/>
      <c r="AG473" s="24"/>
      <c r="AH473" s="24"/>
      <c r="AI473" s="24"/>
    </row>
    <row r="474" spans="1:35" hidden="1" x14ac:dyDescent="0.3">
      <c r="A474" s="12" t="s">
        <v>85</v>
      </c>
      <c r="B474" s="12">
        <v>30431</v>
      </c>
      <c r="C474" s="11" t="s">
        <v>608</v>
      </c>
      <c r="D474" s="12" t="s">
        <v>1</v>
      </c>
      <c r="E474" s="12" t="s">
        <v>1185</v>
      </c>
      <c r="F474" s="12" t="s">
        <v>87</v>
      </c>
      <c r="G474" s="12" t="s">
        <v>87</v>
      </c>
      <c r="H474" s="12" t="s">
        <v>609</v>
      </c>
      <c r="I474" s="12" t="s">
        <v>89</v>
      </c>
      <c r="J474" s="11" t="s">
        <v>1280</v>
      </c>
      <c r="K474" s="11" t="s">
        <v>610</v>
      </c>
      <c r="L474" s="11" t="s">
        <v>1195</v>
      </c>
      <c r="M474" s="11" t="s">
        <v>611</v>
      </c>
      <c r="N474" s="58">
        <f t="shared" si="2"/>
        <v>4307.9250000000002</v>
      </c>
      <c r="O474" s="59"/>
      <c r="P474" s="12">
        <v>561304</v>
      </c>
      <c r="Q474" s="12" t="s">
        <v>4</v>
      </c>
      <c r="R474" s="12" t="s">
        <v>15</v>
      </c>
      <c r="S474" s="12" t="s">
        <v>53</v>
      </c>
      <c r="T474" s="12">
        <v>1</v>
      </c>
      <c r="U474" s="13">
        <v>43668</v>
      </c>
      <c r="V474" s="12" t="s">
        <v>615</v>
      </c>
      <c r="W474" s="12" t="s">
        <v>92</v>
      </c>
      <c r="X474" s="12" t="s">
        <v>93</v>
      </c>
      <c r="Y474" s="13"/>
      <c r="Z474" s="75"/>
      <c r="AA474" s="24"/>
      <c r="AC474" s="24"/>
      <c r="AD474" s="24"/>
      <c r="AE474" s="24"/>
      <c r="AF474" s="24"/>
      <c r="AG474" s="24"/>
      <c r="AH474" s="24"/>
      <c r="AI474" s="24"/>
    </row>
    <row r="475" spans="1:35" hidden="1" x14ac:dyDescent="0.3">
      <c r="A475" s="12" t="s">
        <v>85</v>
      </c>
      <c r="B475" s="12">
        <v>30431</v>
      </c>
      <c r="C475" s="11" t="s">
        <v>608</v>
      </c>
      <c r="D475" s="12" t="s">
        <v>1</v>
      </c>
      <c r="E475" s="12" t="s">
        <v>1185</v>
      </c>
      <c r="F475" s="12" t="s">
        <v>87</v>
      </c>
      <c r="G475" s="12" t="s">
        <v>87</v>
      </c>
      <c r="H475" s="12" t="s">
        <v>609</v>
      </c>
      <c r="I475" s="12" t="s">
        <v>89</v>
      </c>
      <c r="J475" s="11" t="s">
        <v>1280</v>
      </c>
      <c r="K475" s="11" t="s">
        <v>610</v>
      </c>
      <c r="L475" s="11" t="s">
        <v>1195</v>
      </c>
      <c r="M475" s="11" t="s">
        <v>611</v>
      </c>
      <c r="N475" s="58">
        <f t="shared" si="2"/>
        <v>4307.9250000000002</v>
      </c>
      <c r="O475" s="59"/>
      <c r="P475" s="12">
        <v>561304</v>
      </c>
      <c r="Q475" s="12" t="s">
        <v>4</v>
      </c>
      <c r="R475" s="12" t="s">
        <v>15</v>
      </c>
      <c r="S475" s="12" t="s">
        <v>53</v>
      </c>
      <c r="T475" s="12">
        <v>1</v>
      </c>
      <c r="U475" s="13">
        <v>43906</v>
      </c>
      <c r="V475" s="12" t="s">
        <v>614</v>
      </c>
      <c r="W475" s="12" t="s">
        <v>92</v>
      </c>
      <c r="X475" s="12" t="s">
        <v>93</v>
      </c>
      <c r="Y475" s="13"/>
      <c r="Z475" s="75"/>
      <c r="AA475" s="24"/>
      <c r="AC475" s="24"/>
      <c r="AD475" s="24"/>
      <c r="AE475" s="24"/>
      <c r="AF475" s="24"/>
      <c r="AG475" s="24"/>
      <c r="AH475" s="24"/>
      <c r="AI475" s="24"/>
    </row>
    <row r="476" spans="1:35" hidden="1" x14ac:dyDescent="0.3">
      <c r="A476" s="12" t="s">
        <v>85</v>
      </c>
      <c r="B476" s="12">
        <v>30431</v>
      </c>
      <c r="C476" s="11" t="s">
        <v>608</v>
      </c>
      <c r="D476" s="12" t="s">
        <v>1</v>
      </c>
      <c r="E476" s="12" t="s">
        <v>1185</v>
      </c>
      <c r="F476" s="12" t="s">
        <v>87</v>
      </c>
      <c r="G476" s="12" t="s">
        <v>87</v>
      </c>
      <c r="H476" s="12" t="s">
        <v>609</v>
      </c>
      <c r="I476" s="12" t="s">
        <v>89</v>
      </c>
      <c r="J476" s="11" t="s">
        <v>1280</v>
      </c>
      <c r="K476" s="11" t="s">
        <v>610</v>
      </c>
      <c r="L476" s="11" t="s">
        <v>1195</v>
      </c>
      <c r="M476" s="11" t="s">
        <v>611</v>
      </c>
      <c r="N476" s="58">
        <f t="shared" si="2"/>
        <v>4307.9250000000002</v>
      </c>
      <c r="O476" s="59"/>
      <c r="P476" s="12">
        <v>561304</v>
      </c>
      <c r="Q476" s="12" t="s">
        <v>4</v>
      </c>
      <c r="R476" s="12" t="s">
        <v>15</v>
      </c>
      <c r="S476" s="12" t="s">
        <v>53</v>
      </c>
      <c r="T476" s="12">
        <v>1</v>
      </c>
      <c r="U476" s="13">
        <v>43962</v>
      </c>
      <c r="V476" s="12" t="s">
        <v>616</v>
      </c>
      <c r="W476" s="12" t="s">
        <v>92</v>
      </c>
      <c r="X476" s="12" t="s">
        <v>93</v>
      </c>
      <c r="Y476" s="13"/>
      <c r="Z476" s="75"/>
      <c r="AA476" s="24"/>
      <c r="AC476" s="24"/>
      <c r="AD476" s="24"/>
      <c r="AE476" s="24"/>
      <c r="AF476" s="24"/>
      <c r="AG476" s="24"/>
      <c r="AH476" s="24"/>
      <c r="AI476" s="24"/>
    </row>
    <row r="477" spans="1:35" hidden="1" x14ac:dyDescent="0.3">
      <c r="A477" s="12" t="s">
        <v>85</v>
      </c>
      <c r="B477" s="12">
        <v>30431</v>
      </c>
      <c r="C477" s="11" t="s">
        <v>608</v>
      </c>
      <c r="D477" s="12" t="s">
        <v>1</v>
      </c>
      <c r="E477" s="12" t="s">
        <v>1185</v>
      </c>
      <c r="F477" s="12" t="s">
        <v>87</v>
      </c>
      <c r="G477" s="12" t="s">
        <v>87</v>
      </c>
      <c r="H477" s="12" t="s">
        <v>609</v>
      </c>
      <c r="I477" s="12" t="s">
        <v>89</v>
      </c>
      <c r="J477" s="11" t="s">
        <v>1280</v>
      </c>
      <c r="K477" s="11" t="s">
        <v>610</v>
      </c>
      <c r="L477" s="11" t="s">
        <v>1195</v>
      </c>
      <c r="M477" s="11" t="s">
        <v>611</v>
      </c>
      <c r="N477" s="58">
        <f t="shared" si="2"/>
        <v>4307.9250000000002</v>
      </c>
      <c r="O477" s="59"/>
      <c r="P477" s="12">
        <v>561304</v>
      </c>
      <c r="Q477" s="12" t="s">
        <v>4</v>
      </c>
      <c r="R477" s="12" t="s">
        <v>15</v>
      </c>
      <c r="S477" s="12" t="s">
        <v>53</v>
      </c>
      <c r="T477" s="12">
        <v>1</v>
      </c>
      <c r="U477" s="13">
        <v>43998</v>
      </c>
      <c r="V477" s="12" t="s">
        <v>617</v>
      </c>
      <c r="W477" s="12" t="s">
        <v>92</v>
      </c>
      <c r="X477" s="12" t="s">
        <v>93</v>
      </c>
      <c r="Y477" s="13"/>
      <c r="Z477" s="75"/>
      <c r="AA477" s="24"/>
      <c r="AC477" s="24"/>
      <c r="AD477" s="24"/>
      <c r="AE477" s="24"/>
      <c r="AF477" s="24"/>
      <c r="AG477" s="24"/>
      <c r="AH477" s="24"/>
      <c r="AI477" s="24"/>
    </row>
    <row r="478" spans="1:35" hidden="1" x14ac:dyDescent="0.3">
      <c r="A478" s="12" t="s">
        <v>85</v>
      </c>
      <c r="B478" s="12">
        <v>30431</v>
      </c>
      <c r="C478" s="11" t="s">
        <v>608</v>
      </c>
      <c r="D478" s="12" t="s">
        <v>1</v>
      </c>
      <c r="E478" s="12" t="s">
        <v>1185</v>
      </c>
      <c r="F478" s="12" t="s">
        <v>87</v>
      </c>
      <c r="G478" s="12" t="s">
        <v>87</v>
      </c>
      <c r="H478" s="12" t="s">
        <v>609</v>
      </c>
      <c r="I478" s="12" t="s">
        <v>89</v>
      </c>
      <c r="J478" s="11" t="s">
        <v>1280</v>
      </c>
      <c r="K478" s="11" t="s">
        <v>610</v>
      </c>
      <c r="L478" s="11" t="s">
        <v>1195</v>
      </c>
      <c r="M478" s="11" t="s">
        <v>611</v>
      </c>
      <c r="N478" s="58">
        <f t="shared" si="2"/>
        <v>4307.9250000000002</v>
      </c>
      <c r="O478" s="59"/>
      <c r="P478" s="12">
        <v>561304</v>
      </c>
      <c r="Q478" s="12" t="s">
        <v>4</v>
      </c>
      <c r="R478" s="12" t="s">
        <v>15</v>
      </c>
      <c r="S478" s="12" t="s">
        <v>53</v>
      </c>
      <c r="T478" s="12">
        <v>1</v>
      </c>
      <c r="U478" s="13">
        <v>44027</v>
      </c>
      <c r="V478" s="12" t="s">
        <v>618</v>
      </c>
      <c r="W478" s="12" t="s">
        <v>92</v>
      </c>
      <c r="X478" s="12" t="s">
        <v>93</v>
      </c>
      <c r="Y478" s="13"/>
      <c r="Z478" s="75"/>
      <c r="AA478" s="24"/>
      <c r="AC478" s="24"/>
      <c r="AD478" s="24"/>
      <c r="AE478" s="24"/>
      <c r="AF478" s="24"/>
      <c r="AG478" s="24"/>
      <c r="AH478" s="24"/>
      <c r="AI478" s="24"/>
    </row>
    <row r="479" spans="1:35" hidden="1" x14ac:dyDescent="0.3">
      <c r="A479" s="12" t="s">
        <v>122</v>
      </c>
      <c r="B479" s="12">
        <v>30444</v>
      </c>
      <c r="C479" s="11" t="s">
        <v>285</v>
      </c>
      <c r="D479" s="12" t="s">
        <v>1</v>
      </c>
      <c r="E479" s="12" t="s">
        <v>1185</v>
      </c>
      <c r="F479" s="12" t="s">
        <v>87</v>
      </c>
      <c r="G479" s="12" t="s">
        <v>113</v>
      </c>
      <c r="H479" s="12" t="s">
        <v>619</v>
      </c>
      <c r="I479" s="12" t="s">
        <v>125</v>
      </c>
      <c r="J479" s="11" t="s">
        <v>620</v>
      </c>
      <c r="K479" s="11" t="s">
        <v>620</v>
      </c>
      <c r="L479" s="11" t="s">
        <v>1194</v>
      </c>
      <c r="M479" s="11" t="s">
        <v>621</v>
      </c>
      <c r="N479" s="57">
        <v>12740</v>
      </c>
      <c r="O479" s="59"/>
      <c r="P479" s="12">
        <v>16049</v>
      </c>
      <c r="Q479" s="12" t="s">
        <v>4</v>
      </c>
      <c r="R479" s="12" t="s">
        <v>15</v>
      </c>
      <c r="S479" s="12" t="s">
        <v>25</v>
      </c>
      <c r="T479" s="12">
        <v>1</v>
      </c>
      <c r="U479" s="13">
        <v>43753</v>
      </c>
      <c r="V479" s="12" t="s">
        <v>622</v>
      </c>
      <c r="W479" s="12" t="s">
        <v>92</v>
      </c>
      <c r="X479" s="12" t="s">
        <v>93</v>
      </c>
      <c r="Y479" s="13"/>
      <c r="Z479" s="75"/>
      <c r="AA479" s="24"/>
      <c r="AC479" s="24"/>
      <c r="AD479" s="24"/>
      <c r="AE479" s="24"/>
      <c r="AF479" s="24"/>
      <c r="AG479" s="24"/>
      <c r="AH479" s="24"/>
      <c r="AI479" s="24"/>
    </row>
    <row r="480" spans="1:35" hidden="1" x14ac:dyDescent="0.3">
      <c r="A480" s="12" t="s">
        <v>122</v>
      </c>
      <c r="B480" s="12">
        <v>30444</v>
      </c>
      <c r="C480" s="11" t="s">
        <v>285</v>
      </c>
      <c r="D480" s="12" t="s">
        <v>1</v>
      </c>
      <c r="E480" s="12" t="s">
        <v>1185</v>
      </c>
      <c r="F480" s="12" t="s">
        <v>87</v>
      </c>
      <c r="G480" s="12" t="s">
        <v>113</v>
      </c>
      <c r="H480" s="12" t="s">
        <v>619</v>
      </c>
      <c r="I480" s="12" t="s">
        <v>125</v>
      </c>
      <c r="J480" s="11" t="s">
        <v>620</v>
      </c>
      <c r="K480" s="11" t="s">
        <v>620</v>
      </c>
      <c r="L480" s="11" t="s">
        <v>1194</v>
      </c>
      <c r="M480" s="11" t="s">
        <v>621</v>
      </c>
      <c r="N480" s="57">
        <v>12740</v>
      </c>
      <c r="O480" s="59"/>
      <c r="P480" s="12">
        <v>16049</v>
      </c>
      <c r="Q480" s="12" t="s">
        <v>4</v>
      </c>
      <c r="R480" s="12" t="s">
        <v>15</v>
      </c>
      <c r="S480" s="12" t="s">
        <v>25</v>
      </c>
      <c r="T480" s="12">
        <v>1</v>
      </c>
      <c r="U480" s="13">
        <v>43814</v>
      </c>
      <c r="V480" s="12" t="s">
        <v>552</v>
      </c>
      <c r="W480" s="12" t="s">
        <v>92</v>
      </c>
      <c r="X480" s="12" t="s">
        <v>93</v>
      </c>
      <c r="Y480" s="13"/>
      <c r="Z480" s="75"/>
      <c r="AA480" s="24"/>
      <c r="AC480" s="24"/>
      <c r="AD480" s="24"/>
      <c r="AE480" s="24"/>
      <c r="AF480" s="24"/>
      <c r="AG480" s="24"/>
      <c r="AH480" s="24"/>
      <c r="AI480" s="24"/>
    </row>
    <row r="481" spans="1:35" hidden="1" x14ac:dyDescent="0.3">
      <c r="A481" s="12" t="s">
        <v>122</v>
      </c>
      <c r="B481" s="12">
        <v>30444</v>
      </c>
      <c r="C481" s="11" t="s">
        <v>285</v>
      </c>
      <c r="D481" s="12" t="s">
        <v>1</v>
      </c>
      <c r="E481" s="12" t="s">
        <v>1185</v>
      </c>
      <c r="F481" s="12" t="s">
        <v>87</v>
      </c>
      <c r="G481" s="12" t="s">
        <v>113</v>
      </c>
      <c r="H481" s="12" t="s">
        <v>619</v>
      </c>
      <c r="I481" s="12" t="s">
        <v>125</v>
      </c>
      <c r="J481" s="11" t="s">
        <v>620</v>
      </c>
      <c r="K481" s="11" t="s">
        <v>620</v>
      </c>
      <c r="L481" s="11" t="s">
        <v>1194</v>
      </c>
      <c r="M481" s="11" t="s">
        <v>621</v>
      </c>
      <c r="N481" s="57">
        <v>12740</v>
      </c>
      <c r="O481" s="59"/>
      <c r="P481" s="12">
        <v>16049</v>
      </c>
      <c r="Q481" s="12" t="s">
        <v>4</v>
      </c>
      <c r="R481" s="12" t="s">
        <v>15</v>
      </c>
      <c r="S481" s="12" t="s">
        <v>25</v>
      </c>
      <c r="T481" s="12">
        <v>1</v>
      </c>
      <c r="U481" s="13">
        <v>43847</v>
      </c>
      <c r="V481" s="12" t="s">
        <v>552</v>
      </c>
      <c r="W481" s="12" t="s">
        <v>92</v>
      </c>
      <c r="X481" s="12" t="s">
        <v>93</v>
      </c>
      <c r="Y481" s="13"/>
      <c r="Z481" s="75"/>
      <c r="AA481" s="24"/>
      <c r="AC481" s="24"/>
      <c r="AD481" s="24"/>
      <c r="AE481" s="24"/>
      <c r="AF481" s="24"/>
      <c r="AG481" s="24"/>
      <c r="AH481" s="24"/>
      <c r="AI481" s="24"/>
    </row>
    <row r="482" spans="1:35" hidden="1" x14ac:dyDescent="0.3">
      <c r="A482" s="12" t="s">
        <v>122</v>
      </c>
      <c r="B482" s="12">
        <v>30444</v>
      </c>
      <c r="C482" s="11" t="s">
        <v>285</v>
      </c>
      <c r="D482" s="12" t="s">
        <v>1</v>
      </c>
      <c r="E482" s="12" t="s">
        <v>1185</v>
      </c>
      <c r="F482" s="12" t="s">
        <v>87</v>
      </c>
      <c r="G482" s="12" t="s">
        <v>113</v>
      </c>
      <c r="H482" s="12" t="s">
        <v>619</v>
      </c>
      <c r="I482" s="12" t="s">
        <v>125</v>
      </c>
      <c r="J482" s="11" t="s">
        <v>620</v>
      </c>
      <c r="K482" s="11" t="s">
        <v>620</v>
      </c>
      <c r="L482" s="11" t="s">
        <v>1194</v>
      </c>
      <c r="M482" s="11" t="s">
        <v>621</v>
      </c>
      <c r="N482" s="57">
        <v>12740</v>
      </c>
      <c r="O482" s="59"/>
      <c r="P482" s="12">
        <v>16049</v>
      </c>
      <c r="Q482" s="12" t="s">
        <v>4</v>
      </c>
      <c r="R482" s="12" t="s">
        <v>15</v>
      </c>
      <c r="S482" s="12" t="s">
        <v>25</v>
      </c>
      <c r="T482" s="12">
        <v>1</v>
      </c>
      <c r="U482" s="13">
        <v>43878</v>
      </c>
      <c r="V482" s="12" t="s">
        <v>552</v>
      </c>
      <c r="W482" s="12" t="s">
        <v>92</v>
      </c>
      <c r="X482" s="12" t="s">
        <v>93</v>
      </c>
      <c r="Y482" s="13"/>
      <c r="Z482" s="75"/>
      <c r="AA482" s="24"/>
      <c r="AC482" s="24"/>
      <c r="AD482" s="24"/>
      <c r="AE482" s="24"/>
      <c r="AF482" s="24"/>
      <c r="AG482" s="24"/>
      <c r="AH482" s="24"/>
      <c r="AI482" s="24"/>
    </row>
    <row r="483" spans="1:35" hidden="1" x14ac:dyDescent="0.3">
      <c r="A483" s="12" t="s">
        <v>122</v>
      </c>
      <c r="B483" s="12">
        <v>30444</v>
      </c>
      <c r="C483" s="11" t="s">
        <v>285</v>
      </c>
      <c r="D483" s="12" t="s">
        <v>1</v>
      </c>
      <c r="E483" s="12" t="s">
        <v>1185</v>
      </c>
      <c r="F483" s="12" t="s">
        <v>87</v>
      </c>
      <c r="G483" s="12" t="s">
        <v>113</v>
      </c>
      <c r="H483" s="12" t="s">
        <v>619</v>
      </c>
      <c r="I483" s="12" t="s">
        <v>125</v>
      </c>
      <c r="J483" s="11" t="s">
        <v>620</v>
      </c>
      <c r="K483" s="11" t="s">
        <v>620</v>
      </c>
      <c r="L483" s="11" t="s">
        <v>1194</v>
      </c>
      <c r="M483" s="11" t="s">
        <v>621</v>
      </c>
      <c r="N483" s="57">
        <v>12740</v>
      </c>
      <c r="O483" s="59"/>
      <c r="P483" s="12">
        <v>16049</v>
      </c>
      <c r="Q483" s="12" t="s">
        <v>4</v>
      </c>
      <c r="R483" s="12" t="s">
        <v>15</v>
      </c>
      <c r="S483" s="12" t="s">
        <v>25</v>
      </c>
      <c r="T483" s="12">
        <v>1</v>
      </c>
      <c r="U483" s="13">
        <v>43713</v>
      </c>
      <c r="V483" s="12" t="s">
        <v>623</v>
      </c>
      <c r="W483" s="12" t="s">
        <v>92</v>
      </c>
      <c r="X483" s="12" t="s">
        <v>93</v>
      </c>
      <c r="Y483" s="13"/>
      <c r="Z483" s="75"/>
      <c r="AA483" s="24"/>
      <c r="AC483" s="24"/>
      <c r="AD483" s="24"/>
      <c r="AE483" s="24"/>
      <c r="AF483" s="24"/>
      <c r="AG483" s="24"/>
      <c r="AH483" s="24"/>
      <c r="AI483" s="24"/>
    </row>
    <row r="484" spans="1:35" hidden="1" x14ac:dyDescent="0.3">
      <c r="A484" s="12" t="s">
        <v>122</v>
      </c>
      <c r="B484" s="12">
        <v>30444</v>
      </c>
      <c r="C484" s="11" t="s">
        <v>285</v>
      </c>
      <c r="D484" s="12" t="s">
        <v>1</v>
      </c>
      <c r="E484" s="12" t="s">
        <v>1185</v>
      </c>
      <c r="F484" s="12" t="s">
        <v>87</v>
      </c>
      <c r="G484" s="12" t="s">
        <v>113</v>
      </c>
      <c r="H484" s="12" t="s">
        <v>619</v>
      </c>
      <c r="I484" s="12" t="s">
        <v>125</v>
      </c>
      <c r="J484" s="11" t="s">
        <v>620</v>
      </c>
      <c r="K484" s="11" t="s">
        <v>620</v>
      </c>
      <c r="L484" s="11" t="s">
        <v>1194</v>
      </c>
      <c r="M484" s="11" t="s">
        <v>621</v>
      </c>
      <c r="N484" s="57">
        <v>12740</v>
      </c>
      <c r="O484" s="59"/>
      <c r="P484" s="12">
        <v>16049</v>
      </c>
      <c r="Q484" s="12" t="s">
        <v>4</v>
      </c>
      <c r="R484" s="12" t="s">
        <v>15</v>
      </c>
      <c r="S484" s="12" t="s">
        <v>25</v>
      </c>
      <c r="T484" s="12">
        <v>1</v>
      </c>
      <c r="U484" s="13">
        <v>43906</v>
      </c>
      <c r="V484" s="12" t="s">
        <v>552</v>
      </c>
      <c r="W484" s="12" t="s">
        <v>92</v>
      </c>
      <c r="X484" s="12" t="s">
        <v>93</v>
      </c>
      <c r="Y484" s="13"/>
      <c r="Z484" s="75"/>
      <c r="AA484" s="24"/>
      <c r="AC484" s="24"/>
      <c r="AD484" s="24"/>
      <c r="AE484" s="24"/>
      <c r="AF484" s="24"/>
      <c r="AG484" s="24"/>
      <c r="AH484" s="24"/>
      <c r="AI484" s="24"/>
    </row>
    <row r="485" spans="1:35" hidden="1" x14ac:dyDescent="0.3">
      <c r="A485" s="12" t="s">
        <v>122</v>
      </c>
      <c r="B485" s="12">
        <v>30444</v>
      </c>
      <c r="C485" s="11" t="s">
        <v>285</v>
      </c>
      <c r="D485" s="12" t="s">
        <v>1</v>
      </c>
      <c r="E485" s="12" t="s">
        <v>1185</v>
      </c>
      <c r="F485" s="12" t="s">
        <v>87</v>
      </c>
      <c r="G485" s="12" t="s">
        <v>113</v>
      </c>
      <c r="H485" s="12" t="s">
        <v>619</v>
      </c>
      <c r="I485" s="12" t="s">
        <v>125</v>
      </c>
      <c r="J485" s="11" t="s">
        <v>620</v>
      </c>
      <c r="K485" s="11" t="s">
        <v>620</v>
      </c>
      <c r="L485" s="11" t="s">
        <v>1194</v>
      </c>
      <c r="M485" s="11" t="s">
        <v>621</v>
      </c>
      <c r="N485" s="57">
        <v>12740</v>
      </c>
      <c r="O485" s="59"/>
      <c r="P485" s="12">
        <v>16049</v>
      </c>
      <c r="Q485" s="12" t="s">
        <v>4</v>
      </c>
      <c r="R485" s="12" t="s">
        <v>15</v>
      </c>
      <c r="S485" s="12" t="s">
        <v>25</v>
      </c>
      <c r="T485" s="12">
        <v>1</v>
      </c>
      <c r="U485" s="13">
        <v>43938</v>
      </c>
      <c r="V485" s="12" t="s">
        <v>552</v>
      </c>
      <c r="W485" s="12" t="s">
        <v>92</v>
      </c>
      <c r="X485" s="12" t="s">
        <v>93</v>
      </c>
      <c r="Y485" s="13"/>
      <c r="Z485" s="75"/>
      <c r="AA485" s="24"/>
      <c r="AC485" s="24"/>
      <c r="AD485" s="24"/>
      <c r="AE485" s="24"/>
      <c r="AF485" s="24"/>
      <c r="AG485" s="24"/>
      <c r="AH485" s="24"/>
      <c r="AI485" s="24"/>
    </row>
    <row r="486" spans="1:35" hidden="1" x14ac:dyDescent="0.3">
      <c r="A486" s="12" t="s">
        <v>122</v>
      </c>
      <c r="B486" s="12">
        <v>30444</v>
      </c>
      <c r="C486" s="11" t="s">
        <v>285</v>
      </c>
      <c r="D486" s="12" t="s">
        <v>1</v>
      </c>
      <c r="E486" s="12" t="s">
        <v>1185</v>
      </c>
      <c r="F486" s="12" t="s">
        <v>87</v>
      </c>
      <c r="G486" s="12" t="s">
        <v>113</v>
      </c>
      <c r="H486" s="12" t="s">
        <v>619</v>
      </c>
      <c r="I486" s="12" t="s">
        <v>125</v>
      </c>
      <c r="J486" s="11" t="s">
        <v>620</v>
      </c>
      <c r="K486" s="11" t="s">
        <v>620</v>
      </c>
      <c r="L486" s="11" t="s">
        <v>1194</v>
      </c>
      <c r="M486" s="11" t="s">
        <v>621</v>
      </c>
      <c r="N486" s="57">
        <v>12740</v>
      </c>
      <c r="O486" s="59"/>
      <c r="P486" s="12">
        <v>16049</v>
      </c>
      <c r="Q486" s="12" t="s">
        <v>4</v>
      </c>
      <c r="R486" s="12" t="s">
        <v>15</v>
      </c>
      <c r="S486" s="12" t="s">
        <v>25</v>
      </c>
      <c r="T486" s="12">
        <v>1</v>
      </c>
      <c r="U486" s="13">
        <v>43962</v>
      </c>
      <c r="V486" s="12" t="s">
        <v>552</v>
      </c>
      <c r="W486" s="12" t="s">
        <v>92</v>
      </c>
      <c r="X486" s="12" t="s">
        <v>93</v>
      </c>
      <c r="Y486" s="13"/>
      <c r="Z486" s="75"/>
      <c r="AA486" s="24"/>
      <c r="AC486" s="24"/>
      <c r="AD486" s="24"/>
      <c r="AE486" s="24"/>
      <c r="AF486" s="24"/>
      <c r="AG486" s="24"/>
      <c r="AH486" s="24"/>
      <c r="AI486" s="24"/>
    </row>
    <row r="487" spans="1:35" hidden="1" x14ac:dyDescent="0.3">
      <c r="A487" s="12" t="s">
        <v>122</v>
      </c>
      <c r="B487" s="12">
        <v>30444</v>
      </c>
      <c r="C487" s="11" t="s">
        <v>285</v>
      </c>
      <c r="D487" s="12" t="s">
        <v>1</v>
      </c>
      <c r="E487" s="12" t="s">
        <v>1185</v>
      </c>
      <c r="F487" s="12" t="s">
        <v>87</v>
      </c>
      <c r="G487" s="12" t="s">
        <v>113</v>
      </c>
      <c r="H487" s="12" t="s">
        <v>619</v>
      </c>
      <c r="I487" s="12" t="s">
        <v>125</v>
      </c>
      <c r="J487" s="11" t="s">
        <v>620</v>
      </c>
      <c r="K487" s="11" t="s">
        <v>620</v>
      </c>
      <c r="L487" s="11" t="s">
        <v>1194</v>
      </c>
      <c r="M487" s="11" t="s">
        <v>621</v>
      </c>
      <c r="N487" s="57">
        <v>12740</v>
      </c>
      <c r="O487" s="59"/>
      <c r="P487" s="12">
        <v>16049</v>
      </c>
      <c r="Q487" s="12" t="s">
        <v>4</v>
      </c>
      <c r="R487" s="12" t="s">
        <v>15</v>
      </c>
      <c r="S487" s="12" t="s">
        <v>25</v>
      </c>
      <c r="T487" s="12">
        <v>1</v>
      </c>
      <c r="U487" s="13">
        <v>43998</v>
      </c>
      <c r="V487" s="12" t="s">
        <v>624</v>
      </c>
      <c r="W487" s="12" t="s">
        <v>92</v>
      </c>
      <c r="X487" s="12" t="s">
        <v>93</v>
      </c>
      <c r="Y487" s="13"/>
      <c r="Z487" s="75"/>
      <c r="AA487" s="24"/>
      <c r="AC487" s="24"/>
      <c r="AD487" s="24"/>
      <c r="AE487" s="24"/>
      <c r="AF487" s="24"/>
      <c r="AG487" s="24"/>
      <c r="AH487" s="24"/>
      <c r="AI487" s="24"/>
    </row>
    <row r="488" spans="1:35" hidden="1" x14ac:dyDescent="0.3">
      <c r="A488" s="12" t="s">
        <v>122</v>
      </c>
      <c r="B488" s="12">
        <v>30444</v>
      </c>
      <c r="C488" s="11" t="s">
        <v>285</v>
      </c>
      <c r="D488" s="12" t="s">
        <v>1</v>
      </c>
      <c r="E488" s="12" t="s">
        <v>1185</v>
      </c>
      <c r="F488" s="12" t="s">
        <v>87</v>
      </c>
      <c r="G488" s="12" t="s">
        <v>113</v>
      </c>
      <c r="H488" s="12" t="s">
        <v>619</v>
      </c>
      <c r="I488" s="12" t="s">
        <v>125</v>
      </c>
      <c r="J488" s="11" t="s">
        <v>620</v>
      </c>
      <c r="K488" s="11" t="s">
        <v>620</v>
      </c>
      <c r="L488" s="11" t="s">
        <v>1194</v>
      </c>
      <c r="M488" s="11" t="s">
        <v>621</v>
      </c>
      <c r="N488" s="57">
        <v>12740</v>
      </c>
      <c r="O488" s="59"/>
      <c r="P488" s="12">
        <v>16049</v>
      </c>
      <c r="Q488" s="12" t="s">
        <v>4</v>
      </c>
      <c r="R488" s="12" t="s">
        <v>13</v>
      </c>
      <c r="S488" s="12" t="s">
        <v>25</v>
      </c>
      <c r="T488" s="12">
        <v>1</v>
      </c>
      <c r="U488" s="13">
        <v>44028</v>
      </c>
      <c r="V488" s="12" t="s">
        <v>625</v>
      </c>
      <c r="W488" s="12" t="s">
        <v>92</v>
      </c>
      <c r="X488" s="12" t="s">
        <v>93</v>
      </c>
      <c r="Y488" s="13"/>
      <c r="Z488" s="75"/>
      <c r="AA488" s="24"/>
      <c r="AC488" s="24"/>
      <c r="AD488" s="24"/>
      <c r="AE488" s="24"/>
      <c r="AF488" s="24"/>
      <c r="AG488" s="24"/>
      <c r="AH488" s="24"/>
      <c r="AI488" s="24"/>
    </row>
    <row r="489" spans="1:35" hidden="1" x14ac:dyDescent="0.3">
      <c r="A489" s="12" t="s">
        <v>85</v>
      </c>
      <c r="B489" s="12">
        <v>30934</v>
      </c>
      <c r="C489" s="11" t="s">
        <v>136</v>
      </c>
      <c r="D489" s="12" t="s">
        <v>1</v>
      </c>
      <c r="E489" s="12" t="s">
        <v>1185</v>
      </c>
      <c r="F489" s="12" t="s">
        <v>132</v>
      </c>
      <c r="G489" s="12" t="s">
        <v>132</v>
      </c>
      <c r="H489" s="12" t="s">
        <v>137</v>
      </c>
      <c r="I489" s="12" t="s">
        <v>89</v>
      </c>
      <c r="J489" s="11" t="s">
        <v>626</v>
      </c>
      <c r="K489" s="11" t="s">
        <v>626</v>
      </c>
      <c r="L489" s="11" t="s">
        <v>1194</v>
      </c>
      <c r="M489" s="11" t="s">
        <v>92</v>
      </c>
      <c r="N489" s="58">
        <v>500</v>
      </c>
      <c r="O489" s="59"/>
      <c r="P489" s="12"/>
      <c r="Q489" s="12" t="s">
        <v>4</v>
      </c>
      <c r="R489" s="12" t="s">
        <v>15</v>
      </c>
      <c r="S489" s="12" t="s">
        <v>25</v>
      </c>
      <c r="T489" s="12">
        <v>1</v>
      </c>
      <c r="U489" s="13">
        <v>44005</v>
      </c>
      <c r="V489" s="12" t="s">
        <v>627</v>
      </c>
      <c r="W489" s="12" t="s">
        <v>92</v>
      </c>
      <c r="X489" s="12" t="s">
        <v>105</v>
      </c>
      <c r="Y489" s="13"/>
      <c r="Z489" s="75"/>
      <c r="AA489" s="24"/>
      <c r="AC489" s="24"/>
      <c r="AD489" s="24"/>
      <c r="AE489" s="24"/>
      <c r="AF489" s="24"/>
      <c r="AG489" s="24"/>
      <c r="AH489" s="24"/>
      <c r="AI489" s="24"/>
    </row>
    <row r="490" spans="1:35" hidden="1" x14ac:dyDescent="0.3">
      <c r="A490" s="12" t="s">
        <v>85</v>
      </c>
      <c r="B490" s="12">
        <v>30934</v>
      </c>
      <c r="C490" s="11" t="s">
        <v>136</v>
      </c>
      <c r="D490" s="12" t="s">
        <v>1</v>
      </c>
      <c r="E490" s="12" t="s">
        <v>1185</v>
      </c>
      <c r="F490" s="12" t="s">
        <v>132</v>
      </c>
      <c r="G490" s="12" t="s">
        <v>132</v>
      </c>
      <c r="H490" s="12" t="s">
        <v>137</v>
      </c>
      <c r="I490" s="12" t="s">
        <v>89</v>
      </c>
      <c r="J490" s="11" t="s">
        <v>626</v>
      </c>
      <c r="K490" s="11" t="s">
        <v>626</v>
      </c>
      <c r="L490" s="11" t="s">
        <v>1194</v>
      </c>
      <c r="M490" s="11" t="s">
        <v>92</v>
      </c>
      <c r="N490" s="58">
        <v>500</v>
      </c>
      <c r="O490" s="59"/>
      <c r="P490" s="12"/>
      <c r="Q490" s="12" t="s">
        <v>4</v>
      </c>
      <c r="R490" s="12" t="s">
        <v>15</v>
      </c>
      <c r="S490" s="12" t="s">
        <v>22</v>
      </c>
      <c r="T490" s="12">
        <v>1</v>
      </c>
      <c r="U490" s="13">
        <v>43997</v>
      </c>
      <c r="V490" s="12" t="s">
        <v>628</v>
      </c>
      <c r="W490" s="12" t="s">
        <v>92</v>
      </c>
      <c r="X490" s="12" t="s">
        <v>105</v>
      </c>
      <c r="Y490" s="13"/>
      <c r="Z490" s="75"/>
      <c r="AA490" s="24"/>
      <c r="AC490" s="24"/>
      <c r="AD490" s="24"/>
      <c r="AE490" s="24"/>
      <c r="AF490" s="24"/>
      <c r="AG490" s="24"/>
      <c r="AH490" s="24"/>
      <c r="AI490" s="24"/>
    </row>
    <row r="491" spans="1:35" hidden="1" x14ac:dyDescent="0.3">
      <c r="A491" s="12" t="s">
        <v>85</v>
      </c>
      <c r="B491" s="12">
        <v>30934</v>
      </c>
      <c r="C491" s="11" t="s">
        <v>136</v>
      </c>
      <c r="D491" s="12" t="s">
        <v>1</v>
      </c>
      <c r="E491" s="12" t="s">
        <v>1185</v>
      </c>
      <c r="F491" s="12" t="s">
        <v>132</v>
      </c>
      <c r="G491" s="12" t="s">
        <v>132</v>
      </c>
      <c r="H491" s="12" t="s">
        <v>137</v>
      </c>
      <c r="I491" s="12" t="s">
        <v>89</v>
      </c>
      <c r="J491" s="11" t="s">
        <v>626</v>
      </c>
      <c r="K491" s="11" t="s">
        <v>626</v>
      </c>
      <c r="L491" s="11" t="s">
        <v>1194</v>
      </c>
      <c r="M491" s="11" t="s">
        <v>92</v>
      </c>
      <c r="N491" s="58">
        <v>500</v>
      </c>
      <c r="O491" s="59"/>
      <c r="P491" s="12"/>
      <c r="Q491" s="12" t="s">
        <v>4</v>
      </c>
      <c r="R491" s="12" t="s">
        <v>15</v>
      </c>
      <c r="S491" s="12" t="s">
        <v>25</v>
      </c>
      <c r="T491" s="12">
        <v>1</v>
      </c>
      <c r="U491" s="13">
        <v>44027</v>
      </c>
      <c r="V491" s="12" t="s">
        <v>629</v>
      </c>
      <c r="W491" s="12" t="s">
        <v>92</v>
      </c>
      <c r="X491" s="15" t="s">
        <v>105</v>
      </c>
      <c r="Y491" s="13"/>
      <c r="Z491" s="75"/>
      <c r="AA491" s="24"/>
      <c r="AC491" s="24"/>
      <c r="AD491" s="24"/>
      <c r="AE491" s="24"/>
      <c r="AF491" s="24"/>
      <c r="AG491" s="24"/>
      <c r="AH491" s="24"/>
      <c r="AI491" s="24"/>
    </row>
    <row r="492" spans="1:35" hidden="1" x14ac:dyDescent="0.3">
      <c r="A492" s="12" t="s">
        <v>85</v>
      </c>
      <c r="B492" s="12">
        <v>30934</v>
      </c>
      <c r="C492" s="11" t="s">
        <v>136</v>
      </c>
      <c r="D492" s="12" t="s">
        <v>1</v>
      </c>
      <c r="E492" s="12" t="s">
        <v>1185</v>
      </c>
      <c r="F492" s="12" t="s">
        <v>132</v>
      </c>
      <c r="G492" s="12" t="s">
        <v>132</v>
      </c>
      <c r="H492" s="12" t="s">
        <v>137</v>
      </c>
      <c r="I492" s="12" t="s">
        <v>89</v>
      </c>
      <c r="J492" s="11" t="s">
        <v>626</v>
      </c>
      <c r="K492" s="11" t="s">
        <v>626</v>
      </c>
      <c r="L492" s="11" t="s">
        <v>1194</v>
      </c>
      <c r="M492" s="11" t="s">
        <v>92</v>
      </c>
      <c r="N492" s="58">
        <v>500</v>
      </c>
      <c r="O492" s="59"/>
      <c r="P492" s="12"/>
      <c r="Q492" s="12" t="s">
        <v>4</v>
      </c>
      <c r="R492" s="12" t="s">
        <v>15</v>
      </c>
      <c r="S492" s="12" t="s">
        <v>22</v>
      </c>
      <c r="T492" s="12">
        <v>1</v>
      </c>
      <c r="U492" s="13">
        <v>44027</v>
      </c>
      <c r="V492" s="12" t="s">
        <v>111</v>
      </c>
      <c r="W492" s="12" t="s">
        <v>92</v>
      </c>
      <c r="X492" s="15" t="s">
        <v>105</v>
      </c>
      <c r="Y492" s="13"/>
      <c r="Z492" s="75"/>
      <c r="AA492" s="24"/>
      <c r="AC492" s="24"/>
      <c r="AD492" s="24"/>
      <c r="AE492" s="24"/>
      <c r="AF492" s="24"/>
      <c r="AG492" s="24"/>
      <c r="AH492" s="24"/>
      <c r="AI492" s="24"/>
    </row>
    <row r="493" spans="1:35" hidden="1" x14ac:dyDescent="0.3">
      <c r="A493" s="12" t="s">
        <v>85</v>
      </c>
      <c r="B493" s="12">
        <v>31225</v>
      </c>
      <c r="C493" s="11" t="s">
        <v>457</v>
      </c>
      <c r="D493" s="12" t="s">
        <v>1</v>
      </c>
      <c r="E493" s="12" t="s">
        <v>1185</v>
      </c>
      <c r="F493" s="12" t="s">
        <v>87</v>
      </c>
      <c r="G493" s="12" t="s">
        <v>113</v>
      </c>
      <c r="H493" s="12" t="s">
        <v>458</v>
      </c>
      <c r="I493" s="12" t="s">
        <v>125</v>
      </c>
      <c r="J493" s="11" t="s">
        <v>459</v>
      </c>
      <c r="K493" s="11" t="s">
        <v>459</v>
      </c>
      <c r="L493" s="11" t="s">
        <v>1199</v>
      </c>
      <c r="M493" s="11" t="s">
        <v>460</v>
      </c>
      <c r="N493" s="57">
        <v>60500</v>
      </c>
      <c r="O493" s="59"/>
      <c r="P493" s="12">
        <v>4045030</v>
      </c>
      <c r="Q493" s="12" t="s">
        <v>4</v>
      </c>
      <c r="R493" s="12" t="s">
        <v>13</v>
      </c>
      <c r="S493" s="12" t="s">
        <v>25</v>
      </c>
      <c r="T493" s="12">
        <v>1</v>
      </c>
      <c r="U493" s="13">
        <v>44028</v>
      </c>
      <c r="V493" s="12" t="s">
        <v>94</v>
      </c>
      <c r="W493" s="12" t="s">
        <v>92</v>
      </c>
      <c r="X493" s="12" t="s">
        <v>93</v>
      </c>
      <c r="Y493" s="13"/>
      <c r="Z493" s="75"/>
      <c r="AA493" s="24"/>
      <c r="AC493" s="24"/>
      <c r="AD493" s="24"/>
      <c r="AE493" s="24"/>
      <c r="AF493" s="24"/>
      <c r="AG493" s="24"/>
      <c r="AH493" s="24"/>
      <c r="AI493" s="24"/>
    </row>
    <row r="494" spans="1:35" hidden="1" x14ac:dyDescent="0.3">
      <c r="A494" s="12" t="s">
        <v>85</v>
      </c>
      <c r="B494" s="12">
        <v>31225</v>
      </c>
      <c r="C494" s="11" t="s">
        <v>457</v>
      </c>
      <c r="D494" s="12" t="s">
        <v>1</v>
      </c>
      <c r="E494" s="12" t="s">
        <v>1185</v>
      </c>
      <c r="F494" s="12" t="s">
        <v>87</v>
      </c>
      <c r="G494" s="12" t="s">
        <v>113</v>
      </c>
      <c r="H494" s="12" t="s">
        <v>458</v>
      </c>
      <c r="I494" s="12" t="s">
        <v>125</v>
      </c>
      <c r="J494" s="11" t="s">
        <v>459</v>
      </c>
      <c r="K494" s="11" t="s">
        <v>459</v>
      </c>
      <c r="L494" s="11" t="s">
        <v>1199</v>
      </c>
      <c r="M494" s="11" t="s">
        <v>460</v>
      </c>
      <c r="N494" s="57">
        <v>60500</v>
      </c>
      <c r="O494" s="59"/>
      <c r="P494" s="12">
        <v>4045030</v>
      </c>
      <c r="Q494" s="12" t="s">
        <v>4</v>
      </c>
      <c r="R494" s="12" t="s">
        <v>15</v>
      </c>
      <c r="S494" s="12" t="s">
        <v>22</v>
      </c>
      <c r="T494" s="12">
        <v>1</v>
      </c>
      <c r="U494" s="13">
        <v>43997</v>
      </c>
      <c r="V494" s="12" t="s">
        <v>110</v>
      </c>
      <c r="W494" s="12" t="s">
        <v>92</v>
      </c>
      <c r="X494" s="12" t="s">
        <v>105</v>
      </c>
      <c r="Y494" s="13"/>
      <c r="Z494" s="75"/>
      <c r="AA494" s="24"/>
      <c r="AC494" s="24"/>
      <c r="AD494" s="24"/>
      <c r="AE494" s="24"/>
      <c r="AF494" s="24"/>
      <c r="AG494" s="24"/>
      <c r="AH494" s="24"/>
      <c r="AI494" s="24"/>
    </row>
    <row r="495" spans="1:35" hidden="1" x14ac:dyDescent="0.3">
      <c r="A495" s="12" t="s">
        <v>85</v>
      </c>
      <c r="B495" s="12">
        <v>31225</v>
      </c>
      <c r="C495" s="11" t="s">
        <v>457</v>
      </c>
      <c r="D495" s="12" t="s">
        <v>1</v>
      </c>
      <c r="E495" s="12" t="s">
        <v>1185</v>
      </c>
      <c r="F495" s="12" t="s">
        <v>87</v>
      </c>
      <c r="G495" s="12" t="s">
        <v>113</v>
      </c>
      <c r="H495" s="12" t="s">
        <v>458</v>
      </c>
      <c r="I495" s="12" t="s">
        <v>125</v>
      </c>
      <c r="J495" s="11" t="s">
        <v>459</v>
      </c>
      <c r="K495" s="11" t="s">
        <v>459</v>
      </c>
      <c r="L495" s="11" t="s">
        <v>1199</v>
      </c>
      <c r="M495" s="11" t="s">
        <v>460</v>
      </c>
      <c r="N495" s="57">
        <v>60500</v>
      </c>
      <c r="O495" s="59"/>
      <c r="P495" s="12">
        <v>4045030</v>
      </c>
      <c r="Q495" s="12" t="s">
        <v>4</v>
      </c>
      <c r="R495" s="12" t="s">
        <v>15</v>
      </c>
      <c r="S495" s="12" t="s">
        <v>22</v>
      </c>
      <c r="T495" s="12">
        <v>1</v>
      </c>
      <c r="U495" s="13">
        <v>44027</v>
      </c>
      <c r="V495" s="12" t="s">
        <v>111</v>
      </c>
      <c r="W495" s="12" t="s">
        <v>92</v>
      </c>
      <c r="X495" s="12" t="s">
        <v>105</v>
      </c>
      <c r="Y495" s="13"/>
      <c r="Z495" s="75"/>
      <c r="AA495" s="24"/>
      <c r="AC495" s="24"/>
      <c r="AD495" s="24"/>
      <c r="AE495" s="24"/>
      <c r="AF495" s="24"/>
      <c r="AG495" s="24"/>
      <c r="AH495" s="24"/>
      <c r="AI495" s="24"/>
    </row>
    <row r="496" spans="1:35" hidden="1" x14ac:dyDescent="0.3">
      <c r="A496" s="12" t="s">
        <v>85</v>
      </c>
      <c r="B496" s="12">
        <v>31855</v>
      </c>
      <c r="C496" s="11" t="s">
        <v>130</v>
      </c>
      <c r="D496" s="12" t="s">
        <v>1</v>
      </c>
      <c r="E496" s="12" t="s">
        <v>1185</v>
      </c>
      <c r="F496" s="12" t="s">
        <v>87</v>
      </c>
      <c r="G496" s="12" t="s">
        <v>113</v>
      </c>
      <c r="H496" s="12" t="s">
        <v>96</v>
      </c>
      <c r="I496" s="12" t="s">
        <v>89</v>
      </c>
      <c r="J496" s="11" t="s">
        <v>205</v>
      </c>
      <c r="K496" s="11" t="s">
        <v>205</v>
      </c>
      <c r="L496" s="11" t="s">
        <v>1199</v>
      </c>
      <c r="M496" s="11" t="s">
        <v>206</v>
      </c>
      <c r="N496" s="58">
        <v>1355</v>
      </c>
      <c r="O496" s="59"/>
      <c r="P496" s="12" t="s">
        <v>630</v>
      </c>
      <c r="Q496" s="12" t="s">
        <v>4</v>
      </c>
      <c r="R496" s="12" t="s">
        <v>13</v>
      </c>
      <c r="S496" s="12" t="s">
        <v>25</v>
      </c>
      <c r="T496" s="12">
        <v>1</v>
      </c>
      <c r="U496" s="13">
        <v>44028</v>
      </c>
      <c r="V496" s="12" t="s">
        <v>94</v>
      </c>
      <c r="W496" s="12" t="s">
        <v>92</v>
      </c>
      <c r="X496" s="12" t="s">
        <v>93</v>
      </c>
      <c r="Y496" s="13"/>
      <c r="Z496" s="75"/>
      <c r="AA496" s="24"/>
      <c r="AC496" s="24"/>
      <c r="AD496" s="24"/>
      <c r="AE496" s="24"/>
      <c r="AF496" s="24"/>
      <c r="AG496" s="24"/>
      <c r="AH496" s="24"/>
      <c r="AI496" s="24"/>
    </row>
    <row r="497" spans="1:35" hidden="1" x14ac:dyDescent="0.3">
      <c r="A497" s="12" t="s">
        <v>85</v>
      </c>
      <c r="B497" s="12">
        <v>32053</v>
      </c>
      <c r="C497" s="11" t="s">
        <v>386</v>
      </c>
      <c r="D497" s="12" t="s">
        <v>417</v>
      </c>
      <c r="E497" s="12" t="s">
        <v>1186</v>
      </c>
      <c r="F497" s="12" t="s">
        <v>132</v>
      </c>
      <c r="G497" s="12" t="s">
        <v>132</v>
      </c>
      <c r="H497" s="12" t="s">
        <v>393</v>
      </c>
      <c r="I497" s="12" t="s">
        <v>89</v>
      </c>
      <c r="J497" s="11" t="s">
        <v>394</v>
      </c>
      <c r="K497" s="11" t="s">
        <v>394</v>
      </c>
      <c r="L497" s="11"/>
      <c r="M497" s="11" t="s">
        <v>395</v>
      </c>
      <c r="N497" s="63">
        <v>208.93</v>
      </c>
      <c r="O497" s="63">
        <v>208.93</v>
      </c>
      <c r="P497" s="79">
        <v>96210280263001</v>
      </c>
      <c r="Q497" s="18" t="s">
        <v>12</v>
      </c>
      <c r="R497" s="12" t="s">
        <v>99</v>
      </c>
      <c r="S497" s="12" t="s">
        <v>99</v>
      </c>
      <c r="T497" s="12">
        <v>1</v>
      </c>
      <c r="U497" s="13">
        <v>43900</v>
      </c>
      <c r="V497" s="12" t="s">
        <v>631</v>
      </c>
      <c r="W497" s="12" t="s">
        <v>92</v>
      </c>
      <c r="X497" s="12" t="s">
        <v>105</v>
      </c>
      <c r="Y497" s="13">
        <v>43556</v>
      </c>
      <c r="Z497" s="75"/>
      <c r="AA497" s="24"/>
      <c r="AC497" s="24"/>
      <c r="AD497" s="24"/>
      <c r="AE497" s="24"/>
      <c r="AF497" s="24"/>
      <c r="AG497" s="24"/>
      <c r="AH497" s="24"/>
      <c r="AI497" s="24"/>
    </row>
    <row r="498" spans="1:35" hidden="1" x14ac:dyDescent="0.3">
      <c r="A498" s="12" t="s">
        <v>85</v>
      </c>
      <c r="B498" s="12">
        <v>32053</v>
      </c>
      <c r="C498" s="11" t="s">
        <v>386</v>
      </c>
      <c r="D498" s="12" t="s">
        <v>417</v>
      </c>
      <c r="E498" s="12" t="s">
        <v>1186</v>
      </c>
      <c r="F498" s="12" t="s">
        <v>132</v>
      </c>
      <c r="G498" s="12" t="s">
        <v>132</v>
      </c>
      <c r="H498" s="12" t="s">
        <v>393</v>
      </c>
      <c r="I498" s="12" t="s">
        <v>89</v>
      </c>
      <c r="J498" s="11" t="s">
        <v>394</v>
      </c>
      <c r="K498" s="11" t="s">
        <v>394</v>
      </c>
      <c r="L498" s="11"/>
      <c r="M498" s="11" t="s">
        <v>395</v>
      </c>
      <c r="N498" s="63">
        <v>208.93</v>
      </c>
      <c r="O498" s="63">
        <v>208.93</v>
      </c>
      <c r="P498" s="18"/>
      <c r="Q498" s="18" t="s">
        <v>12</v>
      </c>
      <c r="R498" s="12" t="s">
        <v>99</v>
      </c>
      <c r="S498" s="12" t="s">
        <v>99</v>
      </c>
      <c r="T498" s="12">
        <v>1</v>
      </c>
      <c r="U498" s="13">
        <v>43963</v>
      </c>
      <c r="V498" s="12" t="s">
        <v>632</v>
      </c>
      <c r="W498" s="12" t="s">
        <v>92</v>
      </c>
      <c r="X498" s="12" t="s">
        <v>105</v>
      </c>
      <c r="Y498" s="13"/>
      <c r="Z498" s="75"/>
      <c r="AA498" s="24"/>
      <c r="AC498" s="24"/>
      <c r="AD498" s="24"/>
      <c r="AE498" s="24"/>
      <c r="AF498" s="24"/>
      <c r="AG498" s="24"/>
      <c r="AH498" s="24"/>
      <c r="AI498" s="24"/>
    </row>
    <row r="499" spans="1:35" hidden="1" x14ac:dyDescent="0.3">
      <c r="A499" s="12" t="s">
        <v>85</v>
      </c>
      <c r="B499" s="12">
        <v>32053</v>
      </c>
      <c r="C499" s="11" t="s">
        <v>386</v>
      </c>
      <c r="D499" s="12" t="s">
        <v>417</v>
      </c>
      <c r="E499" s="12" t="s">
        <v>1186</v>
      </c>
      <c r="F499" s="12" t="s">
        <v>132</v>
      </c>
      <c r="G499" s="12" t="s">
        <v>132</v>
      </c>
      <c r="H499" s="12" t="s">
        <v>393</v>
      </c>
      <c r="I499" s="12" t="s">
        <v>89</v>
      </c>
      <c r="J499" s="11" t="s">
        <v>394</v>
      </c>
      <c r="K499" s="11" t="s">
        <v>394</v>
      </c>
      <c r="L499" s="11"/>
      <c r="M499" s="11" t="s">
        <v>395</v>
      </c>
      <c r="N499" s="63">
        <v>208.93</v>
      </c>
      <c r="O499" s="63">
        <v>208.93</v>
      </c>
      <c r="P499" s="18"/>
      <c r="Q499" s="18" t="s">
        <v>12</v>
      </c>
      <c r="R499" s="12" t="s">
        <v>99</v>
      </c>
      <c r="S499" s="12" t="s">
        <v>99</v>
      </c>
      <c r="T499" s="12">
        <v>1</v>
      </c>
      <c r="U499" s="13">
        <v>43992</v>
      </c>
      <c r="V499" s="12" t="s">
        <v>633</v>
      </c>
      <c r="W499" s="12" t="s">
        <v>92</v>
      </c>
      <c r="X499" s="12" t="s">
        <v>105</v>
      </c>
      <c r="Y499" s="13"/>
      <c r="Z499" s="75"/>
      <c r="AA499" s="24"/>
      <c r="AC499" s="24"/>
      <c r="AD499" s="24"/>
      <c r="AE499" s="24"/>
      <c r="AF499" s="24"/>
      <c r="AG499" s="24"/>
      <c r="AH499" s="24"/>
      <c r="AI499" s="24"/>
    </row>
    <row r="500" spans="1:35" hidden="1" x14ac:dyDescent="0.3">
      <c r="A500" s="12" t="s">
        <v>85</v>
      </c>
      <c r="B500" s="12">
        <v>32053</v>
      </c>
      <c r="C500" s="11" t="s">
        <v>386</v>
      </c>
      <c r="D500" s="12" t="s">
        <v>417</v>
      </c>
      <c r="E500" s="12" t="s">
        <v>1186</v>
      </c>
      <c r="F500" s="12" t="s">
        <v>132</v>
      </c>
      <c r="G500" s="12" t="s">
        <v>132</v>
      </c>
      <c r="H500" s="12" t="s">
        <v>393</v>
      </c>
      <c r="I500" s="12" t="s">
        <v>89</v>
      </c>
      <c r="J500" s="11" t="s">
        <v>394</v>
      </c>
      <c r="K500" s="11" t="s">
        <v>394</v>
      </c>
      <c r="L500" s="11"/>
      <c r="M500" s="11" t="s">
        <v>395</v>
      </c>
      <c r="N500" s="63">
        <v>208.93</v>
      </c>
      <c r="O500" s="63">
        <v>208.93</v>
      </c>
      <c r="P500" s="18"/>
      <c r="Q500" s="18" t="s">
        <v>12</v>
      </c>
      <c r="R500" s="12" t="s">
        <v>99</v>
      </c>
      <c r="S500" s="12" t="s">
        <v>99</v>
      </c>
      <c r="T500" s="12">
        <v>1</v>
      </c>
      <c r="U500" s="13">
        <v>44018</v>
      </c>
      <c r="V500" s="12" t="s">
        <v>634</v>
      </c>
      <c r="W500" s="12" t="s">
        <v>92</v>
      </c>
      <c r="X500" s="12" t="s">
        <v>105</v>
      </c>
      <c r="Y500" s="13"/>
      <c r="Z500" s="75"/>
      <c r="AA500" s="24"/>
      <c r="AC500" s="24"/>
      <c r="AD500" s="24"/>
      <c r="AE500" s="24"/>
      <c r="AF500" s="24"/>
      <c r="AG500" s="24"/>
      <c r="AH500" s="24"/>
      <c r="AI500" s="24"/>
    </row>
    <row r="501" spans="1:35" hidden="1" x14ac:dyDescent="0.3">
      <c r="A501" s="12" t="s">
        <v>85</v>
      </c>
      <c r="B501" s="12">
        <v>32053</v>
      </c>
      <c r="C501" s="11" t="s">
        <v>386</v>
      </c>
      <c r="D501" s="12" t="s">
        <v>417</v>
      </c>
      <c r="E501" s="12" t="s">
        <v>1186</v>
      </c>
      <c r="F501" s="12" t="s">
        <v>132</v>
      </c>
      <c r="G501" s="12" t="s">
        <v>132</v>
      </c>
      <c r="H501" s="12" t="s">
        <v>393</v>
      </c>
      <c r="I501" s="12" t="s">
        <v>89</v>
      </c>
      <c r="J501" s="11" t="s">
        <v>394</v>
      </c>
      <c r="K501" s="11" t="s">
        <v>394</v>
      </c>
      <c r="L501" s="11"/>
      <c r="M501" s="11" t="s">
        <v>395</v>
      </c>
      <c r="N501" s="63">
        <v>208.93</v>
      </c>
      <c r="O501" s="63">
        <v>208.93</v>
      </c>
      <c r="P501" s="18"/>
      <c r="Q501" s="18" t="s">
        <v>12</v>
      </c>
      <c r="R501" s="12" t="s">
        <v>99</v>
      </c>
      <c r="S501" s="12" t="s">
        <v>99</v>
      </c>
      <c r="T501" s="12">
        <v>1</v>
      </c>
      <c r="U501" s="13">
        <v>44056</v>
      </c>
      <c r="V501" s="12" t="s">
        <v>635</v>
      </c>
      <c r="W501" s="12" t="s">
        <v>92</v>
      </c>
      <c r="X501" s="12" t="s">
        <v>105</v>
      </c>
      <c r="Y501" s="13"/>
      <c r="Z501" s="75"/>
      <c r="AA501" s="24"/>
      <c r="AC501" s="24"/>
      <c r="AD501" s="24"/>
      <c r="AE501" s="24"/>
      <c r="AF501" s="24"/>
      <c r="AG501" s="24"/>
      <c r="AH501" s="24"/>
      <c r="AI501" s="24"/>
    </row>
    <row r="502" spans="1:35" hidden="1" x14ac:dyDescent="0.3">
      <c r="A502" s="12" t="s">
        <v>85</v>
      </c>
      <c r="B502" s="12">
        <v>32953</v>
      </c>
      <c r="C502" s="11" t="s">
        <v>636</v>
      </c>
      <c r="D502" s="12" t="s">
        <v>1</v>
      </c>
      <c r="E502" s="12" t="s">
        <v>1185</v>
      </c>
      <c r="F502" s="12" t="s">
        <v>87</v>
      </c>
      <c r="G502" s="12" t="s">
        <v>87</v>
      </c>
      <c r="H502" s="12" t="s">
        <v>637</v>
      </c>
      <c r="I502" s="12" t="s">
        <v>125</v>
      </c>
      <c r="J502" s="11" t="s">
        <v>638</v>
      </c>
      <c r="K502" s="11" t="s">
        <v>638</v>
      </c>
      <c r="L502" s="11" t="s">
        <v>1195</v>
      </c>
      <c r="M502" s="11" t="s">
        <v>639</v>
      </c>
      <c r="N502" s="57">
        <v>18533.650000000001</v>
      </c>
      <c r="O502" s="59"/>
      <c r="P502" s="12" t="s">
        <v>640</v>
      </c>
      <c r="Q502" s="12" t="s">
        <v>12</v>
      </c>
      <c r="R502" s="12" t="s">
        <v>99</v>
      </c>
      <c r="S502" s="12" t="s">
        <v>99</v>
      </c>
      <c r="T502" s="12">
        <v>0</v>
      </c>
      <c r="U502" s="13"/>
      <c r="V502" s="12" t="s">
        <v>92</v>
      </c>
      <c r="W502" s="12" t="s">
        <v>92</v>
      </c>
      <c r="X502" s="12" t="s">
        <v>135</v>
      </c>
      <c r="Y502" s="13"/>
      <c r="Z502" s="75"/>
      <c r="AA502" s="24"/>
      <c r="AC502" s="24"/>
      <c r="AD502" s="24"/>
      <c r="AE502" s="24"/>
      <c r="AF502" s="24"/>
      <c r="AG502" s="24"/>
      <c r="AH502" s="24"/>
      <c r="AI502" s="24"/>
    </row>
    <row r="503" spans="1:35" hidden="1" x14ac:dyDescent="0.3">
      <c r="A503" s="12" t="s">
        <v>85</v>
      </c>
      <c r="B503" s="12">
        <v>32954</v>
      </c>
      <c r="C503" s="11" t="s">
        <v>636</v>
      </c>
      <c r="D503" s="12" t="s">
        <v>1</v>
      </c>
      <c r="E503" s="12" t="s">
        <v>1185</v>
      </c>
      <c r="F503" s="12" t="s">
        <v>87</v>
      </c>
      <c r="G503" s="12" t="s">
        <v>87</v>
      </c>
      <c r="H503" s="12" t="s">
        <v>637</v>
      </c>
      <c r="I503" s="12" t="s">
        <v>125</v>
      </c>
      <c r="J503" s="11" t="s">
        <v>641</v>
      </c>
      <c r="K503" s="11" t="s">
        <v>641</v>
      </c>
      <c r="L503" s="11" t="s">
        <v>1195</v>
      </c>
      <c r="M503" s="11" t="s">
        <v>639</v>
      </c>
      <c r="N503" s="57">
        <v>3015.57</v>
      </c>
      <c r="O503" s="59"/>
      <c r="P503" s="12" t="s">
        <v>640</v>
      </c>
      <c r="Q503" s="12" t="s">
        <v>12</v>
      </c>
      <c r="R503" s="12" t="s">
        <v>99</v>
      </c>
      <c r="S503" s="12" t="s">
        <v>99</v>
      </c>
      <c r="T503" s="12">
        <v>0</v>
      </c>
      <c r="U503" s="13"/>
      <c r="V503" s="12" t="s">
        <v>92</v>
      </c>
      <c r="W503" s="12" t="s">
        <v>92</v>
      </c>
      <c r="X503" s="12" t="s">
        <v>135</v>
      </c>
      <c r="Y503" s="13"/>
      <c r="Z503" s="75"/>
      <c r="AA503" s="24"/>
      <c r="AC503" s="24"/>
      <c r="AD503" s="24"/>
      <c r="AE503" s="24"/>
      <c r="AF503" s="24"/>
      <c r="AG503" s="24"/>
      <c r="AH503" s="24"/>
      <c r="AI503" s="24"/>
    </row>
    <row r="504" spans="1:35" hidden="1" x14ac:dyDescent="0.3">
      <c r="A504" s="12" t="s">
        <v>85</v>
      </c>
      <c r="B504" s="12">
        <v>33748</v>
      </c>
      <c r="C504" s="11" t="s">
        <v>180</v>
      </c>
      <c r="D504" s="12" t="s">
        <v>1</v>
      </c>
      <c r="E504" s="12" t="s">
        <v>1185</v>
      </c>
      <c r="F504" s="12" t="s">
        <v>87</v>
      </c>
      <c r="G504" s="12" t="s">
        <v>113</v>
      </c>
      <c r="H504" s="12" t="s">
        <v>181</v>
      </c>
      <c r="I504" s="12" t="s">
        <v>89</v>
      </c>
      <c r="J504" s="11" t="s">
        <v>1250</v>
      </c>
      <c r="K504" s="11" t="s">
        <v>642</v>
      </c>
      <c r="L504" s="11" t="s">
        <v>1194</v>
      </c>
      <c r="M504" s="11" t="s">
        <v>643</v>
      </c>
      <c r="N504" s="57">
        <v>309.75</v>
      </c>
      <c r="O504" s="59"/>
      <c r="P504" s="12">
        <v>88005</v>
      </c>
      <c r="Q504" s="12" t="s">
        <v>4</v>
      </c>
      <c r="R504" s="12" t="s">
        <v>13</v>
      </c>
      <c r="S504" s="12" t="s">
        <v>25</v>
      </c>
      <c r="T504" s="12">
        <v>1</v>
      </c>
      <c r="U504" s="13">
        <v>44028</v>
      </c>
      <c r="V504" s="12" t="s">
        <v>94</v>
      </c>
      <c r="W504" s="12" t="s">
        <v>92</v>
      </c>
      <c r="X504" s="12" t="s">
        <v>93</v>
      </c>
      <c r="Y504" s="13"/>
      <c r="Z504" s="75"/>
      <c r="AA504" s="24"/>
      <c r="AC504" s="24"/>
      <c r="AD504" s="24"/>
      <c r="AE504" s="24"/>
      <c r="AF504" s="24"/>
      <c r="AG504" s="24"/>
      <c r="AH504" s="24"/>
      <c r="AI504" s="24"/>
    </row>
    <row r="505" spans="1:35" hidden="1" x14ac:dyDescent="0.3">
      <c r="A505" s="12" t="s">
        <v>85</v>
      </c>
      <c r="B505" s="12">
        <v>34398</v>
      </c>
      <c r="C505" s="11" t="s">
        <v>130</v>
      </c>
      <c r="D505" s="12" t="s">
        <v>1</v>
      </c>
      <c r="E505" s="12" t="s">
        <v>1185</v>
      </c>
      <c r="F505" s="12" t="s">
        <v>87</v>
      </c>
      <c r="G505" s="12" t="s">
        <v>113</v>
      </c>
      <c r="H505" s="12" t="s">
        <v>96</v>
      </c>
      <c r="I505" s="12" t="s">
        <v>89</v>
      </c>
      <c r="J505" s="11" t="s">
        <v>205</v>
      </c>
      <c r="K505" s="11" t="s">
        <v>205</v>
      </c>
      <c r="L505" s="11" t="s">
        <v>1212</v>
      </c>
      <c r="M505" s="11" t="s">
        <v>206</v>
      </c>
      <c r="N505" s="59">
        <v>0</v>
      </c>
      <c r="O505" s="59"/>
      <c r="P505" s="12" t="s">
        <v>644</v>
      </c>
      <c r="Q505" s="12" t="s">
        <v>4</v>
      </c>
      <c r="R505" s="12" t="s">
        <v>13</v>
      </c>
      <c r="S505" s="12" t="s">
        <v>25</v>
      </c>
      <c r="T505" s="12">
        <v>1</v>
      </c>
      <c r="U505" s="13">
        <v>44028</v>
      </c>
      <c r="V505" s="12" t="s">
        <v>94</v>
      </c>
      <c r="W505" s="12" t="s">
        <v>92</v>
      </c>
      <c r="X505" s="12" t="s">
        <v>93</v>
      </c>
      <c r="Y505" s="13"/>
      <c r="Z505" s="59" t="s">
        <v>228</v>
      </c>
      <c r="AA505" s="24"/>
      <c r="AC505" s="24"/>
      <c r="AD505" s="24"/>
      <c r="AE505" s="24"/>
      <c r="AF505" s="24"/>
      <c r="AG505" s="24"/>
      <c r="AH505" s="24"/>
      <c r="AI505" s="24"/>
    </row>
    <row r="506" spans="1:35" hidden="1" x14ac:dyDescent="0.3">
      <c r="A506" s="12" t="s">
        <v>85</v>
      </c>
      <c r="B506" s="12">
        <v>35206</v>
      </c>
      <c r="C506" s="11" t="s">
        <v>367</v>
      </c>
      <c r="D506" s="12" t="s">
        <v>1</v>
      </c>
      <c r="E506" s="12" t="s">
        <v>1185</v>
      </c>
      <c r="F506" s="12" t="s">
        <v>113</v>
      </c>
      <c r="G506" s="12" t="s">
        <v>87</v>
      </c>
      <c r="H506" s="12" t="s">
        <v>368</v>
      </c>
      <c r="I506" s="12" t="s">
        <v>115</v>
      </c>
      <c r="J506" s="11" t="s">
        <v>645</v>
      </c>
      <c r="K506" s="11" t="s">
        <v>645</v>
      </c>
      <c r="L506" s="11" t="s">
        <v>1207</v>
      </c>
      <c r="M506" s="11" t="s">
        <v>646</v>
      </c>
      <c r="N506" s="59">
        <v>998.24</v>
      </c>
      <c r="O506" s="59"/>
      <c r="P506" s="12">
        <v>21726</v>
      </c>
      <c r="Q506" s="12" t="s">
        <v>4</v>
      </c>
      <c r="R506" s="12" t="s">
        <v>15</v>
      </c>
      <c r="S506" s="12" t="s">
        <v>55</v>
      </c>
      <c r="T506" s="12">
        <v>1</v>
      </c>
      <c r="U506" s="13">
        <v>43998</v>
      </c>
      <c r="V506" s="12" t="s">
        <v>647</v>
      </c>
      <c r="W506" s="12" t="s">
        <v>92</v>
      </c>
      <c r="X506" s="12" t="s">
        <v>105</v>
      </c>
      <c r="Y506" s="13"/>
      <c r="Z506" s="75"/>
      <c r="AA506" s="24"/>
      <c r="AC506" s="24"/>
      <c r="AD506" s="24"/>
      <c r="AE506" s="24"/>
      <c r="AF506" s="24"/>
      <c r="AG506" s="24"/>
      <c r="AH506" s="24"/>
      <c r="AI506" s="24"/>
    </row>
    <row r="507" spans="1:35" hidden="1" x14ac:dyDescent="0.3">
      <c r="A507" s="12" t="s">
        <v>85</v>
      </c>
      <c r="B507" s="12">
        <v>35206</v>
      </c>
      <c r="C507" s="11" t="s">
        <v>367</v>
      </c>
      <c r="D507" s="12" t="s">
        <v>1</v>
      </c>
      <c r="E507" s="12" t="s">
        <v>1185</v>
      </c>
      <c r="F507" s="12" t="s">
        <v>113</v>
      </c>
      <c r="G507" s="12" t="s">
        <v>87</v>
      </c>
      <c r="H507" s="12" t="s">
        <v>368</v>
      </c>
      <c r="I507" s="12" t="s">
        <v>115</v>
      </c>
      <c r="J507" s="11" t="s">
        <v>645</v>
      </c>
      <c r="K507" s="11" t="s">
        <v>645</v>
      </c>
      <c r="L507" s="11" t="s">
        <v>1207</v>
      </c>
      <c r="M507" s="11" t="s">
        <v>646</v>
      </c>
      <c r="N507" s="59">
        <v>998.24</v>
      </c>
      <c r="O507" s="59"/>
      <c r="P507" s="12">
        <v>21726</v>
      </c>
      <c r="Q507" s="12" t="s">
        <v>4</v>
      </c>
      <c r="R507" s="12" t="s">
        <v>21</v>
      </c>
      <c r="S507" s="12" t="s">
        <v>25</v>
      </c>
      <c r="T507" s="12">
        <v>1</v>
      </c>
      <c r="U507" s="13">
        <v>43895</v>
      </c>
      <c r="V507" s="12" t="s">
        <v>156</v>
      </c>
      <c r="W507" s="12" t="s">
        <v>92</v>
      </c>
      <c r="X507" s="12" t="s">
        <v>105</v>
      </c>
      <c r="Y507" s="13"/>
      <c r="Z507" s="75"/>
      <c r="AA507" s="24"/>
      <c r="AC507" s="24"/>
      <c r="AD507" s="24"/>
      <c r="AE507" s="24"/>
      <c r="AF507" s="24"/>
      <c r="AG507" s="24"/>
      <c r="AH507" s="24"/>
      <c r="AI507" s="24"/>
    </row>
    <row r="508" spans="1:35" hidden="1" x14ac:dyDescent="0.3">
      <c r="A508" s="12" t="s">
        <v>85</v>
      </c>
      <c r="B508" s="12">
        <v>35206</v>
      </c>
      <c r="C508" s="11" t="s">
        <v>367</v>
      </c>
      <c r="D508" s="12" t="s">
        <v>1</v>
      </c>
      <c r="E508" s="12" t="s">
        <v>1185</v>
      </c>
      <c r="F508" s="12" t="s">
        <v>113</v>
      </c>
      <c r="G508" s="12" t="s">
        <v>87</v>
      </c>
      <c r="H508" s="12" t="s">
        <v>368</v>
      </c>
      <c r="I508" s="12" t="s">
        <v>115</v>
      </c>
      <c r="J508" s="11" t="s">
        <v>645</v>
      </c>
      <c r="K508" s="11" t="s">
        <v>645</v>
      </c>
      <c r="L508" s="11" t="s">
        <v>1207</v>
      </c>
      <c r="M508" s="11" t="s">
        <v>646</v>
      </c>
      <c r="N508" s="59">
        <v>998.24</v>
      </c>
      <c r="O508" s="59"/>
      <c r="P508" s="12">
        <v>21726</v>
      </c>
      <c r="Q508" s="12" t="s">
        <v>4</v>
      </c>
      <c r="R508" s="12" t="s">
        <v>21</v>
      </c>
      <c r="S508" s="12" t="s">
        <v>25</v>
      </c>
      <c r="T508" s="12">
        <v>1</v>
      </c>
      <c r="U508" s="13">
        <v>43902</v>
      </c>
      <c r="V508" s="12" t="s">
        <v>157</v>
      </c>
      <c r="W508" s="12" t="s">
        <v>92</v>
      </c>
      <c r="X508" s="12" t="s">
        <v>105</v>
      </c>
      <c r="Y508" s="13"/>
      <c r="Z508" s="75"/>
      <c r="AA508" s="24"/>
      <c r="AC508" s="24"/>
      <c r="AD508" s="24"/>
      <c r="AE508" s="24"/>
      <c r="AF508" s="24"/>
      <c r="AG508" s="24"/>
      <c r="AH508" s="24"/>
      <c r="AI508" s="24"/>
    </row>
    <row r="509" spans="1:35" hidden="1" x14ac:dyDescent="0.3">
      <c r="A509" s="12" t="s">
        <v>85</v>
      </c>
      <c r="B509" s="12">
        <v>35206</v>
      </c>
      <c r="C509" s="11" t="s">
        <v>367</v>
      </c>
      <c r="D509" s="12" t="s">
        <v>1</v>
      </c>
      <c r="E509" s="12" t="s">
        <v>1185</v>
      </c>
      <c r="F509" s="12" t="s">
        <v>113</v>
      </c>
      <c r="G509" s="12" t="s">
        <v>87</v>
      </c>
      <c r="H509" s="12" t="s">
        <v>368</v>
      </c>
      <c r="I509" s="12" t="s">
        <v>115</v>
      </c>
      <c r="J509" s="11" t="s">
        <v>645</v>
      </c>
      <c r="K509" s="11" t="s">
        <v>645</v>
      </c>
      <c r="L509" s="11" t="s">
        <v>1207</v>
      </c>
      <c r="M509" s="11" t="s">
        <v>646</v>
      </c>
      <c r="N509" s="59">
        <v>998.24</v>
      </c>
      <c r="O509" s="59"/>
      <c r="P509" s="12">
        <v>21726</v>
      </c>
      <c r="Q509" s="12" t="s">
        <v>4</v>
      </c>
      <c r="R509" s="12" t="s">
        <v>21</v>
      </c>
      <c r="S509" s="12" t="s">
        <v>25</v>
      </c>
      <c r="T509" s="12">
        <v>1</v>
      </c>
      <c r="U509" s="13">
        <v>43992</v>
      </c>
      <c r="V509" s="12" t="s">
        <v>158</v>
      </c>
      <c r="W509" s="12" t="s">
        <v>92</v>
      </c>
      <c r="X509" s="12" t="s">
        <v>105</v>
      </c>
      <c r="Y509" s="13"/>
      <c r="Z509" s="75"/>
      <c r="AA509" s="24"/>
      <c r="AC509" s="24"/>
      <c r="AD509" s="24"/>
      <c r="AE509" s="24"/>
      <c r="AF509" s="24"/>
      <c r="AG509" s="24"/>
      <c r="AH509" s="24"/>
      <c r="AI509" s="24"/>
    </row>
    <row r="510" spans="1:35" hidden="1" x14ac:dyDescent="0.3">
      <c r="A510" s="12" t="s">
        <v>85</v>
      </c>
      <c r="B510" s="12">
        <v>35206</v>
      </c>
      <c r="C510" s="11" t="s">
        <v>367</v>
      </c>
      <c r="D510" s="12" t="s">
        <v>1</v>
      </c>
      <c r="E510" s="12" t="s">
        <v>1185</v>
      </c>
      <c r="F510" s="12" t="s">
        <v>113</v>
      </c>
      <c r="G510" s="12" t="s">
        <v>87</v>
      </c>
      <c r="H510" s="12" t="s">
        <v>368</v>
      </c>
      <c r="I510" s="12" t="s">
        <v>115</v>
      </c>
      <c r="J510" s="11" t="s">
        <v>645</v>
      </c>
      <c r="K510" s="11" t="s">
        <v>645</v>
      </c>
      <c r="L510" s="11" t="s">
        <v>1207</v>
      </c>
      <c r="M510" s="11" t="s">
        <v>646</v>
      </c>
      <c r="N510" s="59">
        <v>998.24</v>
      </c>
      <c r="O510" s="59"/>
      <c r="P510" s="12">
        <v>21726</v>
      </c>
      <c r="Q510" s="12" t="s">
        <v>4</v>
      </c>
      <c r="R510" s="12" t="s">
        <v>21</v>
      </c>
      <c r="S510" s="12" t="s">
        <v>25</v>
      </c>
      <c r="T510" s="12">
        <v>1</v>
      </c>
      <c r="U510" s="13">
        <v>43997</v>
      </c>
      <c r="V510" s="12" t="s">
        <v>159</v>
      </c>
      <c r="W510" s="12" t="s">
        <v>92</v>
      </c>
      <c r="X510" s="12" t="s">
        <v>105</v>
      </c>
      <c r="Y510" s="13"/>
      <c r="Z510" s="75"/>
      <c r="AA510" s="24"/>
      <c r="AC510" s="24"/>
      <c r="AD510" s="24"/>
      <c r="AE510" s="24"/>
      <c r="AF510" s="24"/>
      <c r="AG510" s="24"/>
      <c r="AH510" s="24"/>
      <c r="AI510" s="24"/>
    </row>
    <row r="511" spans="1:35" hidden="1" x14ac:dyDescent="0.3">
      <c r="A511" s="12" t="s">
        <v>85</v>
      </c>
      <c r="B511" s="12">
        <v>35206</v>
      </c>
      <c r="C511" s="11" t="s">
        <v>367</v>
      </c>
      <c r="D511" s="12" t="s">
        <v>1</v>
      </c>
      <c r="E511" s="12" t="s">
        <v>1185</v>
      </c>
      <c r="F511" s="12" t="s">
        <v>113</v>
      </c>
      <c r="G511" s="12" t="s">
        <v>87</v>
      </c>
      <c r="H511" s="12" t="s">
        <v>368</v>
      </c>
      <c r="I511" s="12" t="s">
        <v>115</v>
      </c>
      <c r="J511" s="11" t="s">
        <v>645</v>
      </c>
      <c r="K511" s="11" t="s">
        <v>645</v>
      </c>
      <c r="L511" s="11" t="s">
        <v>1207</v>
      </c>
      <c r="M511" s="11" t="s">
        <v>646</v>
      </c>
      <c r="N511" s="59">
        <v>998.24</v>
      </c>
      <c r="O511" s="59"/>
      <c r="P511" s="12">
        <v>21726</v>
      </c>
      <c r="Q511" s="12" t="s">
        <v>4</v>
      </c>
      <c r="R511" s="12" t="s">
        <v>21</v>
      </c>
      <c r="S511" s="12" t="s">
        <v>25</v>
      </c>
      <c r="T511" s="12">
        <v>1</v>
      </c>
      <c r="U511" s="13">
        <v>43999</v>
      </c>
      <c r="V511" s="12" t="s">
        <v>160</v>
      </c>
      <c r="W511" s="12" t="s">
        <v>92</v>
      </c>
      <c r="X511" s="12" t="s">
        <v>105</v>
      </c>
      <c r="Y511" s="13"/>
      <c r="Z511" s="75"/>
      <c r="AA511" s="24"/>
      <c r="AC511" s="24"/>
      <c r="AD511" s="24"/>
      <c r="AE511" s="24"/>
      <c r="AF511" s="24"/>
      <c r="AG511" s="24"/>
      <c r="AH511" s="24"/>
      <c r="AI511" s="24"/>
    </row>
    <row r="512" spans="1:35" hidden="1" x14ac:dyDescent="0.3">
      <c r="A512" s="12" t="s">
        <v>85</v>
      </c>
      <c r="B512" s="12">
        <v>35206</v>
      </c>
      <c r="C512" s="11" t="s">
        <v>367</v>
      </c>
      <c r="D512" s="12" t="s">
        <v>1</v>
      </c>
      <c r="E512" s="12" t="s">
        <v>1185</v>
      </c>
      <c r="F512" s="12" t="s">
        <v>113</v>
      </c>
      <c r="G512" s="12" t="s">
        <v>87</v>
      </c>
      <c r="H512" s="12" t="s">
        <v>368</v>
      </c>
      <c r="I512" s="12" t="s">
        <v>115</v>
      </c>
      <c r="J512" s="11" t="s">
        <v>645</v>
      </c>
      <c r="K512" s="11" t="s">
        <v>645</v>
      </c>
      <c r="L512" s="11" t="s">
        <v>1207</v>
      </c>
      <c r="M512" s="11" t="s">
        <v>646</v>
      </c>
      <c r="N512" s="59">
        <v>998.24</v>
      </c>
      <c r="O512" s="59"/>
      <c r="P512" s="12">
        <v>21726</v>
      </c>
      <c r="Q512" s="12" t="s">
        <v>4</v>
      </c>
      <c r="R512" s="12" t="s">
        <v>21</v>
      </c>
      <c r="S512" s="12" t="s">
        <v>25</v>
      </c>
      <c r="T512" s="12">
        <v>1</v>
      </c>
      <c r="U512" s="13">
        <v>44014</v>
      </c>
      <c r="V512" s="12" t="s">
        <v>161</v>
      </c>
      <c r="W512" s="12" t="s">
        <v>92</v>
      </c>
      <c r="X512" s="15" t="s">
        <v>105</v>
      </c>
      <c r="Y512" s="13"/>
      <c r="Z512" s="75"/>
      <c r="AA512" s="24"/>
      <c r="AC512" s="24"/>
      <c r="AD512" s="24"/>
      <c r="AE512" s="24"/>
      <c r="AF512" s="24"/>
      <c r="AG512" s="24"/>
      <c r="AH512" s="24"/>
      <c r="AI512" s="24"/>
    </row>
    <row r="513" spans="1:35" hidden="1" x14ac:dyDescent="0.3">
      <c r="A513" s="12" t="s">
        <v>85</v>
      </c>
      <c r="B513" s="12">
        <v>35234</v>
      </c>
      <c r="C513" s="11" t="s">
        <v>527</v>
      </c>
      <c r="D513" s="12" t="s">
        <v>1</v>
      </c>
      <c r="E513" s="12" t="s">
        <v>1185</v>
      </c>
      <c r="F513" s="12" t="s">
        <v>87</v>
      </c>
      <c r="G513" s="12" t="s">
        <v>113</v>
      </c>
      <c r="H513" s="12" t="s">
        <v>528</v>
      </c>
      <c r="I513" s="12" t="s">
        <v>125</v>
      </c>
      <c r="J513" s="11" t="s">
        <v>529</v>
      </c>
      <c r="K513" s="11" t="s">
        <v>529</v>
      </c>
      <c r="L513" s="11" t="s">
        <v>1212</v>
      </c>
      <c r="M513" s="11" t="s">
        <v>537</v>
      </c>
      <c r="N513" s="59">
        <v>0</v>
      </c>
      <c r="O513" s="59"/>
      <c r="P513" s="12" t="s">
        <v>648</v>
      </c>
      <c r="Q513" s="12" t="s">
        <v>4</v>
      </c>
      <c r="R513" s="91" t="s">
        <v>13</v>
      </c>
      <c r="S513" s="12" t="s">
        <v>25</v>
      </c>
      <c r="T513" s="12">
        <v>0</v>
      </c>
      <c r="U513" s="13"/>
      <c r="V513" s="12" t="s">
        <v>92</v>
      </c>
      <c r="W513" s="12" t="s">
        <v>92</v>
      </c>
      <c r="X513" s="12" t="s">
        <v>93</v>
      </c>
      <c r="Y513" s="13"/>
      <c r="Z513" s="75"/>
      <c r="AA513" s="24"/>
      <c r="AC513" s="24"/>
      <c r="AD513" s="24"/>
      <c r="AE513" s="24"/>
      <c r="AF513" s="24"/>
      <c r="AG513" s="24"/>
      <c r="AH513" s="24"/>
      <c r="AI513" s="24"/>
    </row>
    <row r="514" spans="1:35" hidden="1" x14ac:dyDescent="0.3">
      <c r="A514" s="12" t="s">
        <v>85</v>
      </c>
      <c r="B514" s="12">
        <v>35234</v>
      </c>
      <c r="C514" s="11" t="s">
        <v>527</v>
      </c>
      <c r="D514" s="12" t="s">
        <v>1</v>
      </c>
      <c r="E514" s="12" t="s">
        <v>1185</v>
      </c>
      <c r="F514" s="12" t="s">
        <v>87</v>
      </c>
      <c r="G514" s="12" t="s">
        <v>113</v>
      </c>
      <c r="H514" s="12" t="s">
        <v>528</v>
      </c>
      <c r="I514" s="12" t="s">
        <v>125</v>
      </c>
      <c r="J514" s="11" t="s">
        <v>529</v>
      </c>
      <c r="K514" s="11" t="s">
        <v>529</v>
      </c>
      <c r="L514" s="11" t="s">
        <v>1212</v>
      </c>
      <c r="M514" s="11" t="s">
        <v>537</v>
      </c>
      <c r="N514" s="59">
        <v>0</v>
      </c>
      <c r="O514" s="59"/>
      <c r="P514" s="12" t="s">
        <v>648</v>
      </c>
      <c r="Q514" s="12" t="s">
        <v>4</v>
      </c>
      <c r="R514" s="12" t="s">
        <v>15</v>
      </c>
      <c r="S514" s="12" t="s">
        <v>29</v>
      </c>
      <c r="T514" s="12">
        <v>0</v>
      </c>
      <c r="U514" s="13"/>
      <c r="V514" s="12" t="s">
        <v>92</v>
      </c>
      <c r="W514" s="12" t="s">
        <v>92</v>
      </c>
      <c r="X514" s="12" t="s">
        <v>93</v>
      </c>
      <c r="Y514" s="13"/>
      <c r="Z514" s="75"/>
      <c r="AA514" s="24"/>
      <c r="AC514" s="24"/>
      <c r="AD514" s="24"/>
      <c r="AE514" s="24"/>
      <c r="AF514" s="24"/>
      <c r="AG514" s="24"/>
      <c r="AH514" s="24"/>
      <c r="AI514" s="24"/>
    </row>
    <row r="515" spans="1:35" hidden="1" x14ac:dyDescent="0.3">
      <c r="A515" s="12" t="s">
        <v>85</v>
      </c>
      <c r="B515" s="12">
        <v>35291</v>
      </c>
      <c r="C515" s="11" t="s">
        <v>367</v>
      </c>
      <c r="D515" s="12" t="s">
        <v>417</v>
      </c>
      <c r="E515" s="12" t="s">
        <v>1185</v>
      </c>
      <c r="F515" s="12" t="s">
        <v>113</v>
      </c>
      <c r="G515" s="12" t="s">
        <v>87</v>
      </c>
      <c r="H515" s="12" t="s">
        <v>368</v>
      </c>
      <c r="I515" s="12" t="s">
        <v>115</v>
      </c>
      <c r="J515" s="11" t="s">
        <v>369</v>
      </c>
      <c r="K515" s="11" t="s">
        <v>369</v>
      </c>
      <c r="L515" s="11" t="s">
        <v>1210</v>
      </c>
      <c r="M515" s="11" t="s">
        <v>370</v>
      </c>
      <c r="N515" s="57">
        <v>27454.01</v>
      </c>
      <c r="O515" s="59"/>
      <c r="P515" s="12" t="s">
        <v>649</v>
      </c>
      <c r="Q515" s="12" t="s">
        <v>12</v>
      </c>
      <c r="R515" s="12" t="s">
        <v>15</v>
      </c>
      <c r="S515" s="12" t="s">
        <v>40</v>
      </c>
      <c r="T515" s="12">
        <v>1</v>
      </c>
      <c r="U515" s="13">
        <v>43902</v>
      </c>
      <c r="V515" s="12" t="s">
        <v>650</v>
      </c>
      <c r="W515" s="12" t="s">
        <v>92</v>
      </c>
      <c r="X515" s="12" t="s">
        <v>105</v>
      </c>
      <c r="Y515" s="13"/>
      <c r="Z515" s="75"/>
      <c r="AA515" s="24"/>
      <c r="AC515" s="24"/>
      <c r="AD515" s="24"/>
      <c r="AE515" s="24"/>
      <c r="AF515" s="24"/>
      <c r="AG515" s="24"/>
      <c r="AH515" s="24"/>
      <c r="AI515" s="24"/>
    </row>
    <row r="516" spans="1:35" hidden="1" x14ac:dyDescent="0.3">
      <c r="A516" s="12" t="s">
        <v>85</v>
      </c>
      <c r="B516" s="12">
        <v>35291</v>
      </c>
      <c r="C516" s="11" t="s">
        <v>367</v>
      </c>
      <c r="D516" s="12" t="s">
        <v>417</v>
      </c>
      <c r="E516" s="12" t="s">
        <v>1185</v>
      </c>
      <c r="F516" s="12" t="s">
        <v>113</v>
      </c>
      <c r="G516" s="12" t="s">
        <v>87</v>
      </c>
      <c r="H516" s="12" t="s">
        <v>368</v>
      </c>
      <c r="I516" s="12" t="s">
        <v>115</v>
      </c>
      <c r="J516" s="11" t="s">
        <v>369</v>
      </c>
      <c r="K516" s="11" t="s">
        <v>369</v>
      </c>
      <c r="L516" s="11" t="s">
        <v>1210</v>
      </c>
      <c r="M516" s="11" t="s">
        <v>370</v>
      </c>
      <c r="N516" s="57">
        <v>27454.01</v>
      </c>
      <c r="O516" s="59"/>
      <c r="P516" s="12" t="s">
        <v>649</v>
      </c>
      <c r="Q516" s="12" t="s">
        <v>12</v>
      </c>
      <c r="R516" s="12" t="s">
        <v>15</v>
      </c>
      <c r="S516" s="12" t="s">
        <v>40</v>
      </c>
      <c r="T516" s="12">
        <v>1</v>
      </c>
      <c r="U516" s="13">
        <v>44014</v>
      </c>
      <c r="V516" s="12" t="s">
        <v>372</v>
      </c>
      <c r="W516" s="12" t="s">
        <v>92</v>
      </c>
      <c r="X516" s="12" t="s">
        <v>105</v>
      </c>
      <c r="Y516" s="13"/>
      <c r="Z516" s="75"/>
      <c r="AA516" s="24"/>
      <c r="AC516" s="24"/>
      <c r="AD516" s="24"/>
      <c r="AE516" s="24"/>
      <c r="AF516" s="24"/>
      <c r="AG516" s="24"/>
      <c r="AH516" s="24"/>
      <c r="AI516" s="24"/>
    </row>
    <row r="517" spans="1:35" hidden="1" x14ac:dyDescent="0.3">
      <c r="A517" s="12" t="s">
        <v>85</v>
      </c>
      <c r="B517" s="12">
        <v>35291</v>
      </c>
      <c r="C517" s="11" t="s">
        <v>367</v>
      </c>
      <c r="D517" s="12" t="s">
        <v>417</v>
      </c>
      <c r="E517" s="12" t="s">
        <v>1185</v>
      </c>
      <c r="F517" s="12" t="s">
        <v>113</v>
      </c>
      <c r="G517" s="12" t="s">
        <v>87</v>
      </c>
      <c r="H517" s="12" t="s">
        <v>368</v>
      </c>
      <c r="I517" s="12" t="s">
        <v>115</v>
      </c>
      <c r="J517" s="11" t="s">
        <v>369</v>
      </c>
      <c r="K517" s="11" t="s">
        <v>369</v>
      </c>
      <c r="L517" s="11" t="s">
        <v>1210</v>
      </c>
      <c r="M517" s="11" t="s">
        <v>370</v>
      </c>
      <c r="N517" s="57">
        <v>27454.01</v>
      </c>
      <c r="O517" s="59"/>
      <c r="P517" s="12" t="s">
        <v>649</v>
      </c>
      <c r="Q517" s="12" t="s">
        <v>12</v>
      </c>
      <c r="R517" s="12" t="s">
        <v>21</v>
      </c>
      <c r="S517" s="12" t="s">
        <v>25</v>
      </c>
      <c r="T517" s="12">
        <v>1</v>
      </c>
      <c r="U517" s="13">
        <v>43895</v>
      </c>
      <c r="V517" s="12" t="s">
        <v>156</v>
      </c>
      <c r="W517" s="12" t="s">
        <v>92</v>
      </c>
      <c r="X517" s="12" t="s">
        <v>105</v>
      </c>
      <c r="Y517" s="13"/>
      <c r="Z517" s="75"/>
      <c r="AA517" s="24"/>
      <c r="AC517" s="24"/>
      <c r="AD517" s="24"/>
      <c r="AE517" s="24"/>
      <c r="AF517" s="24"/>
      <c r="AG517" s="24"/>
      <c r="AH517" s="24"/>
      <c r="AI517" s="24"/>
    </row>
    <row r="518" spans="1:35" hidden="1" x14ac:dyDescent="0.3">
      <c r="A518" s="12" t="s">
        <v>85</v>
      </c>
      <c r="B518" s="12">
        <v>35291</v>
      </c>
      <c r="C518" s="11" t="s">
        <v>367</v>
      </c>
      <c r="D518" s="12" t="s">
        <v>417</v>
      </c>
      <c r="E518" s="12" t="s">
        <v>1185</v>
      </c>
      <c r="F518" s="12" t="s">
        <v>113</v>
      </c>
      <c r="G518" s="12" t="s">
        <v>87</v>
      </c>
      <c r="H518" s="12" t="s">
        <v>368</v>
      </c>
      <c r="I518" s="12" t="s">
        <v>115</v>
      </c>
      <c r="J518" s="11" t="s">
        <v>369</v>
      </c>
      <c r="K518" s="11" t="s">
        <v>369</v>
      </c>
      <c r="L518" s="11" t="s">
        <v>1210</v>
      </c>
      <c r="M518" s="11" t="s">
        <v>370</v>
      </c>
      <c r="N518" s="57">
        <v>27454.01</v>
      </c>
      <c r="O518" s="59"/>
      <c r="P518" s="12" t="s">
        <v>649</v>
      </c>
      <c r="Q518" s="12" t="s">
        <v>12</v>
      </c>
      <c r="R518" s="12" t="s">
        <v>21</v>
      </c>
      <c r="S518" s="12" t="s">
        <v>25</v>
      </c>
      <c r="T518" s="12">
        <v>1</v>
      </c>
      <c r="U518" s="13">
        <v>43902</v>
      </c>
      <c r="V518" s="12" t="s">
        <v>157</v>
      </c>
      <c r="W518" s="12" t="s">
        <v>92</v>
      </c>
      <c r="X518" s="12" t="s">
        <v>105</v>
      </c>
      <c r="Y518" s="13"/>
      <c r="Z518" s="75"/>
      <c r="AA518" s="24"/>
      <c r="AC518" s="24"/>
      <c r="AD518" s="24"/>
      <c r="AE518" s="24"/>
      <c r="AF518" s="24"/>
      <c r="AG518" s="24"/>
      <c r="AH518" s="24"/>
      <c r="AI518" s="24"/>
    </row>
    <row r="519" spans="1:35" hidden="1" x14ac:dyDescent="0.3">
      <c r="A519" s="12" t="s">
        <v>85</v>
      </c>
      <c r="B519" s="12">
        <v>35291</v>
      </c>
      <c r="C519" s="11" t="s">
        <v>367</v>
      </c>
      <c r="D519" s="12" t="s">
        <v>417</v>
      </c>
      <c r="E519" s="12" t="s">
        <v>1185</v>
      </c>
      <c r="F519" s="12" t="s">
        <v>113</v>
      </c>
      <c r="G519" s="12" t="s">
        <v>87</v>
      </c>
      <c r="H519" s="12" t="s">
        <v>368</v>
      </c>
      <c r="I519" s="12" t="s">
        <v>115</v>
      </c>
      <c r="J519" s="11" t="s">
        <v>369</v>
      </c>
      <c r="K519" s="11" t="s">
        <v>369</v>
      </c>
      <c r="L519" s="11" t="s">
        <v>1210</v>
      </c>
      <c r="M519" s="11" t="s">
        <v>370</v>
      </c>
      <c r="N519" s="57">
        <v>27454.01</v>
      </c>
      <c r="O519" s="59"/>
      <c r="P519" s="12" t="s">
        <v>649</v>
      </c>
      <c r="Q519" s="12" t="s">
        <v>12</v>
      </c>
      <c r="R519" s="12" t="s">
        <v>21</v>
      </c>
      <c r="S519" s="12" t="s">
        <v>25</v>
      </c>
      <c r="T519" s="12">
        <v>1</v>
      </c>
      <c r="U519" s="13">
        <v>43992</v>
      </c>
      <c r="V519" s="12" t="s">
        <v>158</v>
      </c>
      <c r="W519" s="12" t="s">
        <v>92</v>
      </c>
      <c r="X519" s="12" t="s">
        <v>105</v>
      </c>
      <c r="Y519" s="13"/>
      <c r="Z519" s="75"/>
      <c r="AA519" s="24"/>
      <c r="AC519" s="24"/>
      <c r="AD519" s="24"/>
      <c r="AE519" s="24"/>
      <c r="AF519" s="24"/>
      <c r="AG519" s="24"/>
      <c r="AH519" s="24"/>
      <c r="AI519" s="24"/>
    </row>
    <row r="520" spans="1:35" hidden="1" x14ac:dyDescent="0.3">
      <c r="A520" s="12" t="s">
        <v>85</v>
      </c>
      <c r="B520" s="12">
        <v>35291</v>
      </c>
      <c r="C520" s="11" t="s">
        <v>367</v>
      </c>
      <c r="D520" s="12" t="s">
        <v>417</v>
      </c>
      <c r="E520" s="12" t="s">
        <v>1185</v>
      </c>
      <c r="F520" s="12" t="s">
        <v>113</v>
      </c>
      <c r="G520" s="12" t="s">
        <v>87</v>
      </c>
      <c r="H520" s="12" t="s">
        <v>368</v>
      </c>
      <c r="I520" s="12" t="s">
        <v>115</v>
      </c>
      <c r="J520" s="11" t="s">
        <v>369</v>
      </c>
      <c r="K520" s="11" t="s">
        <v>369</v>
      </c>
      <c r="L520" s="11" t="s">
        <v>1210</v>
      </c>
      <c r="M520" s="11" t="s">
        <v>370</v>
      </c>
      <c r="N520" s="57">
        <v>27454.01</v>
      </c>
      <c r="O520" s="59"/>
      <c r="P520" s="12" t="s">
        <v>649</v>
      </c>
      <c r="Q520" s="12" t="s">
        <v>12</v>
      </c>
      <c r="R520" s="12" t="s">
        <v>21</v>
      </c>
      <c r="S520" s="12" t="s">
        <v>25</v>
      </c>
      <c r="T520" s="12">
        <v>1</v>
      </c>
      <c r="U520" s="13">
        <v>43997</v>
      </c>
      <c r="V520" s="12" t="s">
        <v>159</v>
      </c>
      <c r="W520" s="12" t="s">
        <v>92</v>
      </c>
      <c r="X520" s="12" t="s">
        <v>105</v>
      </c>
      <c r="Y520" s="13"/>
      <c r="Z520" s="75"/>
      <c r="AA520" s="24"/>
      <c r="AC520" s="24"/>
      <c r="AD520" s="24"/>
      <c r="AE520" s="24"/>
      <c r="AF520" s="24"/>
      <c r="AG520" s="24"/>
      <c r="AH520" s="24"/>
      <c r="AI520" s="24"/>
    </row>
    <row r="521" spans="1:35" hidden="1" x14ac:dyDescent="0.3">
      <c r="A521" s="12" t="s">
        <v>85</v>
      </c>
      <c r="B521" s="12">
        <v>35291</v>
      </c>
      <c r="C521" s="11" t="s">
        <v>367</v>
      </c>
      <c r="D521" s="12" t="s">
        <v>417</v>
      </c>
      <c r="E521" s="12" t="s">
        <v>1185</v>
      </c>
      <c r="F521" s="12" t="s">
        <v>113</v>
      </c>
      <c r="G521" s="12" t="s">
        <v>87</v>
      </c>
      <c r="H521" s="12" t="s">
        <v>368</v>
      </c>
      <c r="I521" s="12" t="s">
        <v>115</v>
      </c>
      <c r="J521" s="11" t="s">
        <v>369</v>
      </c>
      <c r="K521" s="11" t="s">
        <v>369</v>
      </c>
      <c r="L521" s="11" t="s">
        <v>1210</v>
      </c>
      <c r="M521" s="11" t="s">
        <v>370</v>
      </c>
      <c r="N521" s="57">
        <v>27454.01</v>
      </c>
      <c r="O521" s="59"/>
      <c r="P521" s="12" t="s">
        <v>649</v>
      </c>
      <c r="Q521" s="12" t="s">
        <v>12</v>
      </c>
      <c r="R521" s="12" t="s">
        <v>21</v>
      </c>
      <c r="S521" s="12" t="s">
        <v>25</v>
      </c>
      <c r="T521" s="12">
        <v>1</v>
      </c>
      <c r="U521" s="13">
        <v>43999</v>
      </c>
      <c r="V521" s="12" t="s">
        <v>160</v>
      </c>
      <c r="W521" s="12" t="s">
        <v>92</v>
      </c>
      <c r="X521" s="12" t="s">
        <v>105</v>
      </c>
      <c r="Y521" s="13"/>
      <c r="Z521" s="75"/>
      <c r="AA521" s="24"/>
      <c r="AC521" s="24"/>
      <c r="AD521" s="24"/>
      <c r="AE521" s="24"/>
      <c r="AF521" s="24"/>
      <c r="AG521" s="24"/>
      <c r="AH521" s="24"/>
      <c r="AI521" s="24"/>
    </row>
    <row r="522" spans="1:35" hidden="1" x14ac:dyDescent="0.3">
      <c r="A522" s="12" t="s">
        <v>85</v>
      </c>
      <c r="B522" s="12">
        <v>35291</v>
      </c>
      <c r="C522" s="11" t="s">
        <v>367</v>
      </c>
      <c r="D522" s="12" t="s">
        <v>417</v>
      </c>
      <c r="E522" s="12" t="s">
        <v>1185</v>
      </c>
      <c r="F522" s="12" t="s">
        <v>113</v>
      </c>
      <c r="G522" s="12" t="s">
        <v>87</v>
      </c>
      <c r="H522" s="12" t="s">
        <v>368</v>
      </c>
      <c r="I522" s="12" t="s">
        <v>115</v>
      </c>
      <c r="J522" s="11" t="s">
        <v>369</v>
      </c>
      <c r="K522" s="11" t="s">
        <v>369</v>
      </c>
      <c r="L522" s="11" t="s">
        <v>1210</v>
      </c>
      <c r="M522" s="11" t="s">
        <v>370</v>
      </c>
      <c r="N522" s="57">
        <v>27454.01</v>
      </c>
      <c r="O522" s="59"/>
      <c r="P522" s="12" t="s">
        <v>649</v>
      </c>
      <c r="Q522" s="12" t="s">
        <v>12</v>
      </c>
      <c r="R522" s="12" t="s">
        <v>21</v>
      </c>
      <c r="S522" s="12" t="s">
        <v>25</v>
      </c>
      <c r="T522" s="12">
        <v>1</v>
      </c>
      <c r="U522" s="13">
        <v>44014</v>
      </c>
      <c r="V522" s="12" t="s">
        <v>161</v>
      </c>
      <c r="W522" s="12" t="s">
        <v>92</v>
      </c>
      <c r="X522" s="15" t="s">
        <v>105</v>
      </c>
      <c r="Y522" s="13"/>
      <c r="Z522" s="75"/>
      <c r="AA522" s="24"/>
      <c r="AC522" s="24"/>
      <c r="AD522" s="24"/>
      <c r="AE522" s="24"/>
      <c r="AF522" s="24"/>
      <c r="AG522" s="24"/>
      <c r="AH522" s="24"/>
      <c r="AI522" s="24"/>
    </row>
    <row r="523" spans="1:35" s="25" customFormat="1" hidden="1" x14ac:dyDescent="0.3">
      <c r="A523" s="12" t="s">
        <v>122</v>
      </c>
      <c r="B523" s="12">
        <v>35714</v>
      </c>
      <c r="C523" s="11" t="s">
        <v>1251</v>
      </c>
      <c r="D523" s="12" t="s">
        <v>1</v>
      </c>
      <c r="E523" s="12" t="s">
        <v>1185</v>
      </c>
      <c r="F523" s="12" t="s">
        <v>87</v>
      </c>
      <c r="G523" s="12" t="s">
        <v>113</v>
      </c>
      <c r="H523" s="12" t="s">
        <v>181</v>
      </c>
      <c r="I523" s="12" t="s">
        <v>89</v>
      </c>
      <c r="J523" s="11" t="s">
        <v>1249</v>
      </c>
      <c r="K523" s="11" t="s">
        <v>510</v>
      </c>
      <c r="L523" s="11" t="s">
        <v>1212</v>
      </c>
      <c r="M523" s="11" t="s">
        <v>651</v>
      </c>
      <c r="N523" s="58">
        <v>25600</v>
      </c>
      <c r="O523" s="59"/>
      <c r="P523" s="12">
        <v>27251</v>
      </c>
      <c r="Q523" s="12" t="s">
        <v>4</v>
      </c>
      <c r="R523" s="12" t="s">
        <v>13</v>
      </c>
      <c r="S523" s="12" t="s">
        <v>25</v>
      </c>
      <c r="T523" s="12">
        <v>1</v>
      </c>
      <c r="U523" s="13">
        <v>44028</v>
      </c>
      <c r="V523" s="12" t="s">
        <v>94</v>
      </c>
      <c r="W523" s="12" t="s">
        <v>92</v>
      </c>
      <c r="X523" s="12" t="s">
        <v>93</v>
      </c>
      <c r="Y523" s="13"/>
      <c r="Z523" s="75"/>
    </row>
    <row r="524" spans="1:35" hidden="1" x14ac:dyDescent="0.3">
      <c r="A524" s="12" t="s">
        <v>85</v>
      </c>
      <c r="B524" s="12">
        <v>36143</v>
      </c>
      <c r="C524" s="11" t="s">
        <v>652</v>
      </c>
      <c r="D524" s="12" t="s">
        <v>1</v>
      </c>
      <c r="E524" s="12" t="s">
        <v>1185</v>
      </c>
      <c r="F524" s="12" t="s">
        <v>132</v>
      </c>
      <c r="G524" s="12" t="s">
        <v>132</v>
      </c>
      <c r="H524" s="12" t="s">
        <v>653</v>
      </c>
      <c r="I524" s="12" t="s">
        <v>89</v>
      </c>
      <c r="J524" s="11" t="s">
        <v>654</v>
      </c>
      <c r="K524" s="11" t="s">
        <v>654</v>
      </c>
      <c r="L524" s="11" t="s">
        <v>1194</v>
      </c>
      <c r="M524" s="11" t="s">
        <v>655</v>
      </c>
      <c r="N524" s="60">
        <v>837.5</v>
      </c>
      <c r="O524" s="59"/>
      <c r="P524" s="12" t="s">
        <v>91</v>
      </c>
      <c r="Q524" s="12" t="s">
        <v>12</v>
      </c>
      <c r="R524" s="12" t="s">
        <v>99</v>
      </c>
      <c r="S524" s="12" t="s">
        <v>99</v>
      </c>
      <c r="T524" s="12">
        <v>0</v>
      </c>
      <c r="U524" s="13"/>
      <c r="V524" s="12" t="s">
        <v>92</v>
      </c>
      <c r="W524" s="12" t="s">
        <v>92</v>
      </c>
      <c r="X524" s="12" t="s">
        <v>135</v>
      </c>
      <c r="Y524" s="13"/>
      <c r="Z524" s="75"/>
      <c r="AA524" s="24"/>
      <c r="AC524" s="24"/>
      <c r="AD524" s="24"/>
      <c r="AE524" s="24"/>
      <c r="AF524" s="24"/>
      <c r="AG524" s="24"/>
      <c r="AH524" s="24"/>
      <c r="AI524" s="24"/>
    </row>
    <row r="525" spans="1:35" hidden="1" x14ac:dyDescent="0.3">
      <c r="A525" s="12" t="s">
        <v>85</v>
      </c>
      <c r="B525" s="12">
        <v>37020</v>
      </c>
      <c r="C525" s="11" t="s">
        <v>656</v>
      </c>
      <c r="D525" s="12" t="s">
        <v>1</v>
      </c>
      <c r="E525" s="12" t="s">
        <v>1185</v>
      </c>
      <c r="F525" s="12" t="s">
        <v>87</v>
      </c>
      <c r="G525" s="12" t="s">
        <v>113</v>
      </c>
      <c r="H525" s="12" t="s">
        <v>657</v>
      </c>
      <c r="I525" s="12" t="s">
        <v>658</v>
      </c>
      <c r="J525" s="11" t="s">
        <v>659</v>
      </c>
      <c r="K525" s="11" t="s">
        <v>659</v>
      </c>
      <c r="L525" s="11" t="s">
        <v>1197</v>
      </c>
      <c r="M525" s="11" t="s">
        <v>660</v>
      </c>
      <c r="N525" s="58">
        <v>480</v>
      </c>
      <c r="O525" s="59"/>
      <c r="P525" s="12">
        <v>1640062</v>
      </c>
      <c r="Q525" s="12" t="s">
        <v>4</v>
      </c>
      <c r="R525" s="12" t="s">
        <v>13</v>
      </c>
      <c r="S525" s="12" t="s">
        <v>25</v>
      </c>
      <c r="T525" s="12">
        <v>0</v>
      </c>
      <c r="U525" s="13"/>
      <c r="V525" s="12" t="s">
        <v>92</v>
      </c>
      <c r="W525" s="12" t="s">
        <v>92</v>
      </c>
      <c r="X525" s="12" t="s">
        <v>93</v>
      </c>
      <c r="Y525" s="13"/>
      <c r="Z525" s="75"/>
      <c r="AA525" s="24"/>
      <c r="AC525" s="24"/>
      <c r="AD525" s="24"/>
      <c r="AE525" s="24"/>
      <c r="AF525" s="24"/>
      <c r="AG525" s="24"/>
      <c r="AH525" s="24"/>
      <c r="AI525" s="24"/>
    </row>
    <row r="526" spans="1:35" hidden="1" x14ac:dyDescent="0.3">
      <c r="A526" s="12" t="s">
        <v>85</v>
      </c>
      <c r="B526" s="12">
        <v>37021</v>
      </c>
      <c r="C526" s="11" t="s">
        <v>656</v>
      </c>
      <c r="D526" s="12" t="s">
        <v>1</v>
      </c>
      <c r="E526" s="12" t="s">
        <v>1185</v>
      </c>
      <c r="F526" s="12" t="s">
        <v>87</v>
      </c>
      <c r="G526" s="12" t="s">
        <v>113</v>
      </c>
      <c r="H526" s="12" t="s">
        <v>657</v>
      </c>
      <c r="I526" s="12" t="s">
        <v>658</v>
      </c>
      <c r="J526" s="11" t="s">
        <v>659</v>
      </c>
      <c r="K526" s="11" t="s">
        <v>659</v>
      </c>
      <c r="L526" s="11" t="s">
        <v>1197</v>
      </c>
      <c r="M526" s="11" t="s">
        <v>660</v>
      </c>
      <c r="N526" s="58">
        <v>480</v>
      </c>
      <c r="O526" s="59"/>
      <c r="P526" s="12">
        <v>1640062</v>
      </c>
      <c r="Q526" s="12" t="s">
        <v>4</v>
      </c>
      <c r="R526" s="12" t="s">
        <v>13</v>
      </c>
      <c r="S526" s="12" t="s">
        <v>25</v>
      </c>
      <c r="T526" s="12">
        <v>0</v>
      </c>
      <c r="U526" s="13"/>
      <c r="V526" s="12" t="s">
        <v>92</v>
      </c>
      <c r="W526" s="12" t="s">
        <v>92</v>
      </c>
      <c r="X526" s="12" t="s">
        <v>93</v>
      </c>
      <c r="Y526" s="13"/>
      <c r="Z526" s="75"/>
      <c r="AA526" s="24"/>
      <c r="AC526" s="24"/>
      <c r="AD526" s="24"/>
      <c r="AE526" s="24"/>
      <c r="AF526" s="24"/>
      <c r="AG526" s="24"/>
      <c r="AH526" s="24"/>
      <c r="AI526" s="24"/>
    </row>
    <row r="527" spans="1:35" hidden="1" x14ac:dyDescent="0.3">
      <c r="A527" s="12" t="s">
        <v>85</v>
      </c>
      <c r="B527" s="12">
        <v>37022</v>
      </c>
      <c r="C527" s="11" t="s">
        <v>656</v>
      </c>
      <c r="D527" s="12" t="s">
        <v>1</v>
      </c>
      <c r="E527" s="12" t="s">
        <v>1185</v>
      </c>
      <c r="F527" s="12" t="s">
        <v>87</v>
      </c>
      <c r="G527" s="12" t="s">
        <v>113</v>
      </c>
      <c r="H527" s="12" t="s">
        <v>657</v>
      </c>
      <c r="I527" s="12" t="s">
        <v>658</v>
      </c>
      <c r="J527" s="11" t="s">
        <v>659</v>
      </c>
      <c r="K527" s="11" t="s">
        <v>659</v>
      </c>
      <c r="L527" s="11" t="s">
        <v>1197</v>
      </c>
      <c r="M527" s="11" t="s">
        <v>660</v>
      </c>
      <c r="N527" s="58">
        <v>480</v>
      </c>
      <c r="O527" s="59"/>
      <c r="P527" s="12">
        <v>1640062</v>
      </c>
      <c r="Q527" s="12" t="s">
        <v>4</v>
      </c>
      <c r="R527" s="12" t="s">
        <v>13</v>
      </c>
      <c r="S527" s="12" t="s">
        <v>25</v>
      </c>
      <c r="T527" s="12">
        <v>0</v>
      </c>
      <c r="U527" s="13"/>
      <c r="V527" s="12" t="s">
        <v>92</v>
      </c>
      <c r="W527" s="12" t="s">
        <v>92</v>
      </c>
      <c r="X527" s="12" t="s">
        <v>93</v>
      </c>
      <c r="Y527" s="13"/>
      <c r="Z527" s="75"/>
      <c r="AA527" s="24"/>
      <c r="AC527" s="24"/>
      <c r="AD527" s="24"/>
      <c r="AE527" s="24"/>
      <c r="AF527" s="24"/>
      <c r="AG527" s="24"/>
      <c r="AH527" s="24"/>
      <c r="AI527" s="24"/>
    </row>
    <row r="528" spans="1:35" hidden="1" x14ac:dyDescent="0.3">
      <c r="A528" s="12" t="s">
        <v>85</v>
      </c>
      <c r="B528" s="12">
        <v>37023</v>
      </c>
      <c r="C528" s="11" t="s">
        <v>656</v>
      </c>
      <c r="D528" s="12" t="s">
        <v>1</v>
      </c>
      <c r="E528" s="12" t="s">
        <v>1185</v>
      </c>
      <c r="F528" s="12" t="s">
        <v>87</v>
      </c>
      <c r="G528" s="12" t="s">
        <v>113</v>
      </c>
      <c r="H528" s="12" t="s">
        <v>657</v>
      </c>
      <c r="I528" s="12" t="s">
        <v>658</v>
      </c>
      <c r="J528" s="11" t="s">
        <v>659</v>
      </c>
      <c r="K528" s="11" t="s">
        <v>659</v>
      </c>
      <c r="L528" s="11" t="s">
        <v>1197</v>
      </c>
      <c r="M528" s="11" t="s">
        <v>660</v>
      </c>
      <c r="N528" s="58">
        <v>600</v>
      </c>
      <c r="O528" s="59"/>
      <c r="P528" s="12">
        <v>1640062</v>
      </c>
      <c r="Q528" s="12" t="s">
        <v>4</v>
      </c>
      <c r="R528" s="12" t="s">
        <v>13</v>
      </c>
      <c r="S528" s="12" t="s">
        <v>25</v>
      </c>
      <c r="T528" s="12">
        <v>0</v>
      </c>
      <c r="U528" s="13"/>
      <c r="V528" s="12" t="s">
        <v>92</v>
      </c>
      <c r="W528" s="12" t="s">
        <v>92</v>
      </c>
      <c r="X528" s="12" t="s">
        <v>93</v>
      </c>
      <c r="Y528" s="13"/>
      <c r="Z528" s="75"/>
      <c r="AA528" s="24"/>
      <c r="AC528" s="24"/>
      <c r="AD528" s="24"/>
      <c r="AE528" s="24"/>
      <c r="AF528" s="24"/>
      <c r="AG528" s="24"/>
      <c r="AH528" s="24"/>
      <c r="AI528" s="24"/>
    </row>
    <row r="529" spans="1:35" hidden="1" x14ac:dyDescent="0.3">
      <c r="A529" s="12" t="s">
        <v>85</v>
      </c>
      <c r="B529" s="12">
        <v>37024</v>
      </c>
      <c r="C529" s="11" t="s">
        <v>656</v>
      </c>
      <c r="D529" s="12" t="s">
        <v>1</v>
      </c>
      <c r="E529" s="12" t="s">
        <v>1185</v>
      </c>
      <c r="F529" s="12" t="s">
        <v>87</v>
      </c>
      <c r="G529" s="12" t="s">
        <v>113</v>
      </c>
      <c r="H529" s="12" t="s">
        <v>657</v>
      </c>
      <c r="I529" s="12" t="s">
        <v>658</v>
      </c>
      <c r="J529" s="11" t="s">
        <v>659</v>
      </c>
      <c r="K529" s="11" t="s">
        <v>659</v>
      </c>
      <c r="L529" s="11" t="s">
        <v>1197</v>
      </c>
      <c r="M529" s="11" t="s">
        <v>660</v>
      </c>
      <c r="N529" s="58">
        <v>600</v>
      </c>
      <c r="O529" s="59"/>
      <c r="P529" s="12">
        <v>1640062</v>
      </c>
      <c r="Q529" s="12" t="s">
        <v>4</v>
      </c>
      <c r="R529" s="12" t="s">
        <v>13</v>
      </c>
      <c r="S529" s="12" t="s">
        <v>25</v>
      </c>
      <c r="T529" s="12">
        <v>0</v>
      </c>
      <c r="U529" s="13"/>
      <c r="V529" s="12" t="s">
        <v>92</v>
      </c>
      <c r="W529" s="12" t="s">
        <v>92</v>
      </c>
      <c r="X529" s="12" t="s">
        <v>93</v>
      </c>
      <c r="Y529" s="13"/>
      <c r="Z529" s="75"/>
      <c r="AA529" s="24"/>
      <c r="AC529" s="24"/>
      <c r="AD529" s="24"/>
      <c r="AE529" s="24"/>
      <c r="AF529" s="24"/>
      <c r="AG529" s="24"/>
      <c r="AH529" s="24"/>
      <c r="AI529" s="24"/>
    </row>
    <row r="530" spans="1:35" hidden="1" x14ac:dyDescent="0.3">
      <c r="A530" s="12" t="s">
        <v>85</v>
      </c>
      <c r="B530" s="12">
        <v>37025</v>
      </c>
      <c r="C530" s="11" t="s">
        <v>656</v>
      </c>
      <c r="D530" s="12" t="s">
        <v>1</v>
      </c>
      <c r="E530" s="12" t="s">
        <v>1185</v>
      </c>
      <c r="F530" s="12" t="s">
        <v>87</v>
      </c>
      <c r="G530" s="12" t="s">
        <v>113</v>
      </c>
      <c r="H530" s="12" t="s">
        <v>657</v>
      </c>
      <c r="I530" s="12" t="s">
        <v>658</v>
      </c>
      <c r="J530" s="11" t="s">
        <v>659</v>
      </c>
      <c r="K530" s="11" t="s">
        <v>659</v>
      </c>
      <c r="L530" s="11" t="s">
        <v>1197</v>
      </c>
      <c r="M530" s="11" t="s">
        <v>660</v>
      </c>
      <c r="N530" s="57">
        <v>2150</v>
      </c>
      <c r="O530" s="59"/>
      <c r="P530" s="12">
        <v>1640062</v>
      </c>
      <c r="Q530" s="12" t="s">
        <v>4</v>
      </c>
      <c r="R530" s="12" t="s">
        <v>13</v>
      </c>
      <c r="S530" s="12" t="s">
        <v>25</v>
      </c>
      <c r="T530" s="12">
        <v>0</v>
      </c>
      <c r="U530" s="13"/>
      <c r="V530" s="12" t="s">
        <v>92</v>
      </c>
      <c r="W530" s="12" t="s">
        <v>92</v>
      </c>
      <c r="X530" s="12" t="s">
        <v>93</v>
      </c>
      <c r="Y530" s="13"/>
      <c r="Z530" s="75"/>
      <c r="AA530" s="24"/>
      <c r="AC530" s="24"/>
      <c r="AD530" s="24"/>
      <c r="AE530" s="24"/>
      <c r="AF530" s="24"/>
      <c r="AG530" s="24"/>
      <c r="AH530" s="24"/>
      <c r="AI530" s="24"/>
    </row>
    <row r="531" spans="1:35" hidden="1" x14ac:dyDescent="0.3">
      <c r="A531" s="12" t="s">
        <v>85</v>
      </c>
      <c r="B531" s="12">
        <v>37550</v>
      </c>
      <c r="C531" s="11" t="s">
        <v>295</v>
      </c>
      <c r="D531" s="12" t="s">
        <v>1</v>
      </c>
      <c r="E531" s="12" t="s">
        <v>1185</v>
      </c>
      <c r="F531" s="12" t="s">
        <v>87</v>
      </c>
      <c r="G531" s="12" t="s">
        <v>113</v>
      </c>
      <c r="H531" s="12" t="s">
        <v>296</v>
      </c>
      <c r="I531" s="12" t="s">
        <v>89</v>
      </c>
      <c r="J531" s="11" t="s">
        <v>661</v>
      </c>
      <c r="K531" s="11" t="s">
        <v>661</v>
      </c>
      <c r="L531" s="11" t="s">
        <v>1194</v>
      </c>
      <c r="M531" s="11" t="s">
        <v>662</v>
      </c>
      <c r="N531" s="58">
        <v>1484.4</v>
      </c>
      <c r="O531" s="59"/>
      <c r="P531" s="12" t="s">
        <v>663</v>
      </c>
      <c r="Q531" s="12" t="s">
        <v>4</v>
      </c>
      <c r="R531" s="12" t="s">
        <v>15</v>
      </c>
      <c r="S531" s="12" t="s">
        <v>40</v>
      </c>
      <c r="T531" s="12">
        <v>1</v>
      </c>
      <c r="U531" s="13">
        <v>43814</v>
      </c>
      <c r="V531" s="12" t="s">
        <v>664</v>
      </c>
      <c r="W531" s="12" t="s">
        <v>92</v>
      </c>
      <c r="X531" s="12" t="s">
        <v>93</v>
      </c>
      <c r="Y531" s="13"/>
      <c r="Z531" s="75"/>
      <c r="AA531" s="24"/>
      <c r="AC531" s="24"/>
      <c r="AD531" s="24"/>
      <c r="AE531" s="24"/>
      <c r="AF531" s="24"/>
      <c r="AG531" s="24"/>
      <c r="AH531" s="24"/>
      <c r="AI531" s="24"/>
    </row>
    <row r="532" spans="1:35" hidden="1" x14ac:dyDescent="0.3">
      <c r="A532" s="12" t="s">
        <v>85</v>
      </c>
      <c r="B532" s="12">
        <v>37551</v>
      </c>
      <c r="C532" s="11" t="s">
        <v>295</v>
      </c>
      <c r="D532" s="12" t="s">
        <v>1</v>
      </c>
      <c r="E532" s="12" t="s">
        <v>1185</v>
      </c>
      <c r="F532" s="12" t="s">
        <v>87</v>
      </c>
      <c r="G532" s="12" t="s">
        <v>113</v>
      </c>
      <c r="H532" s="12" t="s">
        <v>296</v>
      </c>
      <c r="I532" s="12" t="s">
        <v>89</v>
      </c>
      <c r="J532" s="11" t="s">
        <v>661</v>
      </c>
      <c r="K532" s="11" t="s">
        <v>661</v>
      </c>
      <c r="L532" s="11" t="s">
        <v>1194</v>
      </c>
      <c r="M532" s="11" t="s">
        <v>662</v>
      </c>
      <c r="N532" s="58">
        <v>294.5</v>
      </c>
      <c r="O532" s="59"/>
      <c r="P532" s="12" t="s">
        <v>665</v>
      </c>
      <c r="Q532" s="12" t="s">
        <v>4</v>
      </c>
      <c r="R532" s="12" t="s">
        <v>15</v>
      </c>
      <c r="S532" s="12" t="s">
        <v>40</v>
      </c>
      <c r="T532" s="12">
        <v>0</v>
      </c>
      <c r="U532" s="13"/>
      <c r="V532" s="12" t="s">
        <v>92</v>
      </c>
      <c r="W532" s="12" t="s">
        <v>92</v>
      </c>
      <c r="X532" s="12" t="s">
        <v>105</v>
      </c>
      <c r="Y532" s="13"/>
      <c r="Z532" s="75"/>
      <c r="AA532" s="24"/>
      <c r="AC532" s="24"/>
      <c r="AD532" s="24"/>
      <c r="AE532" s="24"/>
      <c r="AF532" s="24"/>
      <c r="AG532" s="24"/>
      <c r="AH532" s="24"/>
      <c r="AI532" s="24"/>
    </row>
    <row r="533" spans="1:35" hidden="1" x14ac:dyDescent="0.3">
      <c r="A533" s="12" t="s">
        <v>85</v>
      </c>
      <c r="B533" s="12">
        <v>37552</v>
      </c>
      <c r="C533" s="11" t="s">
        <v>295</v>
      </c>
      <c r="D533" s="12" t="s">
        <v>1</v>
      </c>
      <c r="E533" s="12" t="s">
        <v>1185</v>
      </c>
      <c r="F533" s="12" t="s">
        <v>87</v>
      </c>
      <c r="G533" s="12" t="s">
        <v>113</v>
      </c>
      <c r="H533" s="12" t="s">
        <v>296</v>
      </c>
      <c r="I533" s="12" t="s">
        <v>89</v>
      </c>
      <c r="J533" s="11" t="s">
        <v>661</v>
      </c>
      <c r="K533" s="11" t="s">
        <v>661</v>
      </c>
      <c r="L533" s="11" t="s">
        <v>1194</v>
      </c>
      <c r="M533" s="11" t="s">
        <v>662</v>
      </c>
      <c r="N533" s="58">
        <v>263.5</v>
      </c>
      <c r="O533" s="59"/>
      <c r="P533" s="12" t="s">
        <v>666</v>
      </c>
      <c r="Q533" s="12" t="s">
        <v>4</v>
      </c>
      <c r="R533" s="12" t="s">
        <v>15</v>
      </c>
      <c r="S533" s="12" t="s">
        <v>40</v>
      </c>
      <c r="T533" s="12">
        <v>0</v>
      </c>
      <c r="U533" s="13"/>
      <c r="V533" s="12" t="s">
        <v>92</v>
      </c>
      <c r="W533" s="12" t="s">
        <v>92</v>
      </c>
      <c r="X533" s="12" t="s">
        <v>105</v>
      </c>
      <c r="Y533" s="13"/>
      <c r="Z533" s="75"/>
      <c r="AA533" s="24"/>
      <c r="AC533" s="24"/>
      <c r="AD533" s="24"/>
      <c r="AE533" s="24"/>
      <c r="AF533" s="24"/>
      <c r="AG533" s="24"/>
      <c r="AH533" s="24"/>
      <c r="AI533" s="24"/>
    </row>
    <row r="534" spans="1:35" hidden="1" x14ac:dyDescent="0.3">
      <c r="A534" s="12" t="s">
        <v>85</v>
      </c>
      <c r="B534" s="12">
        <v>37553</v>
      </c>
      <c r="C534" s="11" t="s">
        <v>295</v>
      </c>
      <c r="D534" s="12" t="s">
        <v>1</v>
      </c>
      <c r="E534" s="12" t="s">
        <v>1185</v>
      </c>
      <c r="F534" s="12" t="s">
        <v>87</v>
      </c>
      <c r="G534" s="12" t="s">
        <v>113</v>
      </c>
      <c r="H534" s="12" t="s">
        <v>296</v>
      </c>
      <c r="I534" s="12" t="s">
        <v>89</v>
      </c>
      <c r="J534" s="11" t="s">
        <v>661</v>
      </c>
      <c r="K534" s="11" t="s">
        <v>661</v>
      </c>
      <c r="L534" s="11" t="s">
        <v>1194</v>
      </c>
      <c r="M534" s="11" t="s">
        <v>662</v>
      </c>
      <c r="N534" s="58">
        <v>247.5</v>
      </c>
      <c r="O534" s="59"/>
      <c r="P534" s="12" t="s">
        <v>667</v>
      </c>
      <c r="Q534" s="12" t="s">
        <v>4</v>
      </c>
      <c r="R534" s="12" t="s">
        <v>15</v>
      </c>
      <c r="S534" s="12" t="s">
        <v>40</v>
      </c>
      <c r="T534" s="12">
        <v>0</v>
      </c>
      <c r="U534" s="13"/>
      <c r="V534" s="12" t="s">
        <v>92</v>
      </c>
      <c r="W534" s="12" t="s">
        <v>92</v>
      </c>
      <c r="X534" s="12" t="s">
        <v>105</v>
      </c>
      <c r="Y534" s="13"/>
      <c r="Z534" s="75"/>
      <c r="AA534" s="24"/>
      <c r="AC534" s="24"/>
      <c r="AD534" s="24"/>
      <c r="AE534" s="24"/>
      <c r="AF534" s="24"/>
      <c r="AG534" s="24"/>
      <c r="AH534" s="24"/>
      <c r="AI534" s="24"/>
    </row>
    <row r="535" spans="1:35" hidden="1" x14ac:dyDescent="0.3">
      <c r="A535" s="12" t="s">
        <v>85</v>
      </c>
      <c r="B535" s="12">
        <v>37554</v>
      </c>
      <c r="C535" s="11" t="s">
        <v>295</v>
      </c>
      <c r="D535" s="12" t="s">
        <v>1</v>
      </c>
      <c r="E535" s="12" t="s">
        <v>1185</v>
      </c>
      <c r="F535" s="12" t="s">
        <v>87</v>
      </c>
      <c r="G535" s="12" t="s">
        <v>113</v>
      </c>
      <c r="H535" s="12" t="s">
        <v>296</v>
      </c>
      <c r="I535" s="12" t="s">
        <v>89</v>
      </c>
      <c r="J535" s="11" t="s">
        <v>661</v>
      </c>
      <c r="K535" s="11" t="s">
        <v>661</v>
      </c>
      <c r="L535" s="11" t="s">
        <v>1194</v>
      </c>
      <c r="M535" s="11" t="s">
        <v>662</v>
      </c>
      <c r="N535" s="58">
        <v>375</v>
      </c>
      <c r="O535" s="59"/>
      <c r="P535" s="12" t="s">
        <v>668</v>
      </c>
      <c r="Q535" s="12" t="s">
        <v>4</v>
      </c>
      <c r="R535" s="12" t="s">
        <v>15</v>
      </c>
      <c r="S535" s="12" t="s">
        <v>40</v>
      </c>
      <c r="T535" s="12">
        <v>0</v>
      </c>
      <c r="U535" s="13"/>
      <c r="V535" s="12" t="s">
        <v>92</v>
      </c>
      <c r="W535" s="12" t="s">
        <v>92</v>
      </c>
      <c r="X535" s="12" t="s">
        <v>105</v>
      </c>
      <c r="Y535" s="13"/>
      <c r="Z535" s="75"/>
      <c r="AA535" s="24"/>
      <c r="AC535" s="24"/>
      <c r="AD535" s="24"/>
      <c r="AE535" s="24"/>
      <c r="AF535" s="24"/>
      <c r="AG535" s="24"/>
      <c r="AH535" s="24"/>
      <c r="AI535" s="24"/>
    </row>
    <row r="536" spans="1:35" hidden="1" x14ac:dyDescent="0.3">
      <c r="A536" s="12" t="s">
        <v>85</v>
      </c>
      <c r="B536" s="12">
        <v>37756</v>
      </c>
      <c r="C536" s="11" t="s">
        <v>180</v>
      </c>
      <c r="D536" s="12" t="s">
        <v>1</v>
      </c>
      <c r="E536" s="12" t="s">
        <v>1185</v>
      </c>
      <c r="F536" s="12" t="s">
        <v>87</v>
      </c>
      <c r="G536" s="12" t="s">
        <v>113</v>
      </c>
      <c r="H536" s="12" t="s">
        <v>181</v>
      </c>
      <c r="I536" s="12" t="s">
        <v>89</v>
      </c>
      <c r="J536" s="11" t="s">
        <v>1250</v>
      </c>
      <c r="K536" s="11" t="s">
        <v>642</v>
      </c>
      <c r="L536" s="11" t="s">
        <v>1194</v>
      </c>
      <c r="M536" s="11" t="s">
        <v>643</v>
      </c>
      <c r="N536" s="58">
        <v>275</v>
      </c>
      <c r="O536" s="58">
        <v>128.80000000000001</v>
      </c>
      <c r="P536" s="12">
        <v>88007</v>
      </c>
      <c r="Q536" s="12" t="s">
        <v>4</v>
      </c>
      <c r="R536" s="12" t="s">
        <v>13</v>
      </c>
      <c r="S536" s="12" t="s">
        <v>25</v>
      </c>
      <c r="T536" s="12">
        <v>1</v>
      </c>
      <c r="U536" s="13">
        <v>44028</v>
      </c>
      <c r="V536" s="12" t="s">
        <v>94</v>
      </c>
      <c r="W536" s="12" t="s">
        <v>92</v>
      </c>
      <c r="X536" s="12" t="s">
        <v>93</v>
      </c>
      <c r="Y536" s="13"/>
      <c r="Z536" s="75"/>
      <c r="AA536" s="24"/>
      <c r="AC536" s="24"/>
      <c r="AD536" s="24"/>
      <c r="AE536" s="24"/>
      <c r="AF536" s="24"/>
      <c r="AG536" s="24"/>
      <c r="AH536" s="24"/>
      <c r="AI536" s="24"/>
    </row>
    <row r="537" spans="1:35" hidden="1" x14ac:dyDescent="0.3">
      <c r="A537" s="12" t="s">
        <v>85</v>
      </c>
      <c r="B537" s="12">
        <v>38114</v>
      </c>
      <c r="C537" s="11" t="s">
        <v>180</v>
      </c>
      <c r="D537" s="12" t="s">
        <v>1</v>
      </c>
      <c r="E537" s="12" t="s">
        <v>1185</v>
      </c>
      <c r="F537" s="12" t="s">
        <v>87</v>
      </c>
      <c r="G537" s="12" t="s">
        <v>113</v>
      </c>
      <c r="H537" s="12" t="s">
        <v>181</v>
      </c>
      <c r="I537" s="12" t="s">
        <v>89</v>
      </c>
      <c r="J537" s="11" t="s">
        <v>1250</v>
      </c>
      <c r="K537" s="11" t="s">
        <v>642</v>
      </c>
      <c r="L537" s="11" t="s">
        <v>1194</v>
      </c>
      <c r="M537" s="11" t="s">
        <v>643</v>
      </c>
      <c r="N537" s="59">
        <v>329.25</v>
      </c>
      <c r="O537" s="59"/>
      <c r="P537" s="12">
        <v>104337</v>
      </c>
      <c r="Q537" s="12" t="s">
        <v>4</v>
      </c>
      <c r="R537" s="12" t="s">
        <v>13</v>
      </c>
      <c r="S537" s="12" t="s">
        <v>25</v>
      </c>
      <c r="T537" s="12">
        <v>1</v>
      </c>
      <c r="U537" s="13">
        <v>44028</v>
      </c>
      <c r="V537" s="12" t="s">
        <v>94</v>
      </c>
      <c r="W537" s="12" t="s">
        <v>92</v>
      </c>
      <c r="X537" s="12" t="s">
        <v>93</v>
      </c>
      <c r="Y537" s="13"/>
      <c r="Z537" s="75"/>
      <c r="AA537" s="24"/>
      <c r="AC537" s="24"/>
      <c r="AD537" s="24"/>
      <c r="AE537" s="24"/>
      <c r="AF537" s="24"/>
      <c r="AG537" s="24"/>
      <c r="AH537" s="24"/>
      <c r="AI537" s="24"/>
    </row>
    <row r="538" spans="1:35" hidden="1" x14ac:dyDescent="0.3">
      <c r="A538" s="12" t="s">
        <v>85</v>
      </c>
      <c r="B538" s="12">
        <v>40052</v>
      </c>
      <c r="C538" s="11" t="s">
        <v>669</v>
      </c>
      <c r="D538" s="12" t="s">
        <v>1</v>
      </c>
      <c r="E538" s="12" t="s">
        <v>1185</v>
      </c>
      <c r="F538" s="12" t="s">
        <v>113</v>
      </c>
      <c r="G538" s="12" t="s">
        <v>113</v>
      </c>
      <c r="H538" s="12" t="s">
        <v>670</v>
      </c>
      <c r="I538" s="12" t="s">
        <v>115</v>
      </c>
      <c r="J538" s="11" t="s">
        <v>671</v>
      </c>
      <c r="K538" s="11" t="s">
        <v>671</v>
      </c>
      <c r="L538" s="11" t="s">
        <v>1209</v>
      </c>
      <c r="M538" s="11" t="s">
        <v>672</v>
      </c>
      <c r="N538" s="59">
        <v>0</v>
      </c>
      <c r="O538" s="59">
        <v>102.24</v>
      </c>
      <c r="P538" s="12"/>
      <c r="Q538" s="12" t="s">
        <v>4</v>
      </c>
      <c r="R538" s="12" t="s">
        <v>13</v>
      </c>
      <c r="S538" s="12" t="s">
        <v>25</v>
      </c>
      <c r="T538" s="12">
        <v>0</v>
      </c>
      <c r="U538" s="13"/>
      <c r="V538" s="12" t="s">
        <v>92</v>
      </c>
      <c r="W538" s="12" t="s">
        <v>92</v>
      </c>
      <c r="X538" s="12" t="s">
        <v>93</v>
      </c>
      <c r="Y538" s="13"/>
      <c r="Z538" s="75"/>
      <c r="AA538" s="24"/>
      <c r="AC538" s="24"/>
      <c r="AD538" s="24"/>
      <c r="AE538" s="24"/>
      <c r="AF538" s="24"/>
      <c r="AG538" s="24"/>
      <c r="AH538" s="24"/>
      <c r="AI538" s="24"/>
    </row>
    <row r="539" spans="1:35" hidden="1" x14ac:dyDescent="0.3">
      <c r="A539" s="12" t="s">
        <v>85</v>
      </c>
      <c r="B539" s="12">
        <v>40053</v>
      </c>
      <c r="C539" s="11" t="s">
        <v>669</v>
      </c>
      <c r="D539" s="12" t="s">
        <v>1</v>
      </c>
      <c r="E539" s="12" t="s">
        <v>1185</v>
      </c>
      <c r="F539" s="12" t="s">
        <v>113</v>
      </c>
      <c r="G539" s="12" t="s">
        <v>113</v>
      </c>
      <c r="H539" s="12" t="s">
        <v>670</v>
      </c>
      <c r="I539" s="12" t="s">
        <v>115</v>
      </c>
      <c r="J539" s="11" t="s">
        <v>673</v>
      </c>
      <c r="K539" s="11" t="s">
        <v>673</v>
      </c>
      <c r="L539" s="11" t="s">
        <v>1209</v>
      </c>
      <c r="M539" s="11" t="s">
        <v>672</v>
      </c>
      <c r="N539" s="59">
        <v>0</v>
      </c>
      <c r="O539" s="59">
        <v>102.24</v>
      </c>
      <c r="P539" s="12"/>
      <c r="Q539" s="12" t="s">
        <v>4</v>
      </c>
      <c r="R539" s="12" t="s">
        <v>13</v>
      </c>
      <c r="S539" s="12" t="s">
        <v>25</v>
      </c>
      <c r="T539" s="12">
        <v>0</v>
      </c>
      <c r="U539" s="13"/>
      <c r="V539" s="12" t="s">
        <v>92</v>
      </c>
      <c r="W539" s="12" t="s">
        <v>92</v>
      </c>
      <c r="X539" s="12" t="s">
        <v>93</v>
      </c>
      <c r="Y539" s="13"/>
      <c r="Z539" s="75"/>
      <c r="AA539" s="24"/>
      <c r="AC539" s="24"/>
      <c r="AD539" s="24"/>
      <c r="AE539" s="24"/>
      <c r="AF539" s="24"/>
      <c r="AG539" s="24"/>
      <c r="AH539" s="24"/>
      <c r="AI539" s="24"/>
    </row>
    <row r="540" spans="1:35" hidden="1" x14ac:dyDescent="0.3">
      <c r="A540" s="12" t="s">
        <v>85</v>
      </c>
      <c r="B540" s="12">
        <v>56915</v>
      </c>
      <c r="C540" s="11" t="s">
        <v>674</v>
      </c>
      <c r="D540" s="12" t="s">
        <v>1</v>
      </c>
      <c r="E540" s="12" t="s">
        <v>1185</v>
      </c>
      <c r="F540" s="12" t="s">
        <v>113</v>
      </c>
      <c r="G540" s="12" t="s">
        <v>113</v>
      </c>
      <c r="H540" s="12" t="s">
        <v>675</v>
      </c>
      <c r="I540" s="12" t="s">
        <v>115</v>
      </c>
      <c r="J540" s="11" t="s">
        <v>676</v>
      </c>
      <c r="K540" s="11" t="s">
        <v>676</v>
      </c>
      <c r="L540" s="11" t="s">
        <v>1212</v>
      </c>
      <c r="M540" s="11" t="s">
        <v>677</v>
      </c>
      <c r="N540" s="57">
        <v>21300</v>
      </c>
      <c r="O540" s="58">
        <f>84+1377.52+898.38</f>
        <v>2359.9</v>
      </c>
      <c r="P540" s="12" t="s">
        <v>678</v>
      </c>
      <c r="Q540" s="18" t="s">
        <v>12</v>
      </c>
      <c r="R540" s="12" t="s">
        <v>99</v>
      </c>
      <c r="S540" s="12" t="s">
        <v>99</v>
      </c>
      <c r="T540" s="12">
        <v>0</v>
      </c>
      <c r="U540" s="13">
        <v>44362</v>
      </c>
      <c r="V540" s="12" t="s">
        <v>92</v>
      </c>
      <c r="W540" s="12" t="s">
        <v>92</v>
      </c>
      <c r="X540" s="18" t="s">
        <v>105</v>
      </c>
      <c r="Y540" s="13">
        <v>44362</v>
      </c>
      <c r="Z540" s="75"/>
      <c r="AA540" s="24"/>
      <c r="AC540" s="24"/>
      <c r="AD540" s="24"/>
      <c r="AE540" s="24"/>
      <c r="AF540" s="24"/>
      <c r="AG540" s="24"/>
      <c r="AH540" s="24"/>
      <c r="AI540" s="24"/>
    </row>
    <row r="541" spans="1:35" hidden="1" x14ac:dyDescent="0.3">
      <c r="A541" s="12" t="s">
        <v>85</v>
      </c>
      <c r="B541" s="12">
        <v>49260</v>
      </c>
      <c r="C541" s="11" t="s">
        <v>674</v>
      </c>
      <c r="D541" s="12" t="s">
        <v>1</v>
      </c>
      <c r="E541" s="12" t="s">
        <v>1185</v>
      </c>
      <c r="F541" s="12" t="s">
        <v>113</v>
      </c>
      <c r="G541" s="12" t="s">
        <v>87</v>
      </c>
      <c r="H541" s="12" t="s">
        <v>675</v>
      </c>
      <c r="I541" s="12" t="s">
        <v>115</v>
      </c>
      <c r="J541" s="11" t="s">
        <v>679</v>
      </c>
      <c r="K541" s="11" t="s">
        <v>679</v>
      </c>
      <c r="L541" s="11" t="s">
        <v>1195</v>
      </c>
      <c r="M541" s="11" t="s">
        <v>680</v>
      </c>
      <c r="N541" s="57">
        <v>51571.1</v>
      </c>
      <c r="O541" s="59"/>
      <c r="P541" s="12">
        <v>0</v>
      </c>
      <c r="Q541" s="12" t="s">
        <v>4</v>
      </c>
      <c r="R541" s="12" t="s">
        <v>16</v>
      </c>
      <c r="S541" s="12" t="s">
        <v>61</v>
      </c>
      <c r="T541" s="12">
        <v>1</v>
      </c>
      <c r="U541" s="13">
        <v>43753</v>
      </c>
      <c r="V541" s="12" t="s">
        <v>681</v>
      </c>
      <c r="W541" s="12" t="s">
        <v>92</v>
      </c>
      <c r="X541" s="12" t="s">
        <v>93</v>
      </c>
      <c r="Y541" s="13"/>
      <c r="Z541" s="75"/>
      <c r="AA541" s="24"/>
      <c r="AC541" s="24"/>
      <c r="AD541" s="24"/>
      <c r="AE541" s="24"/>
      <c r="AF541" s="24"/>
      <c r="AG541" s="24"/>
      <c r="AH541" s="24"/>
      <c r="AI541" s="24"/>
    </row>
    <row r="542" spans="1:35" hidden="1" x14ac:dyDescent="0.3">
      <c r="A542" s="12" t="s">
        <v>85</v>
      </c>
      <c r="B542" s="12">
        <v>49260</v>
      </c>
      <c r="C542" s="11" t="s">
        <v>674</v>
      </c>
      <c r="D542" s="12" t="s">
        <v>1</v>
      </c>
      <c r="E542" s="12" t="s">
        <v>1185</v>
      </c>
      <c r="F542" s="12" t="s">
        <v>113</v>
      </c>
      <c r="G542" s="12" t="s">
        <v>87</v>
      </c>
      <c r="H542" s="12" t="s">
        <v>675</v>
      </c>
      <c r="I542" s="12" t="s">
        <v>115</v>
      </c>
      <c r="J542" s="11" t="s">
        <v>679</v>
      </c>
      <c r="K542" s="11" t="s">
        <v>679</v>
      </c>
      <c r="L542" s="11" t="s">
        <v>1195</v>
      </c>
      <c r="M542" s="11" t="s">
        <v>680</v>
      </c>
      <c r="N542" s="57">
        <v>51571.1</v>
      </c>
      <c r="O542" s="59"/>
      <c r="P542" s="12">
        <v>0</v>
      </c>
      <c r="Q542" s="12" t="s">
        <v>4</v>
      </c>
      <c r="R542" s="12" t="s">
        <v>16</v>
      </c>
      <c r="S542" s="12" t="s">
        <v>61</v>
      </c>
      <c r="T542" s="12">
        <v>1</v>
      </c>
      <c r="U542" s="13">
        <v>43814</v>
      </c>
      <c r="V542" s="12" t="s">
        <v>552</v>
      </c>
      <c r="W542" s="12" t="s">
        <v>92</v>
      </c>
      <c r="X542" s="12" t="s">
        <v>93</v>
      </c>
      <c r="Y542" s="13"/>
      <c r="Z542" s="75"/>
      <c r="AA542" s="24"/>
      <c r="AC542" s="24"/>
      <c r="AD542" s="24"/>
      <c r="AE542" s="24"/>
      <c r="AF542" s="24"/>
      <c r="AG542" s="24"/>
      <c r="AH542" s="24"/>
      <c r="AI542" s="24"/>
    </row>
    <row r="543" spans="1:35" hidden="1" x14ac:dyDescent="0.3">
      <c r="A543" s="12" t="s">
        <v>85</v>
      </c>
      <c r="B543" s="12">
        <v>49260</v>
      </c>
      <c r="C543" s="11" t="s">
        <v>674</v>
      </c>
      <c r="D543" s="12" t="s">
        <v>1</v>
      </c>
      <c r="E543" s="12" t="s">
        <v>1185</v>
      </c>
      <c r="F543" s="12" t="s">
        <v>113</v>
      </c>
      <c r="G543" s="12" t="s">
        <v>87</v>
      </c>
      <c r="H543" s="12" t="s">
        <v>675</v>
      </c>
      <c r="I543" s="12" t="s">
        <v>115</v>
      </c>
      <c r="J543" s="11" t="s">
        <v>679</v>
      </c>
      <c r="K543" s="11" t="s">
        <v>679</v>
      </c>
      <c r="L543" s="11" t="s">
        <v>1195</v>
      </c>
      <c r="M543" s="11" t="s">
        <v>680</v>
      </c>
      <c r="N543" s="57">
        <v>51571.1</v>
      </c>
      <c r="O543" s="59"/>
      <c r="P543" s="12">
        <v>0</v>
      </c>
      <c r="Q543" s="12" t="s">
        <v>4</v>
      </c>
      <c r="R543" s="12" t="s">
        <v>15</v>
      </c>
      <c r="S543" s="12" t="s">
        <v>57</v>
      </c>
      <c r="T543" s="12">
        <v>1</v>
      </c>
      <c r="U543" s="13">
        <v>43843</v>
      </c>
      <c r="V543" s="12" t="s">
        <v>682</v>
      </c>
      <c r="W543" s="12" t="s">
        <v>92</v>
      </c>
      <c r="X543" s="12" t="s">
        <v>105</v>
      </c>
      <c r="Y543" s="13"/>
      <c r="Z543" s="75"/>
      <c r="AA543" s="24"/>
      <c r="AC543" s="24"/>
      <c r="AD543" s="24"/>
      <c r="AE543" s="24"/>
      <c r="AF543" s="24"/>
      <c r="AG543" s="24"/>
      <c r="AH543" s="24"/>
      <c r="AI543" s="24"/>
    </row>
    <row r="544" spans="1:35" hidden="1" x14ac:dyDescent="0.3">
      <c r="A544" s="12" t="s">
        <v>85</v>
      </c>
      <c r="B544" s="12">
        <v>49260</v>
      </c>
      <c r="C544" s="11" t="s">
        <v>674</v>
      </c>
      <c r="D544" s="12" t="s">
        <v>1</v>
      </c>
      <c r="E544" s="12" t="s">
        <v>1185</v>
      </c>
      <c r="F544" s="12" t="s">
        <v>113</v>
      </c>
      <c r="G544" s="12" t="s">
        <v>87</v>
      </c>
      <c r="H544" s="12" t="s">
        <v>675</v>
      </c>
      <c r="I544" s="12" t="s">
        <v>115</v>
      </c>
      <c r="J544" s="11" t="s">
        <v>679</v>
      </c>
      <c r="K544" s="11" t="s">
        <v>679</v>
      </c>
      <c r="L544" s="11" t="s">
        <v>1195</v>
      </c>
      <c r="M544" s="11" t="s">
        <v>680</v>
      </c>
      <c r="N544" s="57">
        <v>51571.1</v>
      </c>
      <c r="O544" s="59"/>
      <c r="P544" s="12">
        <v>0</v>
      </c>
      <c r="Q544" s="12" t="s">
        <v>4</v>
      </c>
      <c r="R544" s="12" t="s">
        <v>15</v>
      </c>
      <c r="S544" s="12" t="s">
        <v>57</v>
      </c>
      <c r="T544" s="12">
        <v>1</v>
      </c>
      <c r="U544" s="13">
        <v>43847</v>
      </c>
      <c r="V544" s="12" t="s">
        <v>683</v>
      </c>
      <c r="W544" s="12" t="s">
        <v>92</v>
      </c>
      <c r="X544" s="12" t="s">
        <v>105</v>
      </c>
      <c r="Y544" s="13"/>
      <c r="Z544" s="75"/>
      <c r="AA544" s="24"/>
      <c r="AC544" s="24"/>
      <c r="AD544" s="24"/>
      <c r="AE544" s="24"/>
      <c r="AF544" s="24"/>
      <c r="AG544" s="24"/>
      <c r="AH544" s="24"/>
      <c r="AI544" s="24"/>
    </row>
    <row r="545" spans="1:35" hidden="1" x14ac:dyDescent="0.3">
      <c r="A545" s="12" t="s">
        <v>85</v>
      </c>
      <c r="B545" s="12">
        <v>49260</v>
      </c>
      <c r="C545" s="11" t="s">
        <v>674</v>
      </c>
      <c r="D545" s="12" t="s">
        <v>1</v>
      </c>
      <c r="E545" s="12" t="s">
        <v>1185</v>
      </c>
      <c r="F545" s="12" t="s">
        <v>113</v>
      </c>
      <c r="G545" s="12" t="s">
        <v>87</v>
      </c>
      <c r="H545" s="12" t="s">
        <v>675</v>
      </c>
      <c r="I545" s="12" t="s">
        <v>115</v>
      </c>
      <c r="J545" s="11" t="s">
        <v>679</v>
      </c>
      <c r="K545" s="11" t="s">
        <v>679</v>
      </c>
      <c r="L545" s="11" t="s">
        <v>1195</v>
      </c>
      <c r="M545" s="11" t="s">
        <v>680</v>
      </c>
      <c r="N545" s="57">
        <v>51571.1</v>
      </c>
      <c r="O545" s="59"/>
      <c r="P545" s="12">
        <v>0</v>
      </c>
      <c r="Q545" s="12" t="s">
        <v>4</v>
      </c>
      <c r="R545" s="12" t="s">
        <v>15</v>
      </c>
      <c r="S545" s="12" t="s">
        <v>57</v>
      </c>
      <c r="T545" s="12">
        <v>1</v>
      </c>
      <c r="U545" s="13">
        <v>43879</v>
      </c>
      <c r="V545" s="12" t="s">
        <v>684</v>
      </c>
      <c r="W545" s="12" t="s">
        <v>92</v>
      </c>
      <c r="X545" s="12" t="s">
        <v>105</v>
      </c>
      <c r="Y545" s="13"/>
      <c r="Z545" s="75"/>
      <c r="AA545" s="24"/>
      <c r="AC545" s="24"/>
      <c r="AD545" s="24"/>
      <c r="AE545" s="24"/>
      <c r="AF545" s="24"/>
      <c r="AG545" s="24"/>
      <c r="AH545" s="24"/>
      <c r="AI545" s="24"/>
    </row>
    <row r="546" spans="1:35" hidden="1" x14ac:dyDescent="0.3">
      <c r="A546" s="12" t="s">
        <v>85</v>
      </c>
      <c r="B546" s="12">
        <v>49260</v>
      </c>
      <c r="C546" s="11" t="s">
        <v>674</v>
      </c>
      <c r="D546" s="12" t="s">
        <v>1</v>
      </c>
      <c r="E546" s="12" t="s">
        <v>1185</v>
      </c>
      <c r="F546" s="12" t="s">
        <v>113</v>
      </c>
      <c r="G546" s="12" t="s">
        <v>87</v>
      </c>
      <c r="H546" s="12" t="s">
        <v>675</v>
      </c>
      <c r="I546" s="12" t="s">
        <v>115</v>
      </c>
      <c r="J546" s="11" t="s">
        <v>679</v>
      </c>
      <c r="K546" s="11" t="s">
        <v>679</v>
      </c>
      <c r="L546" s="11" t="s">
        <v>1195</v>
      </c>
      <c r="M546" s="11" t="s">
        <v>680</v>
      </c>
      <c r="N546" s="57">
        <v>51571.1</v>
      </c>
      <c r="O546" s="59"/>
      <c r="P546" s="12">
        <v>0</v>
      </c>
      <c r="Q546" s="12" t="s">
        <v>4</v>
      </c>
      <c r="R546" s="12" t="s">
        <v>15</v>
      </c>
      <c r="S546" s="12" t="s">
        <v>57</v>
      </c>
      <c r="T546" s="12">
        <v>1</v>
      </c>
      <c r="U546" s="13">
        <v>43962</v>
      </c>
      <c r="V546" s="12" t="s">
        <v>685</v>
      </c>
      <c r="W546" s="12" t="s">
        <v>92</v>
      </c>
      <c r="X546" s="12" t="s">
        <v>105</v>
      </c>
      <c r="Y546" s="13"/>
      <c r="Z546" s="75"/>
      <c r="AA546" s="24"/>
      <c r="AC546" s="24"/>
      <c r="AD546" s="24"/>
      <c r="AE546" s="24"/>
      <c r="AF546" s="24"/>
      <c r="AG546" s="24"/>
      <c r="AH546" s="24"/>
      <c r="AI546" s="24"/>
    </row>
    <row r="547" spans="1:35" hidden="1" x14ac:dyDescent="0.3">
      <c r="A547" s="12" t="s">
        <v>85</v>
      </c>
      <c r="B547" s="12">
        <v>49260</v>
      </c>
      <c r="C547" s="11" t="s">
        <v>674</v>
      </c>
      <c r="D547" s="12" t="s">
        <v>1</v>
      </c>
      <c r="E547" s="12" t="s">
        <v>1185</v>
      </c>
      <c r="F547" s="12" t="s">
        <v>113</v>
      </c>
      <c r="G547" s="12" t="s">
        <v>87</v>
      </c>
      <c r="H547" s="12" t="s">
        <v>675</v>
      </c>
      <c r="I547" s="12" t="s">
        <v>115</v>
      </c>
      <c r="J547" s="11" t="s">
        <v>679</v>
      </c>
      <c r="K547" s="11" t="s">
        <v>679</v>
      </c>
      <c r="L547" s="11" t="s">
        <v>1195</v>
      </c>
      <c r="M547" s="11" t="s">
        <v>680</v>
      </c>
      <c r="N547" s="57">
        <v>51571.1</v>
      </c>
      <c r="O547" s="59"/>
      <c r="P547" s="12">
        <v>0</v>
      </c>
      <c r="Q547" s="12" t="s">
        <v>4</v>
      </c>
      <c r="R547" s="12" t="s">
        <v>15</v>
      </c>
      <c r="S547" s="12" t="s">
        <v>57</v>
      </c>
      <c r="T547" s="12">
        <v>1</v>
      </c>
      <c r="U547" s="13">
        <v>44027</v>
      </c>
      <c r="V547" s="12" t="s">
        <v>686</v>
      </c>
      <c r="W547" s="12" t="s">
        <v>92</v>
      </c>
      <c r="X547" s="12" t="s">
        <v>105</v>
      </c>
      <c r="Y547" s="13"/>
      <c r="Z547" s="75"/>
      <c r="AA547" s="24"/>
      <c r="AC547" s="24"/>
      <c r="AD547" s="24"/>
      <c r="AE547" s="24"/>
      <c r="AF547" s="24"/>
      <c r="AG547" s="24"/>
      <c r="AH547" s="24"/>
      <c r="AI547" s="24"/>
    </row>
    <row r="548" spans="1:35" hidden="1" x14ac:dyDescent="0.3">
      <c r="A548" s="12" t="s">
        <v>85</v>
      </c>
      <c r="B548" s="12">
        <v>49260</v>
      </c>
      <c r="C548" s="11" t="s">
        <v>674</v>
      </c>
      <c r="D548" s="12" t="s">
        <v>1</v>
      </c>
      <c r="E548" s="12" t="s">
        <v>1185</v>
      </c>
      <c r="F548" s="12" t="s">
        <v>113</v>
      </c>
      <c r="G548" s="12" t="s">
        <v>87</v>
      </c>
      <c r="H548" s="12" t="s">
        <v>675</v>
      </c>
      <c r="I548" s="12" t="s">
        <v>115</v>
      </c>
      <c r="J548" s="11" t="s">
        <v>679</v>
      </c>
      <c r="K548" s="11" t="s">
        <v>679</v>
      </c>
      <c r="L548" s="11" t="s">
        <v>1195</v>
      </c>
      <c r="M548" s="11" t="s">
        <v>680</v>
      </c>
      <c r="N548" s="57">
        <v>51571.1</v>
      </c>
      <c r="O548" s="59"/>
      <c r="P548" s="12">
        <v>0</v>
      </c>
      <c r="Q548" s="12" t="s">
        <v>4</v>
      </c>
      <c r="R548" s="12" t="s">
        <v>15</v>
      </c>
      <c r="S548" s="12" t="s">
        <v>57</v>
      </c>
      <c r="T548" s="12">
        <v>1</v>
      </c>
      <c r="U548" s="13">
        <v>44039</v>
      </c>
      <c r="V548" s="12" t="s">
        <v>687</v>
      </c>
      <c r="W548" s="12" t="s">
        <v>92</v>
      </c>
      <c r="X548" s="12" t="s">
        <v>105</v>
      </c>
      <c r="Y548" s="13"/>
      <c r="Z548" s="75"/>
      <c r="AA548" s="24"/>
      <c r="AC548" s="24"/>
      <c r="AD548" s="24"/>
      <c r="AE548" s="24"/>
      <c r="AF548" s="24"/>
      <c r="AG548" s="24"/>
      <c r="AH548" s="24"/>
      <c r="AI548" s="24"/>
    </row>
    <row r="549" spans="1:35" hidden="1" x14ac:dyDescent="0.3">
      <c r="A549" s="12" t="s">
        <v>85</v>
      </c>
      <c r="B549" s="12">
        <v>49260</v>
      </c>
      <c r="C549" s="11" t="s">
        <v>674</v>
      </c>
      <c r="D549" s="12" t="s">
        <v>1</v>
      </c>
      <c r="E549" s="12" t="s">
        <v>1185</v>
      </c>
      <c r="F549" s="15" t="s">
        <v>113</v>
      </c>
      <c r="G549" s="12" t="s">
        <v>87</v>
      </c>
      <c r="H549" s="15" t="s">
        <v>675</v>
      </c>
      <c r="I549" s="15" t="s">
        <v>115</v>
      </c>
      <c r="J549" s="14" t="s">
        <v>679</v>
      </c>
      <c r="K549" s="14" t="s">
        <v>679</v>
      </c>
      <c r="L549" s="11" t="s">
        <v>1195</v>
      </c>
      <c r="M549" s="14" t="s">
        <v>680</v>
      </c>
      <c r="N549" s="57">
        <v>51571.1</v>
      </c>
      <c r="O549" s="59"/>
      <c r="P549" s="15">
        <v>0</v>
      </c>
      <c r="Q549" s="12" t="s">
        <v>4</v>
      </c>
      <c r="R549" s="12" t="s">
        <v>16</v>
      </c>
      <c r="S549" s="12" t="s">
        <v>61</v>
      </c>
      <c r="T549" s="12">
        <v>1</v>
      </c>
      <c r="U549" s="13">
        <v>44152</v>
      </c>
      <c r="V549" s="12" t="s">
        <v>688</v>
      </c>
      <c r="W549" s="12" t="s">
        <v>92</v>
      </c>
      <c r="X549" s="12" t="s">
        <v>93</v>
      </c>
      <c r="Y549" s="13"/>
      <c r="Z549" s="75"/>
      <c r="AA549" s="24"/>
      <c r="AC549" s="24"/>
      <c r="AD549" s="24"/>
      <c r="AE549" s="24"/>
      <c r="AF549" s="24"/>
      <c r="AG549" s="24"/>
      <c r="AH549" s="24"/>
      <c r="AI549" s="24"/>
    </row>
    <row r="550" spans="1:35" hidden="1" x14ac:dyDescent="0.3">
      <c r="A550" s="12" t="s">
        <v>85</v>
      </c>
      <c r="B550" s="12">
        <v>43247</v>
      </c>
      <c r="C550" s="11" t="s">
        <v>674</v>
      </c>
      <c r="D550" s="12" t="s">
        <v>1</v>
      </c>
      <c r="E550" s="12" t="s">
        <v>1185</v>
      </c>
      <c r="F550" s="12" t="s">
        <v>113</v>
      </c>
      <c r="G550" s="12" t="s">
        <v>113</v>
      </c>
      <c r="H550" s="12" t="s">
        <v>675</v>
      </c>
      <c r="I550" s="12" t="s">
        <v>115</v>
      </c>
      <c r="J550" s="11" t="s">
        <v>689</v>
      </c>
      <c r="K550" s="11" t="s">
        <v>689</v>
      </c>
      <c r="L550" s="11" t="s">
        <v>1194</v>
      </c>
      <c r="M550" s="11" t="s">
        <v>690</v>
      </c>
      <c r="N550" s="58">
        <v>1092</v>
      </c>
      <c r="O550" s="60">
        <v>676</v>
      </c>
      <c r="P550" s="12" t="s">
        <v>691</v>
      </c>
      <c r="Q550" s="12" t="s">
        <v>4</v>
      </c>
      <c r="R550" s="12" t="s">
        <v>13</v>
      </c>
      <c r="S550" s="12" t="s">
        <v>25</v>
      </c>
      <c r="T550" s="12">
        <v>0</v>
      </c>
      <c r="U550" s="13"/>
      <c r="V550" s="12" t="s">
        <v>92</v>
      </c>
      <c r="W550" s="12" t="s">
        <v>92</v>
      </c>
      <c r="X550" s="12" t="s">
        <v>93</v>
      </c>
      <c r="Y550" s="13"/>
      <c r="Z550" s="75"/>
      <c r="AA550" s="24"/>
      <c r="AC550" s="24"/>
      <c r="AD550" s="24"/>
      <c r="AE550" s="24"/>
      <c r="AF550" s="24"/>
      <c r="AG550" s="24"/>
      <c r="AH550" s="24"/>
      <c r="AI550" s="24"/>
    </row>
    <row r="551" spans="1:35" hidden="1" x14ac:dyDescent="0.3">
      <c r="A551" s="12" t="s">
        <v>85</v>
      </c>
      <c r="B551" s="12">
        <v>40125</v>
      </c>
      <c r="C551" s="11" t="s">
        <v>674</v>
      </c>
      <c r="D551" s="12" t="s">
        <v>1</v>
      </c>
      <c r="E551" s="12" t="s">
        <v>1185</v>
      </c>
      <c r="F551" s="12" t="s">
        <v>113</v>
      </c>
      <c r="G551" s="12" t="s">
        <v>87</v>
      </c>
      <c r="H551" s="12" t="s">
        <v>675</v>
      </c>
      <c r="I551" s="12" t="s">
        <v>115</v>
      </c>
      <c r="J551" s="11" t="s">
        <v>679</v>
      </c>
      <c r="K551" s="11" t="s">
        <v>679</v>
      </c>
      <c r="L551" s="11" t="s">
        <v>1195</v>
      </c>
      <c r="M551" s="11" t="s">
        <v>680</v>
      </c>
      <c r="N551" s="58">
        <f>41624.4-1677.85-1678.71-1464.97</f>
        <v>36802.870000000003</v>
      </c>
      <c r="O551" s="59"/>
      <c r="P551" s="12" t="s">
        <v>91</v>
      </c>
      <c r="Q551" s="12" t="s">
        <v>4</v>
      </c>
      <c r="R551" s="12" t="s">
        <v>16</v>
      </c>
      <c r="S551" s="12" t="s">
        <v>30</v>
      </c>
      <c r="T551" s="12">
        <v>1</v>
      </c>
      <c r="U551" s="13"/>
      <c r="V551" s="12" t="s">
        <v>692</v>
      </c>
      <c r="W551" s="12" t="s">
        <v>92</v>
      </c>
      <c r="X551" s="12" t="s">
        <v>93</v>
      </c>
      <c r="Y551" s="13"/>
      <c r="Z551" s="75"/>
      <c r="AA551" s="24"/>
      <c r="AC551" s="24"/>
      <c r="AD551" s="24"/>
      <c r="AE551" s="24"/>
      <c r="AF551" s="24"/>
      <c r="AG551" s="24"/>
      <c r="AH551" s="24"/>
      <c r="AI551" s="24"/>
    </row>
    <row r="552" spans="1:35" hidden="1" x14ac:dyDescent="0.3">
      <c r="A552" s="12" t="s">
        <v>85</v>
      </c>
      <c r="B552" s="12">
        <v>40125</v>
      </c>
      <c r="C552" s="11" t="s">
        <v>674</v>
      </c>
      <c r="D552" s="12" t="s">
        <v>1</v>
      </c>
      <c r="E552" s="12" t="s">
        <v>1185</v>
      </c>
      <c r="F552" s="12" t="s">
        <v>113</v>
      </c>
      <c r="G552" s="12" t="s">
        <v>87</v>
      </c>
      <c r="H552" s="12" t="s">
        <v>675</v>
      </c>
      <c r="I552" s="12" t="s">
        <v>115</v>
      </c>
      <c r="J552" s="11" t="s">
        <v>679</v>
      </c>
      <c r="K552" s="11" t="s">
        <v>679</v>
      </c>
      <c r="L552" s="11" t="s">
        <v>1195</v>
      </c>
      <c r="M552" s="11" t="s">
        <v>680</v>
      </c>
      <c r="N552" s="58">
        <v>36802.870000000003</v>
      </c>
      <c r="O552" s="59"/>
      <c r="P552" s="12" t="s">
        <v>91</v>
      </c>
      <c r="Q552" s="12" t="s">
        <v>4</v>
      </c>
      <c r="R552" s="12" t="s">
        <v>16</v>
      </c>
      <c r="S552" s="12" t="s">
        <v>30</v>
      </c>
      <c r="T552" s="12">
        <v>1</v>
      </c>
      <c r="U552" s="13">
        <v>43753</v>
      </c>
      <c r="V552" s="12" t="s">
        <v>693</v>
      </c>
      <c r="W552" s="12" t="s">
        <v>92</v>
      </c>
      <c r="X552" s="12" t="s">
        <v>93</v>
      </c>
      <c r="Y552" s="13"/>
      <c r="Z552" s="75"/>
      <c r="AA552" s="24"/>
      <c r="AC552" s="24"/>
      <c r="AD552" s="24"/>
      <c r="AE552" s="24"/>
      <c r="AF552" s="24"/>
      <c r="AG552" s="24"/>
      <c r="AH552" s="24"/>
      <c r="AI552" s="24"/>
    </row>
    <row r="553" spans="1:35" hidden="1" x14ac:dyDescent="0.3">
      <c r="A553" s="12" t="s">
        <v>85</v>
      </c>
      <c r="B553" s="12">
        <v>40452</v>
      </c>
      <c r="C553" s="11" t="s">
        <v>694</v>
      </c>
      <c r="D553" s="12" t="s">
        <v>1</v>
      </c>
      <c r="E553" s="12" t="s">
        <v>1185</v>
      </c>
      <c r="F553" s="12" t="s">
        <v>132</v>
      </c>
      <c r="G553" s="12" t="s">
        <v>132</v>
      </c>
      <c r="H553" s="12" t="s">
        <v>695</v>
      </c>
      <c r="I553" s="12" t="s">
        <v>89</v>
      </c>
      <c r="J553" s="11" t="s">
        <v>1278</v>
      </c>
      <c r="K553" s="11" t="s">
        <v>696</v>
      </c>
      <c r="L553" s="11" t="s">
        <v>1194</v>
      </c>
      <c r="M553" s="11" t="s">
        <v>697</v>
      </c>
      <c r="N553" s="57">
        <v>11700</v>
      </c>
      <c r="O553" s="58">
        <f>4684+164.68</f>
        <v>4848.68</v>
      </c>
      <c r="P553" s="12">
        <v>38768</v>
      </c>
      <c r="Q553" s="12" t="s">
        <v>4</v>
      </c>
      <c r="R553" s="12" t="s">
        <v>15</v>
      </c>
      <c r="S553" s="12" t="s">
        <v>25</v>
      </c>
      <c r="T553" s="12">
        <v>1</v>
      </c>
      <c r="U553" s="13"/>
      <c r="V553" s="95" t="s">
        <v>698</v>
      </c>
      <c r="W553" s="12" t="s">
        <v>92</v>
      </c>
      <c r="X553" s="12" t="s">
        <v>105</v>
      </c>
      <c r="Y553" s="13"/>
      <c r="Z553" s="75"/>
      <c r="AA553" s="24"/>
      <c r="AC553" s="24"/>
      <c r="AD553" s="24"/>
      <c r="AE553" s="24"/>
      <c r="AF553" s="24"/>
      <c r="AG553" s="24"/>
      <c r="AH553" s="24"/>
      <c r="AI553" s="24"/>
    </row>
    <row r="554" spans="1:35" hidden="1" x14ac:dyDescent="0.3">
      <c r="A554" s="12" t="s">
        <v>85</v>
      </c>
      <c r="B554" s="12">
        <v>40754</v>
      </c>
      <c r="C554" s="11" t="s">
        <v>699</v>
      </c>
      <c r="D554" s="12" t="s">
        <v>1</v>
      </c>
      <c r="E554" s="12" t="s">
        <v>1185</v>
      </c>
      <c r="F554" s="12" t="s">
        <v>132</v>
      </c>
      <c r="G554" s="12" t="s">
        <v>132</v>
      </c>
      <c r="H554" s="12" t="s">
        <v>700</v>
      </c>
      <c r="I554" s="12" t="s">
        <v>89</v>
      </c>
      <c r="J554" s="11" t="s">
        <v>696</v>
      </c>
      <c r="K554" s="11" t="s">
        <v>701</v>
      </c>
      <c r="L554" s="11" t="s">
        <v>1217</v>
      </c>
      <c r="M554" s="11" t="s">
        <v>702</v>
      </c>
      <c r="N554" s="60">
        <v>520</v>
      </c>
      <c r="O554" s="59"/>
      <c r="P554" s="12">
        <v>21382</v>
      </c>
      <c r="Q554" s="12" t="s">
        <v>12</v>
      </c>
      <c r="R554" s="12" t="s">
        <v>99</v>
      </c>
      <c r="S554" s="12" t="s">
        <v>99</v>
      </c>
      <c r="T554" s="12">
        <v>0</v>
      </c>
      <c r="U554" s="13"/>
      <c r="V554" s="12" t="s">
        <v>92</v>
      </c>
      <c r="W554" s="12" t="s">
        <v>92</v>
      </c>
      <c r="X554" s="12" t="s">
        <v>105</v>
      </c>
      <c r="Y554" s="13"/>
      <c r="Z554" s="75"/>
      <c r="AA554" s="24"/>
      <c r="AC554" s="24"/>
      <c r="AD554" s="24"/>
      <c r="AE554" s="24"/>
      <c r="AF554" s="24"/>
      <c r="AG554" s="24"/>
      <c r="AH554" s="24"/>
      <c r="AI554" s="24"/>
    </row>
    <row r="555" spans="1:35" hidden="1" x14ac:dyDescent="0.3">
      <c r="A555" s="12" t="s">
        <v>85</v>
      </c>
      <c r="B555" s="12">
        <v>40755</v>
      </c>
      <c r="C555" s="11" t="s">
        <v>699</v>
      </c>
      <c r="D555" s="12" t="s">
        <v>1</v>
      </c>
      <c r="E555" s="12" t="s">
        <v>1185</v>
      </c>
      <c r="F555" s="12" t="s">
        <v>132</v>
      </c>
      <c r="G555" s="12" t="s">
        <v>132</v>
      </c>
      <c r="H555" s="12" t="s">
        <v>700</v>
      </c>
      <c r="I555" s="12" t="s">
        <v>89</v>
      </c>
      <c r="J555" s="11" t="s">
        <v>701</v>
      </c>
      <c r="K555" s="11" t="s">
        <v>701</v>
      </c>
      <c r="L555" s="11" t="s">
        <v>1217</v>
      </c>
      <c r="M555" s="11" t="s">
        <v>702</v>
      </c>
      <c r="N555" s="60">
        <v>520</v>
      </c>
      <c r="O555" s="59"/>
      <c r="P555" s="12">
        <v>21383</v>
      </c>
      <c r="Q555" s="12" t="s">
        <v>12</v>
      </c>
      <c r="R555" s="12" t="s">
        <v>99</v>
      </c>
      <c r="S555" s="12" t="s">
        <v>99</v>
      </c>
      <c r="T555" s="12">
        <v>0</v>
      </c>
      <c r="U555" s="13"/>
      <c r="V555" s="12" t="s">
        <v>92</v>
      </c>
      <c r="W555" s="12" t="s">
        <v>92</v>
      </c>
      <c r="X555" s="12" t="s">
        <v>135</v>
      </c>
      <c r="Y555" s="13"/>
      <c r="Z555" s="75"/>
      <c r="AA555" s="24"/>
      <c r="AC555" s="24"/>
      <c r="AD555" s="24"/>
      <c r="AE555" s="24"/>
      <c r="AF555" s="24"/>
      <c r="AG555" s="24"/>
      <c r="AH555" s="24"/>
      <c r="AI555" s="24"/>
    </row>
    <row r="556" spans="1:35" hidden="1" x14ac:dyDescent="0.3">
      <c r="A556" s="12" t="s">
        <v>85</v>
      </c>
      <c r="B556" s="12">
        <v>40756</v>
      </c>
      <c r="C556" s="11" t="s">
        <v>699</v>
      </c>
      <c r="D556" s="12" t="s">
        <v>1</v>
      </c>
      <c r="E556" s="12" t="s">
        <v>1185</v>
      </c>
      <c r="F556" s="12" t="s">
        <v>132</v>
      </c>
      <c r="G556" s="12" t="s">
        <v>132</v>
      </c>
      <c r="H556" s="12" t="s">
        <v>700</v>
      </c>
      <c r="I556" s="12" t="s">
        <v>89</v>
      </c>
      <c r="J556" s="11" t="s">
        <v>701</v>
      </c>
      <c r="K556" s="11" t="s">
        <v>701</v>
      </c>
      <c r="L556" s="11" t="s">
        <v>1217</v>
      </c>
      <c r="M556" s="11" t="s">
        <v>703</v>
      </c>
      <c r="N556" s="60">
        <v>520</v>
      </c>
      <c r="O556" s="59"/>
      <c r="P556" s="12">
        <v>21384</v>
      </c>
      <c r="Q556" s="12" t="s">
        <v>12</v>
      </c>
      <c r="R556" s="12" t="s">
        <v>99</v>
      </c>
      <c r="S556" s="12" t="s">
        <v>99</v>
      </c>
      <c r="T556" s="12">
        <v>0</v>
      </c>
      <c r="U556" s="13"/>
      <c r="V556" s="12" t="s">
        <v>92</v>
      </c>
      <c r="W556" s="12" t="s">
        <v>92</v>
      </c>
      <c r="X556" s="12" t="s">
        <v>135</v>
      </c>
      <c r="Y556" s="13"/>
      <c r="Z556" s="75"/>
      <c r="AA556" s="24"/>
      <c r="AC556" s="24"/>
      <c r="AD556" s="24"/>
      <c r="AE556" s="24"/>
      <c r="AF556" s="24"/>
      <c r="AG556" s="24"/>
      <c r="AH556" s="24"/>
      <c r="AI556" s="24"/>
    </row>
    <row r="557" spans="1:35" hidden="1" x14ac:dyDescent="0.3">
      <c r="A557" s="12" t="s">
        <v>85</v>
      </c>
      <c r="B557" s="12">
        <v>40757</v>
      </c>
      <c r="C557" s="11" t="s">
        <v>699</v>
      </c>
      <c r="D557" s="12" t="s">
        <v>1</v>
      </c>
      <c r="E557" s="12" t="s">
        <v>1185</v>
      </c>
      <c r="F557" s="12" t="s">
        <v>132</v>
      </c>
      <c r="G557" s="12" t="s">
        <v>132</v>
      </c>
      <c r="H557" s="12" t="s">
        <v>700</v>
      </c>
      <c r="I557" s="12" t="s">
        <v>89</v>
      </c>
      <c r="J557" s="11" t="s">
        <v>701</v>
      </c>
      <c r="K557" s="11" t="s">
        <v>701</v>
      </c>
      <c r="L557" s="11" t="s">
        <v>1217</v>
      </c>
      <c r="M557" s="11" t="s">
        <v>703</v>
      </c>
      <c r="N557" s="60">
        <v>520</v>
      </c>
      <c r="O557" s="59"/>
      <c r="P557" s="12">
        <v>21385</v>
      </c>
      <c r="Q557" s="12" t="s">
        <v>12</v>
      </c>
      <c r="R557" s="12" t="s">
        <v>99</v>
      </c>
      <c r="S557" s="12" t="s">
        <v>99</v>
      </c>
      <c r="T557" s="12">
        <v>0</v>
      </c>
      <c r="U557" s="13"/>
      <c r="V557" s="12" t="s">
        <v>92</v>
      </c>
      <c r="W557" s="12" t="s">
        <v>92</v>
      </c>
      <c r="X557" s="12" t="s">
        <v>135</v>
      </c>
      <c r="Y557" s="13"/>
      <c r="Z557" s="75"/>
      <c r="AA557" s="24"/>
      <c r="AC557" s="24"/>
      <c r="AD557" s="24"/>
      <c r="AE557" s="24"/>
      <c r="AF557" s="24"/>
      <c r="AG557" s="24"/>
      <c r="AH557" s="24"/>
      <c r="AI557" s="24"/>
    </row>
    <row r="558" spans="1:35" hidden="1" x14ac:dyDescent="0.3">
      <c r="A558" s="12" t="s">
        <v>85</v>
      </c>
      <c r="B558" s="12">
        <v>40776</v>
      </c>
      <c r="C558" s="11" t="s">
        <v>694</v>
      </c>
      <c r="D558" s="12" t="s">
        <v>1</v>
      </c>
      <c r="E558" s="12" t="s">
        <v>1185</v>
      </c>
      <c r="F558" s="12" t="s">
        <v>132</v>
      </c>
      <c r="G558" s="12" t="s">
        <v>132</v>
      </c>
      <c r="H558" s="12" t="s">
        <v>695</v>
      </c>
      <c r="I558" s="12" t="s">
        <v>89</v>
      </c>
      <c r="J558" s="11" t="s">
        <v>1278</v>
      </c>
      <c r="K558" s="11" t="s">
        <v>696</v>
      </c>
      <c r="L558" s="11" t="s">
        <v>1194</v>
      </c>
      <c r="M558" s="11" t="s">
        <v>697</v>
      </c>
      <c r="N558" s="57">
        <v>522538.99</v>
      </c>
      <c r="O558" s="59"/>
      <c r="P558" s="12">
        <v>38770</v>
      </c>
      <c r="Q558" s="12" t="s">
        <v>4</v>
      </c>
      <c r="R558" s="12" t="s">
        <v>15</v>
      </c>
      <c r="S558" s="12" t="s">
        <v>58</v>
      </c>
      <c r="T558" s="12">
        <v>1</v>
      </c>
      <c r="U558" s="13"/>
      <c r="V558" s="12" t="s">
        <v>704</v>
      </c>
      <c r="W558" s="12" t="s">
        <v>92</v>
      </c>
      <c r="X558" s="12" t="s">
        <v>105</v>
      </c>
      <c r="Y558" s="13"/>
      <c r="Z558" s="75"/>
      <c r="AA558" s="24"/>
      <c r="AC558" s="24"/>
      <c r="AD558" s="24"/>
      <c r="AE558" s="24"/>
      <c r="AF558" s="24"/>
      <c r="AG558" s="24"/>
      <c r="AH558" s="24"/>
      <c r="AI558" s="24"/>
    </row>
    <row r="559" spans="1:35" hidden="1" x14ac:dyDescent="0.3">
      <c r="A559" s="12" t="s">
        <v>85</v>
      </c>
      <c r="B559" s="12">
        <v>40855</v>
      </c>
      <c r="C559" s="11" t="s">
        <v>652</v>
      </c>
      <c r="D559" s="12" t="s">
        <v>1</v>
      </c>
      <c r="E559" s="12" t="s">
        <v>1185</v>
      </c>
      <c r="F559" s="12" t="s">
        <v>87</v>
      </c>
      <c r="G559" s="12" t="s">
        <v>113</v>
      </c>
      <c r="H559" s="12" t="s">
        <v>653</v>
      </c>
      <c r="I559" s="12" t="s">
        <v>89</v>
      </c>
      <c r="J559" s="11" t="s">
        <v>705</v>
      </c>
      <c r="K559" s="11" t="s">
        <v>705</v>
      </c>
      <c r="L559" s="11" t="s">
        <v>1194</v>
      </c>
      <c r="M559" s="11" t="s">
        <v>706</v>
      </c>
      <c r="N559" s="57">
        <v>12000</v>
      </c>
      <c r="O559" s="59"/>
      <c r="P559" s="12">
        <v>13527</v>
      </c>
      <c r="Q559" s="12" t="s">
        <v>4</v>
      </c>
      <c r="R559" s="12" t="s">
        <v>13</v>
      </c>
      <c r="S559" s="12" t="s">
        <v>25</v>
      </c>
      <c r="T559" s="12">
        <v>1</v>
      </c>
      <c r="U559" s="13"/>
      <c r="V559" s="12" t="s">
        <v>707</v>
      </c>
      <c r="W559" s="12" t="s">
        <v>92</v>
      </c>
      <c r="X559" s="12" t="s">
        <v>93</v>
      </c>
      <c r="Y559" s="13"/>
      <c r="Z559" s="75"/>
      <c r="AA559" s="24"/>
      <c r="AC559" s="24"/>
      <c r="AD559" s="24"/>
      <c r="AE559" s="24"/>
      <c r="AF559" s="24"/>
      <c r="AG559" s="24"/>
      <c r="AH559" s="24"/>
      <c r="AI559" s="24"/>
    </row>
    <row r="560" spans="1:35" hidden="1" x14ac:dyDescent="0.3">
      <c r="A560" s="12" t="s">
        <v>85</v>
      </c>
      <c r="B560" s="12">
        <v>41002</v>
      </c>
      <c r="C560" s="11" t="s">
        <v>694</v>
      </c>
      <c r="D560" s="12" t="s">
        <v>1</v>
      </c>
      <c r="E560" s="12" t="s">
        <v>1185</v>
      </c>
      <c r="F560" s="12" t="s">
        <v>132</v>
      </c>
      <c r="G560" s="12" t="s">
        <v>132</v>
      </c>
      <c r="H560" s="12" t="s">
        <v>695</v>
      </c>
      <c r="I560" s="12" t="s">
        <v>89</v>
      </c>
      <c r="J560" s="11" t="s">
        <v>708</v>
      </c>
      <c r="K560" s="11" t="s">
        <v>708</v>
      </c>
      <c r="L560" s="11" t="s">
        <v>1194</v>
      </c>
      <c r="M560" s="11" t="s">
        <v>709</v>
      </c>
      <c r="N560" s="57">
        <v>578800</v>
      </c>
      <c r="O560" s="59"/>
      <c r="P560" s="12">
        <v>38771</v>
      </c>
      <c r="Q560" s="12" t="s">
        <v>12</v>
      </c>
      <c r="R560" s="12" t="s">
        <v>99</v>
      </c>
      <c r="S560" s="12" t="s">
        <v>99</v>
      </c>
      <c r="T560" s="12">
        <v>0</v>
      </c>
      <c r="U560" s="13"/>
      <c r="V560" s="12" t="s">
        <v>92</v>
      </c>
      <c r="W560" s="12" t="s">
        <v>92</v>
      </c>
      <c r="X560" s="12" t="s">
        <v>135</v>
      </c>
      <c r="Y560" s="13"/>
      <c r="Z560" s="75"/>
      <c r="AA560" s="24"/>
      <c r="AC560" s="24"/>
      <c r="AD560" s="24"/>
      <c r="AE560" s="24"/>
      <c r="AF560" s="24"/>
      <c r="AG560" s="24"/>
      <c r="AH560" s="24"/>
      <c r="AI560" s="24"/>
    </row>
    <row r="561" spans="1:35" hidden="1" x14ac:dyDescent="0.3">
      <c r="A561" s="12" t="s">
        <v>85</v>
      </c>
      <c r="B561" s="12">
        <v>41998</v>
      </c>
      <c r="C561" s="11" t="s">
        <v>333</v>
      </c>
      <c r="D561" s="12" t="s">
        <v>1</v>
      </c>
      <c r="E561" s="12" t="s">
        <v>1185</v>
      </c>
      <c r="F561" s="12" t="s">
        <v>132</v>
      </c>
      <c r="G561" s="12" t="s">
        <v>132</v>
      </c>
      <c r="H561" s="12" t="s">
        <v>334</v>
      </c>
      <c r="I561" s="12" t="s">
        <v>89</v>
      </c>
      <c r="J561" s="11" t="s">
        <v>496</v>
      </c>
      <c r="K561" s="11" t="s">
        <v>496</v>
      </c>
      <c r="L561" s="11" t="s">
        <v>1195</v>
      </c>
      <c r="M561" s="11" t="s">
        <v>497</v>
      </c>
      <c r="N561" s="57">
        <v>5220.59</v>
      </c>
      <c r="O561" s="59"/>
      <c r="P561" s="12" t="s">
        <v>710</v>
      </c>
      <c r="Q561" s="12" t="s">
        <v>12</v>
      </c>
      <c r="R561" s="12" t="s">
        <v>99</v>
      </c>
      <c r="S561" s="12" t="s">
        <v>99</v>
      </c>
      <c r="T561" s="12">
        <v>0</v>
      </c>
      <c r="U561" s="13"/>
      <c r="V561" s="12" t="s">
        <v>92</v>
      </c>
      <c r="W561" s="12" t="s">
        <v>92</v>
      </c>
      <c r="X561" s="12" t="s">
        <v>135</v>
      </c>
      <c r="Y561" s="13"/>
      <c r="Z561" s="75"/>
      <c r="AA561" s="24"/>
      <c r="AC561" s="24"/>
      <c r="AD561" s="24"/>
      <c r="AE561" s="24"/>
      <c r="AF561" s="24"/>
      <c r="AG561" s="24"/>
      <c r="AH561" s="24"/>
      <c r="AI561" s="24"/>
    </row>
    <row r="562" spans="1:35" hidden="1" x14ac:dyDescent="0.3">
      <c r="A562" s="12" t="s">
        <v>85</v>
      </c>
      <c r="B562" s="12">
        <v>42520</v>
      </c>
      <c r="C562" s="11" t="s">
        <v>711</v>
      </c>
      <c r="D562" s="12" t="s">
        <v>1</v>
      </c>
      <c r="E562" s="12" t="s">
        <v>1185</v>
      </c>
      <c r="F562" s="12" t="s">
        <v>87</v>
      </c>
      <c r="G562" s="12" t="s">
        <v>113</v>
      </c>
      <c r="H562" s="12" t="s">
        <v>712</v>
      </c>
      <c r="I562" s="12" t="s">
        <v>713</v>
      </c>
      <c r="J562" s="11" t="s">
        <v>714</v>
      </c>
      <c r="K562" s="11" t="s">
        <v>714</v>
      </c>
      <c r="L562" s="11" t="s">
        <v>1197</v>
      </c>
      <c r="M562" s="11" t="s">
        <v>715</v>
      </c>
      <c r="N562" s="59">
        <v>0</v>
      </c>
      <c r="O562" s="59">
        <v>976.13</v>
      </c>
      <c r="P562" s="12" t="s">
        <v>716</v>
      </c>
      <c r="Q562" s="18" t="s">
        <v>12</v>
      </c>
      <c r="R562" s="12" t="s">
        <v>13</v>
      </c>
      <c r="S562" s="12" t="s">
        <v>25</v>
      </c>
      <c r="T562" s="12">
        <v>1</v>
      </c>
      <c r="U562" s="13">
        <v>44028</v>
      </c>
      <c r="V562" s="12" t="s">
        <v>94</v>
      </c>
      <c r="W562" s="12" t="s">
        <v>92</v>
      </c>
      <c r="X562" s="12" t="s">
        <v>93</v>
      </c>
      <c r="Y562" s="13"/>
      <c r="Z562" s="75"/>
      <c r="AA562" s="24"/>
      <c r="AC562" s="24"/>
      <c r="AD562" s="24"/>
      <c r="AE562" s="24"/>
      <c r="AF562" s="24"/>
      <c r="AG562" s="24"/>
      <c r="AH562" s="24"/>
      <c r="AI562" s="24"/>
    </row>
    <row r="563" spans="1:35" hidden="1" x14ac:dyDescent="0.3">
      <c r="A563" s="12" t="s">
        <v>85</v>
      </c>
      <c r="B563" s="12">
        <v>42613</v>
      </c>
      <c r="C563" s="11" t="s">
        <v>652</v>
      </c>
      <c r="D563" s="12" t="s">
        <v>1</v>
      </c>
      <c r="E563" s="12" t="s">
        <v>1185</v>
      </c>
      <c r="F563" s="12" t="s">
        <v>132</v>
      </c>
      <c r="G563" s="12" t="s">
        <v>132</v>
      </c>
      <c r="H563" s="12" t="s">
        <v>653</v>
      </c>
      <c r="I563" s="12" t="s">
        <v>89</v>
      </c>
      <c r="J563" s="11" t="s">
        <v>654</v>
      </c>
      <c r="K563" s="11" t="s">
        <v>654</v>
      </c>
      <c r="L563" s="11" t="s">
        <v>1194</v>
      </c>
      <c r="M563" s="11" t="s">
        <v>717</v>
      </c>
      <c r="N563" s="57">
        <v>4617.3999999999996</v>
      </c>
      <c r="O563" s="59"/>
      <c r="P563" s="12">
        <v>12368</v>
      </c>
      <c r="Q563" s="12" t="s">
        <v>12</v>
      </c>
      <c r="R563" s="12" t="s">
        <v>99</v>
      </c>
      <c r="S563" s="12" t="s">
        <v>99</v>
      </c>
      <c r="T563" s="12">
        <v>0</v>
      </c>
      <c r="U563" s="13"/>
      <c r="V563" s="12" t="s">
        <v>92</v>
      </c>
      <c r="W563" s="12" t="s">
        <v>92</v>
      </c>
      <c r="X563" s="12" t="s">
        <v>135</v>
      </c>
      <c r="Y563" s="13"/>
      <c r="Z563" s="75"/>
      <c r="AA563" s="24"/>
      <c r="AC563" s="24"/>
      <c r="AD563" s="24"/>
      <c r="AE563" s="24"/>
      <c r="AF563" s="24"/>
      <c r="AG563" s="24"/>
      <c r="AH563" s="24"/>
      <c r="AI563" s="24"/>
    </row>
    <row r="564" spans="1:35" hidden="1" x14ac:dyDescent="0.3">
      <c r="A564" s="12" t="s">
        <v>85</v>
      </c>
      <c r="B564" s="12">
        <v>42914</v>
      </c>
      <c r="C564" s="11" t="s">
        <v>376</v>
      </c>
      <c r="D564" s="12" t="s">
        <v>417</v>
      </c>
      <c r="E564" s="12" t="s">
        <v>1289</v>
      </c>
      <c r="F564" s="12" t="s">
        <v>87</v>
      </c>
      <c r="G564" s="12" t="s">
        <v>87</v>
      </c>
      <c r="H564" s="12" t="s">
        <v>334</v>
      </c>
      <c r="I564" s="12" t="s">
        <v>89</v>
      </c>
      <c r="J564" s="16" t="s">
        <v>679</v>
      </c>
      <c r="K564" s="11" t="s">
        <v>718</v>
      </c>
      <c r="L564" s="11"/>
      <c r="M564" s="11" t="s">
        <v>92</v>
      </c>
      <c r="N564" s="60">
        <v>113.6</v>
      </c>
      <c r="O564" s="59"/>
      <c r="P564" s="12" t="s">
        <v>719</v>
      </c>
      <c r="Q564" s="12" t="s">
        <v>4</v>
      </c>
      <c r="R564" s="12" t="s">
        <v>15</v>
      </c>
      <c r="S564" s="12" t="s">
        <v>39</v>
      </c>
      <c r="T564" s="12">
        <v>1</v>
      </c>
      <c r="U564" s="13">
        <v>43966</v>
      </c>
      <c r="V564" s="12" t="s">
        <v>720</v>
      </c>
      <c r="W564" s="12" t="s">
        <v>92</v>
      </c>
      <c r="X564" s="12" t="s">
        <v>105</v>
      </c>
      <c r="Y564" s="13"/>
      <c r="Z564" s="75"/>
      <c r="AA564" s="24"/>
      <c r="AC564" s="24"/>
      <c r="AD564" s="24"/>
      <c r="AE564" s="24"/>
      <c r="AF564" s="24"/>
      <c r="AG564" s="24"/>
      <c r="AH564" s="24"/>
      <c r="AI564" s="24"/>
    </row>
    <row r="565" spans="1:35" hidden="1" x14ac:dyDescent="0.3">
      <c r="A565" s="12" t="s">
        <v>85</v>
      </c>
      <c r="B565" s="12">
        <v>42914</v>
      </c>
      <c r="C565" s="11" t="s">
        <v>376</v>
      </c>
      <c r="D565" s="12" t="s">
        <v>417</v>
      </c>
      <c r="E565" s="12" t="s">
        <v>1289</v>
      </c>
      <c r="F565" s="12" t="s">
        <v>87</v>
      </c>
      <c r="G565" s="12" t="s">
        <v>87</v>
      </c>
      <c r="H565" s="12" t="s">
        <v>334</v>
      </c>
      <c r="I565" s="12" t="s">
        <v>89</v>
      </c>
      <c r="J565" s="11" t="s">
        <v>679</v>
      </c>
      <c r="K565" s="11" t="s">
        <v>718</v>
      </c>
      <c r="L565" s="11"/>
      <c r="M565" s="11" t="s">
        <v>92</v>
      </c>
      <c r="N565" s="60">
        <v>113.6</v>
      </c>
      <c r="O565" s="59"/>
      <c r="P565" s="12" t="s">
        <v>719</v>
      </c>
      <c r="Q565" s="12" t="s">
        <v>4</v>
      </c>
      <c r="R565" s="12" t="s">
        <v>15</v>
      </c>
      <c r="S565" s="12" t="s">
        <v>39</v>
      </c>
      <c r="T565" s="12">
        <v>1</v>
      </c>
      <c r="U565" s="13">
        <v>43969</v>
      </c>
      <c r="V565" s="12" t="s">
        <v>721</v>
      </c>
      <c r="W565" s="12" t="s">
        <v>92</v>
      </c>
      <c r="X565" s="12" t="s">
        <v>105</v>
      </c>
      <c r="Y565" s="13"/>
      <c r="Z565" s="75"/>
      <c r="AA565" s="24"/>
      <c r="AC565" s="24"/>
      <c r="AD565" s="24"/>
      <c r="AE565" s="24"/>
      <c r="AF565" s="24"/>
      <c r="AG565" s="24"/>
      <c r="AH565" s="24"/>
      <c r="AI565" s="24"/>
    </row>
    <row r="566" spans="1:35" hidden="1" x14ac:dyDescent="0.3">
      <c r="A566" s="12" t="s">
        <v>85</v>
      </c>
      <c r="B566" s="12">
        <v>42914</v>
      </c>
      <c r="C566" s="11" t="s">
        <v>376</v>
      </c>
      <c r="D566" s="12" t="s">
        <v>417</v>
      </c>
      <c r="E566" s="12" t="s">
        <v>1289</v>
      </c>
      <c r="F566" s="12" t="s">
        <v>87</v>
      </c>
      <c r="G566" s="12" t="s">
        <v>87</v>
      </c>
      <c r="H566" s="12" t="s">
        <v>334</v>
      </c>
      <c r="I566" s="12" t="s">
        <v>89</v>
      </c>
      <c r="J566" s="11" t="s">
        <v>679</v>
      </c>
      <c r="K566" s="11" t="s">
        <v>718</v>
      </c>
      <c r="L566" s="11"/>
      <c r="M566" s="11" t="s">
        <v>92</v>
      </c>
      <c r="N566" s="60">
        <v>113.6</v>
      </c>
      <c r="O566" s="59"/>
      <c r="P566" s="12" t="s">
        <v>719</v>
      </c>
      <c r="Q566" s="12" t="s">
        <v>4</v>
      </c>
      <c r="R566" s="12" t="s">
        <v>15</v>
      </c>
      <c r="S566" s="12" t="s">
        <v>39</v>
      </c>
      <c r="T566" s="12">
        <v>1</v>
      </c>
      <c r="U566" s="13">
        <v>43999</v>
      </c>
      <c r="V566" s="12" t="s">
        <v>722</v>
      </c>
      <c r="W566" s="12" t="s">
        <v>92</v>
      </c>
      <c r="X566" s="12" t="s">
        <v>105</v>
      </c>
      <c r="Y566" s="13"/>
      <c r="Z566" s="75"/>
      <c r="AA566" s="24"/>
      <c r="AC566" s="24"/>
      <c r="AD566" s="24"/>
      <c r="AE566" s="24"/>
      <c r="AF566" s="24"/>
      <c r="AG566" s="24"/>
      <c r="AH566" s="24"/>
      <c r="AI566" s="24"/>
    </row>
    <row r="567" spans="1:35" hidden="1" x14ac:dyDescent="0.3">
      <c r="A567" s="12" t="s">
        <v>85</v>
      </c>
      <c r="B567" s="12">
        <v>42914</v>
      </c>
      <c r="C567" s="11" t="s">
        <v>376</v>
      </c>
      <c r="D567" s="12" t="s">
        <v>417</v>
      </c>
      <c r="E567" s="12" t="s">
        <v>1289</v>
      </c>
      <c r="F567" s="12" t="s">
        <v>87</v>
      </c>
      <c r="G567" s="12" t="s">
        <v>87</v>
      </c>
      <c r="H567" s="12" t="s">
        <v>334</v>
      </c>
      <c r="I567" s="12" t="s">
        <v>89</v>
      </c>
      <c r="J567" s="11" t="s">
        <v>679</v>
      </c>
      <c r="K567" s="11" t="s">
        <v>718</v>
      </c>
      <c r="L567" s="11"/>
      <c r="M567" s="11" t="s">
        <v>92</v>
      </c>
      <c r="N567" s="60">
        <v>113.6</v>
      </c>
      <c r="O567" s="59"/>
      <c r="P567" s="12" t="s">
        <v>719</v>
      </c>
      <c r="Q567" s="12" t="s">
        <v>4</v>
      </c>
      <c r="R567" s="12" t="s">
        <v>15</v>
      </c>
      <c r="S567" s="12" t="s">
        <v>39</v>
      </c>
      <c r="T567" s="12">
        <v>1</v>
      </c>
      <c r="U567" s="13">
        <v>44015</v>
      </c>
      <c r="V567" s="12" t="s">
        <v>723</v>
      </c>
      <c r="W567" s="12" t="s">
        <v>92</v>
      </c>
      <c r="X567" s="12" t="s">
        <v>105</v>
      </c>
      <c r="Y567" s="13"/>
      <c r="Z567" s="75"/>
      <c r="AA567" s="24"/>
      <c r="AC567" s="24"/>
      <c r="AD567" s="24"/>
      <c r="AE567" s="24"/>
      <c r="AF567" s="24"/>
      <c r="AG567" s="24"/>
      <c r="AH567" s="24"/>
      <c r="AI567" s="24"/>
    </row>
    <row r="568" spans="1:35" hidden="1" x14ac:dyDescent="0.3">
      <c r="A568" s="12" t="s">
        <v>85</v>
      </c>
      <c r="B568" s="12">
        <v>40125</v>
      </c>
      <c r="C568" s="11" t="s">
        <v>674</v>
      </c>
      <c r="D568" s="12" t="s">
        <v>1</v>
      </c>
      <c r="E568" s="12" t="s">
        <v>1185</v>
      </c>
      <c r="F568" s="12" t="s">
        <v>113</v>
      </c>
      <c r="G568" s="12" t="s">
        <v>87</v>
      </c>
      <c r="H568" s="12" t="s">
        <v>675</v>
      </c>
      <c r="I568" s="12" t="s">
        <v>115</v>
      </c>
      <c r="J568" s="14" t="s">
        <v>679</v>
      </c>
      <c r="K568" s="11" t="s">
        <v>679</v>
      </c>
      <c r="L568" s="11" t="s">
        <v>1195</v>
      </c>
      <c r="M568" s="11" t="s">
        <v>680</v>
      </c>
      <c r="N568" s="58">
        <v>36802.870000000003</v>
      </c>
      <c r="O568" s="59"/>
      <c r="P568" s="12" t="s">
        <v>91</v>
      </c>
      <c r="Q568" s="12" t="s">
        <v>4</v>
      </c>
      <c r="R568" s="12" t="s">
        <v>16</v>
      </c>
      <c r="S568" s="12" t="s">
        <v>30</v>
      </c>
      <c r="T568" s="12">
        <v>1</v>
      </c>
      <c r="U568" s="13">
        <v>43814</v>
      </c>
      <c r="V568" s="12" t="s">
        <v>724</v>
      </c>
      <c r="W568" s="12" t="s">
        <v>92</v>
      </c>
      <c r="X568" s="12" t="s">
        <v>93</v>
      </c>
      <c r="Y568" s="13"/>
      <c r="Z568" s="75"/>
      <c r="AA568" s="24"/>
      <c r="AC568" s="24"/>
      <c r="AD568" s="24"/>
      <c r="AE568" s="24"/>
      <c r="AF568" s="24"/>
      <c r="AG568" s="24"/>
      <c r="AH568" s="24"/>
      <c r="AI568" s="24"/>
    </row>
    <row r="569" spans="1:35" hidden="1" x14ac:dyDescent="0.3">
      <c r="A569" s="12" t="s">
        <v>85</v>
      </c>
      <c r="B569" s="12">
        <v>43780</v>
      </c>
      <c r="C569" s="11" t="s">
        <v>136</v>
      </c>
      <c r="D569" s="12" t="s">
        <v>417</v>
      </c>
      <c r="E569" s="12" t="s">
        <v>1180</v>
      </c>
      <c r="F569" s="12" t="s">
        <v>132</v>
      </c>
      <c r="G569" s="12" t="s">
        <v>1188</v>
      </c>
      <c r="H569" s="12" t="s">
        <v>137</v>
      </c>
      <c r="I569" s="12" t="s">
        <v>89</v>
      </c>
      <c r="J569" s="11" t="s">
        <v>725</v>
      </c>
      <c r="K569" s="11" t="s">
        <v>725</v>
      </c>
      <c r="L569" s="11"/>
      <c r="M569" s="11" t="s">
        <v>92</v>
      </c>
      <c r="N569" s="58">
        <v>100</v>
      </c>
      <c r="O569" s="59"/>
      <c r="P569" s="12"/>
      <c r="Q569" s="12" t="s">
        <v>4</v>
      </c>
      <c r="R569" s="12" t="s">
        <v>15</v>
      </c>
      <c r="S569" s="12" t="s">
        <v>25</v>
      </c>
      <c r="T569" s="12">
        <v>1</v>
      </c>
      <c r="U569" s="13">
        <v>44005</v>
      </c>
      <c r="V569" s="12" t="s">
        <v>627</v>
      </c>
      <c r="W569" s="12" t="s">
        <v>92</v>
      </c>
      <c r="X569" s="12" t="s">
        <v>105</v>
      </c>
      <c r="Y569" s="13"/>
      <c r="Z569" s="75"/>
      <c r="AA569" s="24"/>
      <c r="AC569" s="24"/>
      <c r="AD569" s="24"/>
      <c r="AE569" s="24"/>
      <c r="AF569" s="24"/>
      <c r="AG569" s="24"/>
      <c r="AH569" s="24"/>
      <c r="AI569" s="24"/>
    </row>
    <row r="570" spans="1:35" hidden="1" x14ac:dyDescent="0.3">
      <c r="A570" s="12" t="s">
        <v>85</v>
      </c>
      <c r="B570" s="12">
        <v>43780</v>
      </c>
      <c r="C570" s="11" t="s">
        <v>136</v>
      </c>
      <c r="D570" s="12" t="s">
        <v>417</v>
      </c>
      <c r="E570" s="12" t="s">
        <v>1180</v>
      </c>
      <c r="F570" s="12" t="s">
        <v>132</v>
      </c>
      <c r="G570" s="12" t="s">
        <v>1188</v>
      </c>
      <c r="H570" s="12" t="s">
        <v>137</v>
      </c>
      <c r="I570" s="12" t="s">
        <v>89</v>
      </c>
      <c r="J570" s="11" t="s">
        <v>725</v>
      </c>
      <c r="K570" s="11" t="s">
        <v>725</v>
      </c>
      <c r="L570" s="11"/>
      <c r="M570" s="11" t="s">
        <v>92</v>
      </c>
      <c r="N570" s="58">
        <v>100</v>
      </c>
      <c r="O570" s="59"/>
      <c r="P570" s="12"/>
      <c r="Q570" s="12" t="s">
        <v>4</v>
      </c>
      <c r="R570" s="12" t="s">
        <v>15</v>
      </c>
      <c r="S570" s="12" t="s">
        <v>25</v>
      </c>
      <c r="T570" s="12">
        <v>1</v>
      </c>
      <c r="U570" s="13">
        <v>44027</v>
      </c>
      <c r="V570" s="12" t="s">
        <v>629</v>
      </c>
      <c r="W570" s="12" t="s">
        <v>92</v>
      </c>
      <c r="X570" s="12" t="s">
        <v>105</v>
      </c>
      <c r="Y570" s="13"/>
      <c r="Z570" s="75"/>
      <c r="AA570" s="24"/>
      <c r="AC570" s="24"/>
      <c r="AD570" s="24"/>
      <c r="AE570" s="24"/>
      <c r="AF570" s="24"/>
      <c r="AG570" s="24"/>
      <c r="AH570" s="24"/>
      <c r="AI570" s="24"/>
    </row>
    <row r="571" spans="1:35" hidden="1" x14ac:dyDescent="0.3">
      <c r="A571" s="12" t="s">
        <v>85</v>
      </c>
      <c r="B571" s="12">
        <v>43994</v>
      </c>
      <c r="C571" s="11" t="s">
        <v>726</v>
      </c>
      <c r="D571" s="12" t="s">
        <v>1</v>
      </c>
      <c r="E571" s="12" t="s">
        <v>1185</v>
      </c>
      <c r="F571" s="12" t="s">
        <v>132</v>
      </c>
      <c r="G571" s="12" t="s">
        <v>113</v>
      </c>
      <c r="H571" s="12" t="s">
        <v>533</v>
      </c>
      <c r="I571" s="12" t="s">
        <v>89</v>
      </c>
      <c r="J571" s="11" t="s">
        <v>1240</v>
      </c>
      <c r="K571" s="11" t="s">
        <v>1240</v>
      </c>
      <c r="L571" s="11" t="s">
        <v>1212</v>
      </c>
      <c r="M571" s="11" t="s">
        <v>727</v>
      </c>
      <c r="N571" s="57">
        <f>90370-13999.6</f>
        <v>76370.399999999994</v>
      </c>
      <c r="O571" s="59"/>
      <c r="P571" s="12" t="s">
        <v>728</v>
      </c>
      <c r="Q571" s="12" t="s">
        <v>4</v>
      </c>
      <c r="R571" s="12" t="s">
        <v>13</v>
      </c>
      <c r="S571" s="12" t="s">
        <v>25</v>
      </c>
      <c r="T571" s="12">
        <v>0</v>
      </c>
      <c r="U571" s="13"/>
      <c r="V571" s="12" t="s">
        <v>92</v>
      </c>
      <c r="W571" s="12" t="s">
        <v>92</v>
      </c>
      <c r="X571" s="12" t="s">
        <v>93</v>
      </c>
      <c r="Y571" s="13"/>
      <c r="Z571" s="75"/>
      <c r="AA571" s="24"/>
      <c r="AC571" s="24"/>
      <c r="AD571" s="24"/>
      <c r="AE571" s="24"/>
      <c r="AF571" s="24"/>
      <c r="AG571" s="24"/>
      <c r="AH571" s="24"/>
      <c r="AI571" s="24"/>
    </row>
    <row r="572" spans="1:35" hidden="1" x14ac:dyDescent="0.3">
      <c r="A572" s="12" t="s">
        <v>85</v>
      </c>
      <c r="B572" s="12">
        <v>43994</v>
      </c>
      <c r="C572" s="11" t="s">
        <v>726</v>
      </c>
      <c r="D572" s="12" t="s">
        <v>1</v>
      </c>
      <c r="E572" s="12" t="s">
        <v>1185</v>
      </c>
      <c r="F572" s="12" t="s">
        <v>132</v>
      </c>
      <c r="G572" s="12" t="s">
        <v>113</v>
      </c>
      <c r="H572" s="12" t="s">
        <v>533</v>
      </c>
      <c r="I572" s="12" t="s">
        <v>89</v>
      </c>
      <c r="J572" s="11" t="s">
        <v>1240</v>
      </c>
      <c r="K572" s="11" t="s">
        <v>1240</v>
      </c>
      <c r="L572" s="11" t="s">
        <v>1212</v>
      </c>
      <c r="M572" s="11" t="s">
        <v>727</v>
      </c>
      <c r="N572" s="57">
        <f>90370-13999.6</f>
        <v>76370.399999999994</v>
      </c>
      <c r="O572" s="59"/>
      <c r="P572" s="12" t="s">
        <v>728</v>
      </c>
      <c r="Q572" s="12" t="s">
        <v>4</v>
      </c>
      <c r="R572" s="12" t="s">
        <v>16</v>
      </c>
      <c r="S572" s="12" t="s">
        <v>26</v>
      </c>
      <c r="T572" s="12">
        <v>1</v>
      </c>
      <c r="U572" s="13">
        <v>43962</v>
      </c>
      <c r="V572" s="12" t="s">
        <v>729</v>
      </c>
      <c r="W572" s="12" t="s">
        <v>92</v>
      </c>
      <c r="X572" s="12" t="s">
        <v>105</v>
      </c>
      <c r="Y572" s="13"/>
      <c r="Z572" s="75"/>
      <c r="AA572" s="24"/>
      <c r="AC572" s="24"/>
      <c r="AD572" s="24"/>
      <c r="AE572" s="24"/>
      <c r="AF572" s="24"/>
      <c r="AG572" s="24"/>
      <c r="AH572" s="24"/>
      <c r="AI572" s="24"/>
    </row>
    <row r="573" spans="1:35" hidden="1" x14ac:dyDescent="0.3">
      <c r="A573" s="12" t="s">
        <v>85</v>
      </c>
      <c r="B573" s="12">
        <v>43994</v>
      </c>
      <c r="C573" s="11" t="s">
        <v>726</v>
      </c>
      <c r="D573" s="12" t="s">
        <v>1</v>
      </c>
      <c r="E573" s="12" t="s">
        <v>1185</v>
      </c>
      <c r="F573" s="12" t="s">
        <v>132</v>
      </c>
      <c r="G573" s="12" t="s">
        <v>113</v>
      </c>
      <c r="H573" s="12" t="s">
        <v>533</v>
      </c>
      <c r="I573" s="12" t="s">
        <v>89</v>
      </c>
      <c r="J573" s="11" t="s">
        <v>1240</v>
      </c>
      <c r="K573" s="11" t="s">
        <v>1240</v>
      </c>
      <c r="L573" s="11" t="s">
        <v>1212</v>
      </c>
      <c r="M573" s="11" t="s">
        <v>727</v>
      </c>
      <c r="N573" s="57">
        <f>90370-13999.6</f>
        <v>76370.399999999994</v>
      </c>
      <c r="O573" s="59"/>
      <c r="P573" s="12" t="s">
        <v>728</v>
      </c>
      <c r="Q573" s="12" t="s">
        <v>4</v>
      </c>
      <c r="R573" s="12" t="s">
        <v>16</v>
      </c>
      <c r="S573" s="12" t="s">
        <v>26</v>
      </c>
      <c r="T573" s="12">
        <v>1</v>
      </c>
      <c r="U573" s="13">
        <v>43998</v>
      </c>
      <c r="V573" s="12" t="s">
        <v>730</v>
      </c>
      <c r="W573" s="12" t="s">
        <v>92</v>
      </c>
      <c r="X573" s="12" t="s">
        <v>105</v>
      </c>
      <c r="Y573" s="13"/>
      <c r="Z573" s="75"/>
      <c r="AA573" s="24"/>
      <c r="AC573" s="24"/>
      <c r="AD573" s="24"/>
      <c r="AE573" s="24"/>
      <c r="AF573" s="24"/>
      <c r="AG573" s="24"/>
      <c r="AH573" s="24"/>
      <c r="AI573" s="24"/>
    </row>
    <row r="574" spans="1:35" hidden="1" x14ac:dyDescent="0.3">
      <c r="A574" s="12" t="s">
        <v>85</v>
      </c>
      <c r="B574" s="12">
        <v>44030</v>
      </c>
      <c r="C574" s="11" t="s">
        <v>726</v>
      </c>
      <c r="D574" s="12" t="s">
        <v>1</v>
      </c>
      <c r="E574" s="12" t="s">
        <v>1185</v>
      </c>
      <c r="F574" s="12" t="s">
        <v>87</v>
      </c>
      <c r="G574" s="12" t="s">
        <v>113</v>
      </c>
      <c r="H574" s="12" t="s">
        <v>533</v>
      </c>
      <c r="I574" s="12" t="s">
        <v>89</v>
      </c>
      <c r="J574" s="11" t="s">
        <v>731</v>
      </c>
      <c r="K574" s="11" t="s">
        <v>731</v>
      </c>
      <c r="L574" s="11" t="s">
        <v>1212</v>
      </c>
      <c r="M574" s="11" t="s">
        <v>732</v>
      </c>
      <c r="N574" s="57">
        <v>10345.41</v>
      </c>
      <c r="O574" s="57">
        <v>4531.07</v>
      </c>
      <c r="P574" s="46" t="s">
        <v>733</v>
      </c>
      <c r="Q574" s="12" t="s">
        <v>12</v>
      </c>
      <c r="R574" s="12" t="s">
        <v>99</v>
      </c>
      <c r="S574" s="12" t="s">
        <v>99</v>
      </c>
      <c r="T574" s="12">
        <v>0</v>
      </c>
      <c r="U574" s="13"/>
      <c r="V574" s="12" t="s">
        <v>92</v>
      </c>
      <c r="W574" s="12" t="s">
        <v>92</v>
      </c>
      <c r="X574" s="12" t="s">
        <v>93</v>
      </c>
      <c r="Y574" s="13">
        <v>43774</v>
      </c>
      <c r="Z574" s="75"/>
      <c r="AA574" s="24"/>
      <c r="AC574" s="24"/>
      <c r="AD574" s="24"/>
      <c r="AE574" s="24"/>
      <c r="AF574" s="24"/>
      <c r="AG574" s="24"/>
      <c r="AH574" s="24"/>
      <c r="AI574" s="24"/>
    </row>
    <row r="575" spans="1:35" hidden="1" x14ac:dyDescent="0.3">
      <c r="A575" s="12" t="s">
        <v>85</v>
      </c>
      <c r="B575" s="12">
        <v>44587</v>
      </c>
      <c r="C575" s="11" t="s">
        <v>734</v>
      </c>
      <c r="D575" s="12" t="s">
        <v>1</v>
      </c>
      <c r="E575" s="12" t="s">
        <v>1185</v>
      </c>
      <c r="F575" s="12" t="s">
        <v>113</v>
      </c>
      <c r="G575" s="12" t="s">
        <v>113</v>
      </c>
      <c r="H575" s="12" t="s">
        <v>153</v>
      </c>
      <c r="I575" s="12" t="s">
        <v>115</v>
      </c>
      <c r="J575" s="11" t="s">
        <v>735</v>
      </c>
      <c r="K575" s="11" t="s">
        <v>735</v>
      </c>
      <c r="L575" s="11" t="s">
        <v>1209</v>
      </c>
      <c r="M575" s="11" t="s">
        <v>736</v>
      </c>
      <c r="N575" s="59">
        <v>0</v>
      </c>
      <c r="O575" s="59">
        <v>33.18</v>
      </c>
      <c r="P575" s="12"/>
      <c r="Q575" s="12" t="s">
        <v>12</v>
      </c>
      <c r="R575" s="12" t="s">
        <v>99</v>
      </c>
      <c r="S575" s="12" t="s">
        <v>99</v>
      </c>
      <c r="T575" s="12">
        <v>0</v>
      </c>
      <c r="U575" s="13"/>
      <c r="V575" s="12" t="s">
        <v>92</v>
      </c>
      <c r="W575" s="12" t="s">
        <v>92</v>
      </c>
      <c r="X575" s="12" t="s">
        <v>93</v>
      </c>
      <c r="Y575" s="13"/>
      <c r="Z575" s="75"/>
      <c r="AA575" s="24"/>
      <c r="AC575" s="24"/>
      <c r="AD575" s="24"/>
      <c r="AE575" s="24"/>
      <c r="AF575" s="24"/>
      <c r="AG575" s="24"/>
      <c r="AH575" s="24"/>
      <c r="AI575" s="24"/>
    </row>
    <row r="576" spans="1:35" hidden="1" x14ac:dyDescent="0.3">
      <c r="A576" s="12" t="s">
        <v>85</v>
      </c>
      <c r="B576" s="12">
        <v>44588</v>
      </c>
      <c r="C576" s="11" t="s">
        <v>734</v>
      </c>
      <c r="D576" s="12" t="s">
        <v>1</v>
      </c>
      <c r="E576" s="12" t="s">
        <v>1185</v>
      </c>
      <c r="F576" s="12" t="s">
        <v>113</v>
      </c>
      <c r="G576" s="12" t="s">
        <v>113</v>
      </c>
      <c r="H576" s="12" t="s">
        <v>153</v>
      </c>
      <c r="I576" s="12" t="s">
        <v>115</v>
      </c>
      <c r="J576" s="11" t="s">
        <v>737</v>
      </c>
      <c r="K576" s="11" t="s">
        <v>737</v>
      </c>
      <c r="L576" s="11" t="s">
        <v>1209</v>
      </c>
      <c r="M576" s="11" t="s">
        <v>736</v>
      </c>
      <c r="N576" s="59">
        <v>0</v>
      </c>
      <c r="O576" s="59">
        <v>33.18</v>
      </c>
      <c r="P576" s="12"/>
      <c r="Q576" s="12" t="s">
        <v>12</v>
      </c>
      <c r="R576" s="12" t="s">
        <v>99</v>
      </c>
      <c r="S576" s="12" t="s">
        <v>99</v>
      </c>
      <c r="T576" s="12">
        <v>0</v>
      </c>
      <c r="U576" s="13"/>
      <c r="V576" s="12" t="s">
        <v>92</v>
      </c>
      <c r="W576" s="12" t="s">
        <v>92</v>
      </c>
      <c r="X576" s="12" t="s">
        <v>93</v>
      </c>
      <c r="Y576" s="13"/>
      <c r="Z576" s="75"/>
      <c r="AA576" s="24"/>
      <c r="AC576" s="24"/>
      <c r="AD576" s="24"/>
      <c r="AE576" s="24"/>
      <c r="AF576" s="24"/>
      <c r="AG576" s="24"/>
      <c r="AH576" s="24"/>
      <c r="AI576" s="24"/>
    </row>
    <row r="577" spans="1:35" hidden="1" x14ac:dyDescent="0.3">
      <c r="A577" s="12" t="s">
        <v>85</v>
      </c>
      <c r="B577" s="12">
        <v>44589</v>
      </c>
      <c r="C577" s="11" t="s">
        <v>734</v>
      </c>
      <c r="D577" s="12" t="s">
        <v>1</v>
      </c>
      <c r="E577" s="12" t="s">
        <v>1185</v>
      </c>
      <c r="F577" s="12" t="s">
        <v>113</v>
      </c>
      <c r="G577" s="12" t="s">
        <v>113</v>
      </c>
      <c r="H577" s="12" t="s">
        <v>153</v>
      </c>
      <c r="I577" s="12" t="s">
        <v>115</v>
      </c>
      <c r="J577" s="11" t="s">
        <v>738</v>
      </c>
      <c r="K577" s="11" t="s">
        <v>738</v>
      </c>
      <c r="L577" s="11" t="s">
        <v>1209</v>
      </c>
      <c r="M577" s="11" t="s">
        <v>736</v>
      </c>
      <c r="N577" s="59">
        <v>0</v>
      </c>
      <c r="O577" s="59">
        <v>34.840000000000003</v>
      </c>
      <c r="P577" s="12"/>
      <c r="Q577" s="12" t="s">
        <v>12</v>
      </c>
      <c r="R577" s="12" t="s">
        <v>99</v>
      </c>
      <c r="S577" s="12" t="s">
        <v>99</v>
      </c>
      <c r="T577" s="12">
        <v>0</v>
      </c>
      <c r="U577" s="13"/>
      <c r="V577" s="12" t="s">
        <v>92</v>
      </c>
      <c r="W577" s="12" t="s">
        <v>92</v>
      </c>
      <c r="X577" s="12" t="s">
        <v>93</v>
      </c>
      <c r="Y577" s="13"/>
      <c r="Z577" s="75"/>
      <c r="AA577" s="24"/>
      <c r="AC577" s="24"/>
      <c r="AD577" s="24"/>
      <c r="AE577" s="24"/>
      <c r="AF577" s="24"/>
      <c r="AG577" s="24"/>
      <c r="AH577" s="24"/>
      <c r="AI577" s="24"/>
    </row>
    <row r="578" spans="1:35" hidden="1" x14ac:dyDescent="0.3">
      <c r="A578" s="12" t="s">
        <v>85</v>
      </c>
      <c r="B578" s="12">
        <v>44590</v>
      </c>
      <c r="C578" s="11" t="s">
        <v>734</v>
      </c>
      <c r="D578" s="12" t="s">
        <v>1</v>
      </c>
      <c r="E578" s="12" t="s">
        <v>1185</v>
      </c>
      <c r="F578" s="12" t="s">
        <v>113</v>
      </c>
      <c r="G578" s="12" t="s">
        <v>113</v>
      </c>
      <c r="H578" s="12" t="s">
        <v>153</v>
      </c>
      <c r="I578" s="12" t="s">
        <v>115</v>
      </c>
      <c r="J578" s="11" t="s">
        <v>739</v>
      </c>
      <c r="K578" s="11" t="s">
        <v>739</v>
      </c>
      <c r="L578" s="11" t="s">
        <v>1209</v>
      </c>
      <c r="M578" s="11" t="s">
        <v>736</v>
      </c>
      <c r="N578" s="59">
        <v>0</v>
      </c>
      <c r="O578" s="59">
        <v>37.869999999999997</v>
      </c>
      <c r="P578" s="12"/>
      <c r="Q578" s="12" t="s">
        <v>12</v>
      </c>
      <c r="R578" s="12" t="s">
        <v>99</v>
      </c>
      <c r="S578" s="12" t="s">
        <v>99</v>
      </c>
      <c r="T578" s="12">
        <v>0</v>
      </c>
      <c r="U578" s="13"/>
      <c r="V578" s="12" t="s">
        <v>92</v>
      </c>
      <c r="W578" s="12" t="s">
        <v>92</v>
      </c>
      <c r="X578" s="12" t="s">
        <v>93</v>
      </c>
      <c r="Y578" s="13"/>
      <c r="Z578" s="75"/>
      <c r="AA578" s="24"/>
      <c r="AC578" s="24"/>
      <c r="AD578" s="24"/>
      <c r="AE578" s="24"/>
      <c r="AF578" s="24"/>
      <c r="AG578" s="24"/>
      <c r="AH578" s="24"/>
      <c r="AI578" s="24"/>
    </row>
    <row r="579" spans="1:35" hidden="1" x14ac:dyDescent="0.3">
      <c r="A579" s="12" t="s">
        <v>85</v>
      </c>
      <c r="B579" s="12">
        <v>44591</v>
      </c>
      <c r="C579" s="11" t="s">
        <v>734</v>
      </c>
      <c r="D579" s="12" t="s">
        <v>1</v>
      </c>
      <c r="E579" s="12" t="s">
        <v>1185</v>
      </c>
      <c r="F579" s="12" t="s">
        <v>113</v>
      </c>
      <c r="G579" s="12" t="s">
        <v>113</v>
      </c>
      <c r="H579" s="12" t="s">
        <v>153</v>
      </c>
      <c r="I579" s="12" t="s">
        <v>115</v>
      </c>
      <c r="J579" s="11" t="s">
        <v>740</v>
      </c>
      <c r="K579" s="11" t="s">
        <v>740</v>
      </c>
      <c r="L579" s="11" t="s">
        <v>1209</v>
      </c>
      <c r="M579" s="11" t="s">
        <v>736</v>
      </c>
      <c r="N579" s="59">
        <v>0</v>
      </c>
      <c r="O579" s="59">
        <v>43.79</v>
      </c>
      <c r="P579" s="12"/>
      <c r="Q579" s="12" t="s">
        <v>12</v>
      </c>
      <c r="R579" s="12" t="s">
        <v>99</v>
      </c>
      <c r="S579" s="12" t="s">
        <v>99</v>
      </c>
      <c r="T579" s="12">
        <v>0</v>
      </c>
      <c r="U579" s="13"/>
      <c r="V579" s="12" t="s">
        <v>92</v>
      </c>
      <c r="W579" s="12" t="s">
        <v>92</v>
      </c>
      <c r="X579" s="12" t="s">
        <v>93</v>
      </c>
      <c r="Y579" s="13"/>
      <c r="Z579" s="75"/>
      <c r="AA579" s="24"/>
      <c r="AC579" s="24"/>
      <c r="AD579" s="24"/>
      <c r="AE579" s="24"/>
      <c r="AF579" s="24"/>
      <c r="AG579" s="24"/>
      <c r="AH579" s="24"/>
      <c r="AI579" s="24"/>
    </row>
    <row r="580" spans="1:35" hidden="1" x14ac:dyDescent="0.3">
      <c r="A580" s="12" t="s">
        <v>85</v>
      </c>
      <c r="B580" s="12">
        <v>44592</v>
      </c>
      <c r="C580" s="11" t="s">
        <v>734</v>
      </c>
      <c r="D580" s="12" t="s">
        <v>1</v>
      </c>
      <c r="E580" s="12" t="s">
        <v>1185</v>
      </c>
      <c r="F580" s="12" t="s">
        <v>113</v>
      </c>
      <c r="G580" s="12" t="s">
        <v>113</v>
      </c>
      <c r="H580" s="12" t="s">
        <v>153</v>
      </c>
      <c r="I580" s="12" t="s">
        <v>115</v>
      </c>
      <c r="J580" s="11" t="s">
        <v>741</v>
      </c>
      <c r="K580" s="11" t="s">
        <v>741</v>
      </c>
      <c r="L580" s="11" t="s">
        <v>1209</v>
      </c>
      <c r="M580" s="11" t="s">
        <v>736</v>
      </c>
      <c r="N580" s="59">
        <v>0</v>
      </c>
      <c r="O580" s="59">
        <v>38.51</v>
      </c>
      <c r="P580" s="12"/>
      <c r="Q580" s="12" t="s">
        <v>12</v>
      </c>
      <c r="R580" s="12" t="s">
        <v>99</v>
      </c>
      <c r="S580" s="12" t="s">
        <v>99</v>
      </c>
      <c r="T580" s="12">
        <v>0</v>
      </c>
      <c r="U580" s="13"/>
      <c r="V580" s="12" t="s">
        <v>92</v>
      </c>
      <c r="W580" s="12" t="s">
        <v>92</v>
      </c>
      <c r="X580" s="12" t="s">
        <v>93</v>
      </c>
      <c r="Y580" s="13"/>
      <c r="Z580" s="75"/>
      <c r="AA580" s="24"/>
      <c r="AC580" s="24"/>
      <c r="AD580" s="24"/>
      <c r="AE580" s="24"/>
      <c r="AF580" s="24"/>
      <c r="AG580" s="24"/>
      <c r="AH580" s="24"/>
      <c r="AI580" s="24"/>
    </row>
    <row r="581" spans="1:35" hidden="1" x14ac:dyDescent="0.3">
      <c r="A581" s="12" t="s">
        <v>85</v>
      </c>
      <c r="B581" s="12">
        <v>44593</v>
      </c>
      <c r="C581" s="11" t="s">
        <v>734</v>
      </c>
      <c r="D581" s="12" t="s">
        <v>1</v>
      </c>
      <c r="E581" s="12" t="s">
        <v>1185</v>
      </c>
      <c r="F581" s="12" t="s">
        <v>113</v>
      </c>
      <c r="G581" s="12" t="s">
        <v>113</v>
      </c>
      <c r="H581" s="12" t="s">
        <v>153</v>
      </c>
      <c r="I581" s="12" t="s">
        <v>115</v>
      </c>
      <c r="J581" s="11" t="s">
        <v>742</v>
      </c>
      <c r="K581" s="11" t="s">
        <v>742</v>
      </c>
      <c r="L581" s="11" t="s">
        <v>1209</v>
      </c>
      <c r="M581" s="11" t="s">
        <v>736</v>
      </c>
      <c r="N581" s="59">
        <v>0</v>
      </c>
      <c r="O581" s="59">
        <v>34.840000000000003</v>
      </c>
      <c r="P581" s="12"/>
      <c r="Q581" s="12" t="s">
        <v>12</v>
      </c>
      <c r="R581" s="12" t="s">
        <v>99</v>
      </c>
      <c r="S581" s="12" t="s">
        <v>99</v>
      </c>
      <c r="T581" s="12">
        <v>0</v>
      </c>
      <c r="U581" s="13"/>
      <c r="V581" s="12" t="s">
        <v>92</v>
      </c>
      <c r="W581" s="12" t="s">
        <v>92</v>
      </c>
      <c r="X581" s="12" t="s">
        <v>93</v>
      </c>
      <c r="Y581" s="13"/>
      <c r="Z581" s="75"/>
      <c r="AA581" s="24"/>
      <c r="AC581" s="24"/>
      <c r="AD581" s="24"/>
      <c r="AE581" s="24"/>
      <c r="AF581" s="24"/>
      <c r="AG581" s="24"/>
      <c r="AH581" s="24"/>
      <c r="AI581" s="24"/>
    </row>
    <row r="582" spans="1:35" hidden="1" x14ac:dyDescent="0.3">
      <c r="A582" s="12" t="s">
        <v>85</v>
      </c>
      <c r="B582" s="12">
        <v>44594</v>
      </c>
      <c r="C582" s="11" t="s">
        <v>734</v>
      </c>
      <c r="D582" s="12" t="s">
        <v>1</v>
      </c>
      <c r="E582" s="12" t="s">
        <v>1185</v>
      </c>
      <c r="F582" s="12" t="s">
        <v>113</v>
      </c>
      <c r="G582" s="12" t="s">
        <v>113</v>
      </c>
      <c r="H582" s="12" t="s">
        <v>153</v>
      </c>
      <c r="I582" s="12" t="s">
        <v>115</v>
      </c>
      <c r="J582" s="11" t="s">
        <v>743</v>
      </c>
      <c r="K582" s="11" t="s">
        <v>743</v>
      </c>
      <c r="L582" s="11" t="s">
        <v>1209</v>
      </c>
      <c r="M582" s="11" t="s">
        <v>736</v>
      </c>
      <c r="N582" s="59">
        <v>0</v>
      </c>
      <c r="O582" s="59">
        <v>37.869999999999997</v>
      </c>
      <c r="P582" s="12"/>
      <c r="Q582" s="12" t="s">
        <v>12</v>
      </c>
      <c r="R582" s="12" t="s">
        <v>99</v>
      </c>
      <c r="S582" s="12" t="s">
        <v>99</v>
      </c>
      <c r="T582" s="12">
        <v>0</v>
      </c>
      <c r="U582" s="13"/>
      <c r="V582" s="12" t="s">
        <v>92</v>
      </c>
      <c r="W582" s="12" t="s">
        <v>92</v>
      </c>
      <c r="X582" s="12" t="s">
        <v>93</v>
      </c>
      <c r="Y582" s="13"/>
      <c r="Z582" s="75"/>
      <c r="AA582" s="24"/>
      <c r="AC582" s="24"/>
      <c r="AD582" s="24"/>
      <c r="AE582" s="24"/>
      <c r="AF582" s="24"/>
      <c r="AG582" s="24"/>
      <c r="AH582" s="24"/>
      <c r="AI582" s="24"/>
    </row>
    <row r="583" spans="1:35" hidden="1" x14ac:dyDescent="0.3">
      <c r="A583" s="12" t="s">
        <v>85</v>
      </c>
      <c r="B583" s="12">
        <v>44595</v>
      </c>
      <c r="C583" s="11" t="s">
        <v>734</v>
      </c>
      <c r="D583" s="12" t="s">
        <v>1</v>
      </c>
      <c r="E583" s="12" t="s">
        <v>1185</v>
      </c>
      <c r="F583" s="12" t="s">
        <v>113</v>
      </c>
      <c r="G583" s="12" t="s">
        <v>113</v>
      </c>
      <c r="H583" s="12" t="s">
        <v>153</v>
      </c>
      <c r="I583" s="12" t="s">
        <v>115</v>
      </c>
      <c r="J583" s="11" t="s">
        <v>744</v>
      </c>
      <c r="K583" s="11" t="s">
        <v>744</v>
      </c>
      <c r="L583" s="11" t="s">
        <v>1209</v>
      </c>
      <c r="M583" s="11" t="s">
        <v>736</v>
      </c>
      <c r="N583" s="59">
        <v>0</v>
      </c>
      <c r="O583" s="59">
        <v>43.79</v>
      </c>
      <c r="P583" s="12"/>
      <c r="Q583" s="12" t="s">
        <v>12</v>
      </c>
      <c r="R583" s="12" t="s">
        <v>99</v>
      </c>
      <c r="S583" s="12" t="s">
        <v>99</v>
      </c>
      <c r="T583" s="12">
        <v>0</v>
      </c>
      <c r="U583" s="13"/>
      <c r="V583" s="12" t="s">
        <v>92</v>
      </c>
      <c r="W583" s="12" t="s">
        <v>92</v>
      </c>
      <c r="X583" s="12" t="s">
        <v>93</v>
      </c>
      <c r="Y583" s="13"/>
      <c r="Z583" s="75"/>
      <c r="AA583" s="24"/>
      <c r="AC583" s="24"/>
      <c r="AD583" s="24"/>
      <c r="AE583" s="24"/>
      <c r="AF583" s="24"/>
      <c r="AG583" s="24"/>
      <c r="AH583" s="24"/>
      <c r="AI583" s="24"/>
    </row>
    <row r="584" spans="1:35" hidden="1" x14ac:dyDescent="0.3">
      <c r="A584" s="12" t="s">
        <v>85</v>
      </c>
      <c r="B584" s="12">
        <v>44596</v>
      </c>
      <c r="C584" s="11" t="s">
        <v>734</v>
      </c>
      <c r="D584" s="12" t="s">
        <v>1</v>
      </c>
      <c r="E584" s="12" t="s">
        <v>1185</v>
      </c>
      <c r="F584" s="12" t="s">
        <v>113</v>
      </c>
      <c r="G584" s="12" t="s">
        <v>113</v>
      </c>
      <c r="H584" s="12" t="s">
        <v>153</v>
      </c>
      <c r="I584" s="12" t="s">
        <v>115</v>
      </c>
      <c r="J584" s="11" t="s">
        <v>745</v>
      </c>
      <c r="K584" s="11" t="s">
        <v>745</v>
      </c>
      <c r="L584" s="11" t="s">
        <v>1209</v>
      </c>
      <c r="M584" s="11" t="s">
        <v>736</v>
      </c>
      <c r="N584" s="59">
        <v>0</v>
      </c>
      <c r="O584" s="59">
        <v>38.51</v>
      </c>
      <c r="P584" s="12"/>
      <c r="Q584" s="12" t="s">
        <v>12</v>
      </c>
      <c r="R584" s="12" t="s">
        <v>99</v>
      </c>
      <c r="S584" s="12" t="s">
        <v>99</v>
      </c>
      <c r="T584" s="12">
        <v>0</v>
      </c>
      <c r="U584" s="13"/>
      <c r="V584" s="12" t="s">
        <v>92</v>
      </c>
      <c r="W584" s="12" t="s">
        <v>92</v>
      </c>
      <c r="X584" s="12" t="s">
        <v>93</v>
      </c>
      <c r="Y584" s="13"/>
      <c r="Z584" s="75"/>
      <c r="AA584" s="24"/>
      <c r="AC584" s="24"/>
      <c r="AD584" s="24"/>
      <c r="AE584" s="24"/>
      <c r="AF584" s="24"/>
      <c r="AG584" s="24"/>
      <c r="AH584" s="24"/>
      <c r="AI584" s="24"/>
    </row>
    <row r="585" spans="1:35" hidden="1" x14ac:dyDescent="0.3">
      <c r="A585" s="12" t="s">
        <v>85</v>
      </c>
      <c r="B585" s="12">
        <v>44597</v>
      </c>
      <c r="C585" s="11" t="s">
        <v>734</v>
      </c>
      <c r="D585" s="12" t="s">
        <v>1</v>
      </c>
      <c r="E585" s="12" t="s">
        <v>1185</v>
      </c>
      <c r="F585" s="12" t="s">
        <v>113</v>
      </c>
      <c r="G585" s="12" t="s">
        <v>113</v>
      </c>
      <c r="H585" s="12" t="s">
        <v>153</v>
      </c>
      <c r="I585" s="12" t="s">
        <v>115</v>
      </c>
      <c r="J585" s="11" t="s">
        <v>746</v>
      </c>
      <c r="K585" s="11" t="s">
        <v>746</v>
      </c>
      <c r="L585" s="11" t="s">
        <v>1209</v>
      </c>
      <c r="M585" s="11" t="s">
        <v>747</v>
      </c>
      <c r="N585" s="59">
        <v>0</v>
      </c>
      <c r="O585" s="59">
        <v>34.03</v>
      </c>
      <c r="P585" s="12"/>
      <c r="Q585" s="12" t="s">
        <v>12</v>
      </c>
      <c r="R585" s="12" t="s">
        <v>99</v>
      </c>
      <c r="S585" s="12" t="s">
        <v>99</v>
      </c>
      <c r="T585" s="12">
        <v>0</v>
      </c>
      <c r="U585" s="13"/>
      <c r="V585" s="12" t="s">
        <v>92</v>
      </c>
      <c r="W585" s="12" t="s">
        <v>92</v>
      </c>
      <c r="X585" s="12" t="s">
        <v>93</v>
      </c>
      <c r="Y585" s="13">
        <v>43586</v>
      </c>
      <c r="Z585" s="75"/>
      <c r="AA585" s="24"/>
      <c r="AC585" s="24"/>
      <c r="AD585" s="24"/>
      <c r="AE585" s="24"/>
      <c r="AF585" s="24"/>
      <c r="AG585" s="24"/>
      <c r="AH585" s="24"/>
      <c r="AI585" s="24"/>
    </row>
    <row r="586" spans="1:35" hidden="1" x14ac:dyDescent="0.3">
      <c r="A586" s="12" t="s">
        <v>85</v>
      </c>
      <c r="B586" s="12">
        <v>44598</v>
      </c>
      <c r="C586" s="11" t="s">
        <v>734</v>
      </c>
      <c r="D586" s="12" t="s">
        <v>1</v>
      </c>
      <c r="E586" s="12" t="s">
        <v>1185</v>
      </c>
      <c r="F586" s="12" t="s">
        <v>113</v>
      </c>
      <c r="G586" s="12" t="s">
        <v>113</v>
      </c>
      <c r="H586" s="12" t="s">
        <v>153</v>
      </c>
      <c r="I586" s="12" t="s">
        <v>115</v>
      </c>
      <c r="J586" s="11" t="s">
        <v>748</v>
      </c>
      <c r="K586" s="11" t="s">
        <v>748</v>
      </c>
      <c r="L586" s="11" t="s">
        <v>1209</v>
      </c>
      <c r="M586" s="11" t="s">
        <v>747</v>
      </c>
      <c r="N586" s="59">
        <v>0</v>
      </c>
      <c r="O586" s="59">
        <v>34.03</v>
      </c>
      <c r="P586" s="12"/>
      <c r="Q586" s="12" t="s">
        <v>12</v>
      </c>
      <c r="R586" s="12" t="s">
        <v>99</v>
      </c>
      <c r="S586" s="12" t="s">
        <v>99</v>
      </c>
      <c r="T586" s="12">
        <v>0</v>
      </c>
      <c r="U586" s="13"/>
      <c r="V586" s="12" t="s">
        <v>92</v>
      </c>
      <c r="W586" s="12" t="s">
        <v>92</v>
      </c>
      <c r="X586" s="12" t="s">
        <v>93</v>
      </c>
      <c r="Y586" s="13"/>
      <c r="Z586" s="75"/>
      <c r="AA586" s="24"/>
      <c r="AC586" s="24"/>
      <c r="AD586" s="24"/>
      <c r="AE586" s="24"/>
      <c r="AF586" s="24"/>
      <c r="AG586" s="24"/>
      <c r="AH586" s="24"/>
      <c r="AI586" s="24"/>
    </row>
    <row r="587" spans="1:35" hidden="1" x14ac:dyDescent="0.3">
      <c r="A587" s="12" t="s">
        <v>85</v>
      </c>
      <c r="B587" s="12">
        <v>44599</v>
      </c>
      <c r="C587" s="11" t="s">
        <v>734</v>
      </c>
      <c r="D587" s="12" t="s">
        <v>1</v>
      </c>
      <c r="E587" s="12" t="s">
        <v>1185</v>
      </c>
      <c r="F587" s="12" t="s">
        <v>113</v>
      </c>
      <c r="G587" s="12" t="s">
        <v>113</v>
      </c>
      <c r="H587" s="12" t="s">
        <v>153</v>
      </c>
      <c r="I587" s="12" t="s">
        <v>115</v>
      </c>
      <c r="J587" s="11" t="s">
        <v>749</v>
      </c>
      <c r="K587" s="11" t="s">
        <v>749</v>
      </c>
      <c r="L587" s="11" t="s">
        <v>1209</v>
      </c>
      <c r="M587" s="11" t="s">
        <v>747</v>
      </c>
      <c r="N587" s="59">
        <v>0</v>
      </c>
      <c r="O587" s="59">
        <v>34.03</v>
      </c>
      <c r="P587" s="12"/>
      <c r="Q587" s="12" t="s">
        <v>12</v>
      </c>
      <c r="R587" s="12" t="s">
        <v>99</v>
      </c>
      <c r="S587" s="12" t="s">
        <v>99</v>
      </c>
      <c r="T587" s="12">
        <v>0</v>
      </c>
      <c r="U587" s="13"/>
      <c r="V587" s="12" t="s">
        <v>92</v>
      </c>
      <c r="W587" s="12" t="s">
        <v>92</v>
      </c>
      <c r="X587" s="12" t="s">
        <v>93</v>
      </c>
      <c r="Y587" s="13"/>
      <c r="Z587" s="75"/>
      <c r="AA587" s="24"/>
      <c r="AC587" s="24"/>
      <c r="AD587" s="24"/>
      <c r="AE587" s="24"/>
      <c r="AF587" s="24"/>
      <c r="AG587" s="24"/>
      <c r="AH587" s="24"/>
      <c r="AI587" s="24"/>
    </row>
    <row r="588" spans="1:35" hidden="1" x14ac:dyDescent="0.3">
      <c r="A588" s="12" t="s">
        <v>85</v>
      </c>
      <c r="B588" s="12">
        <v>44600</v>
      </c>
      <c r="C588" s="11" t="s">
        <v>734</v>
      </c>
      <c r="D588" s="12" t="s">
        <v>1</v>
      </c>
      <c r="E588" s="12" t="s">
        <v>1185</v>
      </c>
      <c r="F588" s="12" t="s">
        <v>113</v>
      </c>
      <c r="G588" s="12" t="s">
        <v>113</v>
      </c>
      <c r="H588" s="12" t="s">
        <v>153</v>
      </c>
      <c r="I588" s="12" t="s">
        <v>115</v>
      </c>
      <c r="J588" s="11" t="s">
        <v>750</v>
      </c>
      <c r="K588" s="11" t="s">
        <v>750</v>
      </c>
      <c r="L588" s="11" t="s">
        <v>1209</v>
      </c>
      <c r="M588" s="11" t="s">
        <v>747</v>
      </c>
      <c r="N588" s="59">
        <v>0</v>
      </c>
      <c r="O588" s="59">
        <v>34.03</v>
      </c>
      <c r="P588" s="12"/>
      <c r="Q588" s="12" t="s">
        <v>12</v>
      </c>
      <c r="R588" s="12" t="s">
        <v>99</v>
      </c>
      <c r="S588" s="12" t="s">
        <v>99</v>
      </c>
      <c r="T588" s="12">
        <v>0</v>
      </c>
      <c r="U588" s="13"/>
      <c r="V588" s="12" t="s">
        <v>92</v>
      </c>
      <c r="W588" s="12" t="s">
        <v>92</v>
      </c>
      <c r="X588" s="12" t="s">
        <v>93</v>
      </c>
      <c r="Y588" s="13"/>
      <c r="Z588" s="75"/>
      <c r="AA588" s="24"/>
      <c r="AC588" s="24"/>
      <c r="AD588" s="24"/>
      <c r="AE588" s="24"/>
      <c r="AF588" s="24"/>
      <c r="AG588" s="24"/>
      <c r="AH588" s="24"/>
      <c r="AI588" s="24"/>
    </row>
    <row r="589" spans="1:35" hidden="1" x14ac:dyDescent="0.3">
      <c r="A589" s="12" t="s">
        <v>85</v>
      </c>
      <c r="B589" s="12">
        <v>44601</v>
      </c>
      <c r="C589" s="11" t="s">
        <v>734</v>
      </c>
      <c r="D589" s="12" t="s">
        <v>1</v>
      </c>
      <c r="E589" s="12" t="s">
        <v>1185</v>
      </c>
      <c r="F589" s="12" t="s">
        <v>113</v>
      </c>
      <c r="G589" s="12" t="s">
        <v>113</v>
      </c>
      <c r="H589" s="12" t="s">
        <v>153</v>
      </c>
      <c r="I589" s="12" t="s">
        <v>115</v>
      </c>
      <c r="J589" s="11" t="s">
        <v>751</v>
      </c>
      <c r="K589" s="11" t="s">
        <v>751</v>
      </c>
      <c r="L589" s="11" t="s">
        <v>1209</v>
      </c>
      <c r="M589" s="11" t="s">
        <v>747</v>
      </c>
      <c r="N589" s="59">
        <v>0</v>
      </c>
      <c r="O589" s="59">
        <v>34.03</v>
      </c>
      <c r="P589" s="12"/>
      <c r="Q589" s="12" t="s">
        <v>12</v>
      </c>
      <c r="R589" s="12" t="s">
        <v>99</v>
      </c>
      <c r="S589" s="12" t="s">
        <v>99</v>
      </c>
      <c r="T589" s="12">
        <v>0</v>
      </c>
      <c r="U589" s="13"/>
      <c r="V589" s="12" t="s">
        <v>92</v>
      </c>
      <c r="W589" s="12" t="s">
        <v>92</v>
      </c>
      <c r="X589" s="12" t="s">
        <v>93</v>
      </c>
      <c r="Y589" s="13"/>
      <c r="Z589" s="75"/>
      <c r="AA589" s="24"/>
      <c r="AC589" s="24"/>
      <c r="AD589" s="24"/>
      <c r="AE589" s="24"/>
      <c r="AF589" s="24"/>
      <c r="AG589" s="24"/>
      <c r="AH589" s="24"/>
      <c r="AI589" s="24"/>
    </row>
    <row r="590" spans="1:35" hidden="1" x14ac:dyDescent="0.3">
      <c r="A590" s="12" t="s">
        <v>85</v>
      </c>
      <c r="B590" s="12">
        <v>44602</v>
      </c>
      <c r="C590" s="11" t="s">
        <v>734</v>
      </c>
      <c r="D590" s="12" t="s">
        <v>1</v>
      </c>
      <c r="E590" s="12" t="s">
        <v>1185</v>
      </c>
      <c r="F590" s="12" t="s">
        <v>113</v>
      </c>
      <c r="G590" s="12" t="s">
        <v>113</v>
      </c>
      <c r="H590" s="12" t="s">
        <v>153</v>
      </c>
      <c r="I590" s="12" t="s">
        <v>115</v>
      </c>
      <c r="J590" s="11" t="s">
        <v>752</v>
      </c>
      <c r="K590" s="11" t="s">
        <v>752</v>
      </c>
      <c r="L590" s="11" t="s">
        <v>1209</v>
      </c>
      <c r="M590" s="11" t="s">
        <v>747</v>
      </c>
      <c r="N590" s="59">
        <v>0</v>
      </c>
      <c r="O590" s="59">
        <v>34.03</v>
      </c>
      <c r="P590" s="12"/>
      <c r="Q590" s="12" t="s">
        <v>12</v>
      </c>
      <c r="R590" s="12" t="s">
        <v>99</v>
      </c>
      <c r="S590" s="12" t="s">
        <v>99</v>
      </c>
      <c r="T590" s="12">
        <v>0</v>
      </c>
      <c r="U590" s="13"/>
      <c r="V590" s="12" t="s">
        <v>92</v>
      </c>
      <c r="W590" s="12" t="s">
        <v>92</v>
      </c>
      <c r="X590" s="12" t="s">
        <v>93</v>
      </c>
      <c r="Y590" s="13"/>
      <c r="Z590" s="75"/>
      <c r="AA590" s="24"/>
      <c r="AC590" s="24"/>
      <c r="AD590" s="24"/>
      <c r="AE590" s="24"/>
      <c r="AF590" s="24"/>
      <c r="AG590" s="24"/>
      <c r="AH590" s="24"/>
      <c r="AI590" s="24"/>
    </row>
    <row r="591" spans="1:35" hidden="1" x14ac:dyDescent="0.3">
      <c r="A591" s="12" t="s">
        <v>85</v>
      </c>
      <c r="B591" s="12">
        <v>44603</v>
      </c>
      <c r="C591" s="11" t="s">
        <v>734</v>
      </c>
      <c r="D591" s="12" t="s">
        <v>1</v>
      </c>
      <c r="E591" s="12" t="s">
        <v>1185</v>
      </c>
      <c r="F591" s="12" t="s">
        <v>113</v>
      </c>
      <c r="G591" s="12" t="s">
        <v>113</v>
      </c>
      <c r="H591" s="12" t="s">
        <v>153</v>
      </c>
      <c r="I591" s="12" t="s">
        <v>115</v>
      </c>
      <c r="J591" s="11" t="s">
        <v>753</v>
      </c>
      <c r="K591" s="11" t="s">
        <v>753</v>
      </c>
      <c r="L591" s="11" t="s">
        <v>1209</v>
      </c>
      <c r="M591" s="11" t="s">
        <v>747</v>
      </c>
      <c r="N591" s="59">
        <v>0</v>
      </c>
      <c r="O591" s="59">
        <v>34.03</v>
      </c>
      <c r="P591" s="12"/>
      <c r="Q591" s="12" t="s">
        <v>12</v>
      </c>
      <c r="R591" s="12" t="s">
        <v>99</v>
      </c>
      <c r="S591" s="12" t="s">
        <v>99</v>
      </c>
      <c r="T591" s="12">
        <v>0</v>
      </c>
      <c r="U591" s="13"/>
      <c r="V591" s="12" t="s">
        <v>92</v>
      </c>
      <c r="W591" s="12" t="s">
        <v>92</v>
      </c>
      <c r="X591" s="12" t="s">
        <v>93</v>
      </c>
      <c r="Y591" s="13"/>
      <c r="Z591" s="75"/>
      <c r="AA591" s="24"/>
      <c r="AC591" s="24"/>
      <c r="AD591" s="24"/>
      <c r="AE591" s="24"/>
      <c r="AF591" s="24"/>
      <c r="AG591" s="24"/>
      <c r="AH591" s="24"/>
      <c r="AI591" s="24"/>
    </row>
    <row r="592" spans="1:35" hidden="1" x14ac:dyDescent="0.3">
      <c r="A592" s="12" t="s">
        <v>85</v>
      </c>
      <c r="B592" s="12">
        <v>44604</v>
      </c>
      <c r="C592" s="11" t="s">
        <v>734</v>
      </c>
      <c r="D592" s="12" t="s">
        <v>1</v>
      </c>
      <c r="E592" s="12" t="s">
        <v>1185</v>
      </c>
      <c r="F592" s="12" t="s">
        <v>113</v>
      </c>
      <c r="G592" s="12" t="s">
        <v>113</v>
      </c>
      <c r="H592" s="12" t="s">
        <v>153</v>
      </c>
      <c r="I592" s="12" t="s">
        <v>115</v>
      </c>
      <c r="J592" s="11" t="s">
        <v>754</v>
      </c>
      <c r="K592" s="11" t="s">
        <v>754</v>
      </c>
      <c r="L592" s="11" t="s">
        <v>1209</v>
      </c>
      <c r="M592" s="11" t="s">
        <v>747</v>
      </c>
      <c r="N592" s="59">
        <v>0</v>
      </c>
      <c r="O592" s="59">
        <v>34.03</v>
      </c>
      <c r="P592" s="12"/>
      <c r="Q592" s="12" t="s">
        <v>12</v>
      </c>
      <c r="R592" s="12" t="s">
        <v>99</v>
      </c>
      <c r="S592" s="12" t="s">
        <v>99</v>
      </c>
      <c r="T592" s="12">
        <v>0</v>
      </c>
      <c r="U592" s="13"/>
      <c r="V592" s="12" t="s">
        <v>92</v>
      </c>
      <c r="W592" s="12" t="s">
        <v>92</v>
      </c>
      <c r="X592" s="12" t="s">
        <v>93</v>
      </c>
      <c r="Y592" s="13"/>
      <c r="Z592" s="75"/>
      <c r="AA592" s="24"/>
      <c r="AC592" s="24"/>
      <c r="AD592" s="24"/>
      <c r="AE592" s="24"/>
      <c r="AF592" s="24"/>
      <c r="AG592" s="24"/>
      <c r="AH592" s="24"/>
      <c r="AI592" s="24"/>
    </row>
    <row r="593" spans="1:35" hidden="1" x14ac:dyDescent="0.3">
      <c r="A593" s="12" t="s">
        <v>85</v>
      </c>
      <c r="B593" s="12">
        <v>44605</v>
      </c>
      <c r="C593" s="11" t="s">
        <v>734</v>
      </c>
      <c r="D593" s="12" t="s">
        <v>1</v>
      </c>
      <c r="E593" s="12" t="s">
        <v>1185</v>
      </c>
      <c r="F593" s="12" t="s">
        <v>113</v>
      </c>
      <c r="G593" s="12" t="s">
        <v>113</v>
      </c>
      <c r="H593" s="12" t="s">
        <v>153</v>
      </c>
      <c r="I593" s="12" t="s">
        <v>115</v>
      </c>
      <c r="J593" s="11" t="s">
        <v>755</v>
      </c>
      <c r="K593" s="11" t="s">
        <v>755</v>
      </c>
      <c r="L593" s="11" t="s">
        <v>1209</v>
      </c>
      <c r="M593" s="11" t="s">
        <v>747</v>
      </c>
      <c r="N593" s="59">
        <v>0</v>
      </c>
      <c r="O593" s="59">
        <v>34.03</v>
      </c>
      <c r="P593" s="12"/>
      <c r="Q593" s="12" t="s">
        <v>12</v>
      </c>
      <c r="R593" s="12" t="s">
        <v>99</v>
      </c>
      <c r="S593" s="12" t="s">
        <v>99</v>
      </c>
      <c r="T593" s="12">
        <v>0</v>
      </c>
      <c r="U593" s="13"/>
      <c r="V593" s="12" t="s">
        <v>92</v>
      </c>
      <c r="W593" s="12" t="s">
        <v>92</v>
      </c>
      <c r="X593" s="12" t="s">
        <v>93</v>
      </c>
      <c r="Y593" s="13"/>
      <c r="Z593" s="75"/>
      <c r="AA593" s="24"/>
      <c r="AC593" s="24"/>
      <c r="AD593" s="24"/>
      <c r="AE593" s="24"/>
      <c r="AF593" s="24"/>
      <c r="AG593" s="24"/>
      <c r="AH593" s="24"/>
      <c r="AI593" s="24"/>
    </row>
    <row r="594" spans="1:35" hidden="1" x14ac:dyDescent="0.3">
      <c r="A594" s="12" t="s">
        <v>85</v>
      </c>
      <c r="B594" s="12">
        <v>44606</v>
      </c>
      <c r="C594" s="11" t="s">
        <v>734</v>
      </c>
      <c r="D594" s="12" t="s">
        <v>1</v>
      </c>
      <c r="E594" s="12" t="s">
        <v>1185</v>
      </c>
      <c r="F594" s="12" t="s">
        <v>113</v>
      </c>
      <c r="G594" s="12" t="s">
        <v>113</v>
      </c>
      <c r="H594" s="12" t="s">
        <v>153</v>
      </c>
      <c r="I594" s="12" t="s">
        <v>115</v>
      </c>
      <c r="J594" s="11" t="s">
        <v>756</v>
      </c>
      <c r="K594" s="11" t="s">
        <v>756</v>
      </c>
      <c r="L594" s="11" t="s">
        <v>1209</v>
      </c>
      <c r="M594" s="11" t="s">
        <v>747</v>
      </c>
      <c r="N594" s="59">
        <v>0</v>
      </c>
      <c r="O594" s="59">
        <v>34.03</v>
      </c>
      <c r="P594" s="12"/>
      <c r="Q594" s="12" t="s">
        <v>12</v>
      </c>
      <c r="R594" s="12" t="s">
        <v>99</v>
      </c>
      <c r="S594" s="12" t="s">
        <v>99</v>
      </c>
      <c r="T594" s="12">
        <v>0</v>
      </c>
      <c r="U594" s="13"/>
      <c r="V594" s="12" t="s">
        <v>92</v>
      </c>
      <c r="W594" s="12" t="s">
        <v>92</v>
      </c>
      <c r="X594" s="12" t="s">
        <v>93</v>
      </c>
      <c r="Y594" s="13"/>
      <c r="Z594" s="75"/>
      <c r="AA594" s="24"/>
      <c r="AC594" s="24"/>
      <c r="AD594" s="24"/>
      <c r="AE594" s="24"/>
      <c r="AF594" s="24"/>
      <c r="AG594" s="24"/>
      <c r="AH594" s="24"/>
      <c r="AI594" s="24"/>
    </row>
    <row r="595" spans="1:35" hidden="1" x14ac:dyDescent="0.3">
      <c r="A595" s="12" t="s">
        <v>85</v>
      </c>
      <c r="B595" s="12">
        <v>44607</v>
      </c>
      <c r="C595" s="11" t="s">
        <v>734</v>
      </c>
      <c r="D595" s="12" t="s">
        <v>1</v>
      </c>
      <c r="E595" s="12" t="s">
        <v>1185</v>
      </c>
      <c r="F595" s="12" t="s">
        <v>113</v>
      </c>
      <c r="G595" s="12" t="s">
        <v>113</v>
      </c>
      <c r="H595" s="12" t="s">
        <v>153</v>
      </c>
      <c r="I595" s="12" t="s">
        <v>115</v>
      </c>
      <c r="J595" s="11" t="s">
        <v>757</v>
      </c>
      <c r="K595" s="11" t="s">
        <v>757</v>
      </c>
      <c r="L595" s="11" t="s">
        <v>1209</v>
      </c>
      <c r="M595" s="11" t="s">
        <v>747</v>
      </c>
      <c r="N595" s="59">
        <v>0</v>
      </c>
      <c r="O595" s="59">
        <v>34.03</v>
      </c>
      <c r="P595" s="12"/>
      <c r="Q595" s="12" t="s">
        <v>12</v>
      </c>
      <c r="R595" s="12" t="s">
        <v>99</v>
      </c>
      <c r="S595" s="12" t="s">
        <v>99</v>
      </c>
      <c r="T595" s="12">
        <v>0</v>
      </c>
      <c r="U595" s="13"/>
      <c r="V595" s="12" t="s">
        <v>92</v>
      </c>
      <c r="W595" s="12" t="s">
        <v>92</v>
      </c>
      <c r="X595" s="12" t="s">
        <v>93</v>
      </c>
      <c r="Y595" s="13"/>
      <c r="Z595" s="75"/>
      <c r="AA595" s="24"/>
      <c r="AC595" s="24"/>
      <c r="AD595" s="24"/>
      <c r="AE595" s="24"/>
      <c r="AF595" s="24"/>
      <c r="AG595" s="24"/>
      <c r="AH595" s="24"/>
      <c r="AI595" s="24"/>
    </row>
    <row r="596" spans="1:35" hidden="1" x14ac:dyDescent="0.3">
      <c r="A596" s="12" t="s">
        <v>85</v>
      </c>
      <c r="B596" s="12">
        <v>44608</v>
      </c>
      <c r="C596" s="11" t="s">
        <v>734</v>
      </c>
      <c r="D596" s="12" t="s">
        <v>1</v>
      </c>
      <c r="E596" s="12" t="s">
        <v>1185</v>
      </c>
      <c r="F596" s="12" t="s">
        <v>113</v>
      </c>
      <c r="G596" s="12" t="s">
        <v>113</v>
      </c>
      <c r="H596" s="12" t="s">
        <v>153</v>
      </c>
      <c r="I596" s="12" t="s">
        <v>115</v>
      </c>
      <c r="J596" s="11" t="s">
        <v>758</v>
      </c>
      <c r="K596" s="11" t="s">
        <v>758</v>
      </c>
      <c r="L596" s="11" t="s">
        <v>1209</v>
      </c>
      <c r="M596" s="11" t="s">
        <v>747</v>
      </c>
      <c r="N596" s="59">
        <v>0</v>
      </c>
      <c r="O596" s="59">
        <v>49.21</v>
      </c>
      <c r="P596" s="12"/>
      <c r="Q596" s="12" t="s">
        <v>12</v>
      </c>
      <c r="R596" s="12" t="s">
        <v>99</v>
      </c>
      <c r="S596" s="12" t="s">
        <v>99</v>
      </c>
      <c r="T596" s="12">
        <v>0</v>
      </c>
      <c r="U596" s="13"/>
      <c r="V596" s="12" t="s">
        <v>92</v>
      </c>
      <c r="W596" s="12" t="s">
        <v>92</v>
      </c>
      <c r="X596" s="12" t="s">
        <v>93</v>
      </c>
      <c r="Y596" s="13"/>
      <c r="Z596" s="75"/>
      <c r="AA596" s="24"/>
      <c r="AC596" s="24"/>
      <c r="AD596" s="24"/>
      <c r="AE596" s="24"/>
      <c r="AF596" s="24"/>
      <c r="AG596" s="24"/>
      <c r="AH596" s="24"/>
      <c r="AI596" s="24"/>
    </row>
    <row r="597" spans="1:35" hidden="1" x14ac:dyDescent="0.3">
      <c r="A597" s="12" t="s">
        <v>85</v>
      </c>
      <c r="B597" s="12">
        <v>44609</v>
      </c>
      <c r="C597" s="11" t="s">
        <v>734</v>
      </c>
      <c r="D597" s="12" t="s">
        <v>1</v>
      </c>
      <c r="E597" s="12" t="s">
        <v>1185</v>
      </c>
      <c r="F597" s="12" t="s">
        <v>113</v>
      </c>
      <c r="G597" s="12" t="s">
        <v>113</v>
      </c>
      <c r="H597" s="12" t="s">
        <v>153</v>
      </c>
      <c r="I597" s="12" t="s">
        <v>115</v>
      </c>
      <c r="J597" s="11" t="s">
        <v>759</v>
      </c>
      <c r="K597" s="11" t="s">
        <v>759</v>
      </c>
      <c r="L597" s="11" t="s">
        <v>1209</v>
      </c>
      <c r="M597" s="11" t="s">
        <v>747</v>
      </c>
      <c r="N597" s="59">
        <v>0</v>
      </c>
      <c r="O597" s="59">
        <v>49.21</v>
      </c>
      <c r="P597" s="12"/>
      <c r="Q597" s="12" t="s">
        <v>12</v>
      </c>
      <c r="R597" s="12" t="s">
        <v>99</v>
      </c>
      <c r="S597" s="12" t="s">
        <v>99</v>
      </c>
      <c r="T597" s="12">
        <v>0</v>
      </c>
      <c r="U597" s="13"/>
      <c r="V597" s="12" t="s">
        <v>92</v>
      </c>
      <c r="W597" s="12" t="s">
        <v>92</v>
      </c>
      <c r="X597" s="12" t="s">
        <v>93</v>
      </c>
      <c r="Y597" s="13"/>
      <c r="Z597" s="75"/>
      <c r="AA597" s="24"/>
      <c r="AC597" s="24"/>
      <c r="AD597" s="24"/>
      <c r="AE597" s="24"/>
      <c r="AF597" s="24"/>
      <c r="AG597" s="24"/>
      <c r="AH597" s="24"/>
      <c r="AI597" s="24"/>
    </row>
    <row r="598" spans="1:35" hidden="1" x14ac:dyDescent="0.3">
      <c r="A598" s="12" t="s">
        <v>85</v>
      </c>
      <c r="B598" s="12">
        <v>44610</v>
      </c>
      <c r="C598" s="11" t="s">
        <v>734</v>
      </c>
      <c r="D598" s="12" t="s">
        <v>1</v>
      </c>
      <c r="E598" s="12" t="s">
        <v>1185</v>
      </c>
      <c r="F598" s="12" t="s">
        <v>113</v>
      </c>
      <c r="G598" s="12" t="s">
        <v>113</v>
      </c>
      <c r="H598" s="12" t="s">
        <v>153</v>
      </c>
      <c r="I598" s="12" t="s">
        <v>115</v>
      </c>
      <c r="J598" s="11" t="s">
        <v>760</v>
      </c>
      <c r="K598" s="11" t="s">
        <v>760</v>
      </c>
      <c r="L598" s="11" t="s">
        <v>1209</v>
      </c>
      <c r="M598" s="11" t="s">
        <v>747</v>
      </c>
      <c r="N598" s="59">
        <v>0</v>
      </c>
      <c r="O598" s="59">
        <v>49.12</v>
      </c>
      <c r="P598" s="12"/>
      <c r="Q598" s="12" t="s">
        <v>12</v>
      </c>
      <c r="R598" s="12" t="s">
        <v>99</v>
      </c>
      <c r="S598" s="12" t="s">
        <v>99</v>
      </c>
      <c r="T598" s="12">
        <v>0</v>
      </c>
      <c r="U598" s="13"/>
      <c r="V598" s="12" t="s">
        <v>92</v>
      </c>
      <c r="W598" s="12" t="s">
        <v>92</v>
      </c>
      <c r="X598" s="12" t="s">
        <v>93</v>
      </c>
      <c r="Y598" s="13"/>
      <c r="Z598" s="75"/>
      <c r="AA598" s="24"/>
      <c r="AC598" s="24"/>
      <c r="AD598" s="24"/>
      <c r="AE598" s="24"/>
      <c r="AF598" s="24"/>
      <c r="AG598" s="24"/>
      <c r="AH598" s="24"/>
      <c r="AI598" s="24"/>
    </row>
    <row r="599" spans="1:35" hidden="1" x14ac:dyDescent="0.3">
      <c r="A599" s="12" t="s">
        <v>85</v>
      </c>
      <c r="B599" s="12">
        <v>44611</v>
      </c>
      <c r="C599" s="11" t="s">
        <v>734</v>
      </c>
      <c r="D599" s="12" t="s">
        <v>1</v>
      </c>
      <c r="E599" s="12" t="s">
        <v>1185</v>
      </c>
      <c r="F599" s="12" t="s">
        <v>113</v>
      </c>
      <c r="G599" s="12" t="s">
        <v>113</v>
      </c>
      <c r="H599" s="12" t="s">
        <v>153</v>
      </c>
      <c r="I599" s="12" t="s">
        <v>115</v>
      </c>
      <c r="J599" s="11" t="s">
        <v>761</v>
      </c>
      <c r="K599" s="11" t="s">
        <v>761</v>
      </c>
      <c r="L599" s="11" t="s">
        <v>1209</v>
      </c>
      <c r="M599" s="11" t="s">
        <v>747</v>
      </c>
      <c r="N599" s="59">
        <v>0</v>
      </c>
      <c r="O599" s="59">
        <v>49.12</v>
      </c>
      <c r="P599" s="12"/>
      <c r="Q599" s="12" t="s">
        <v>12</v>
      </c>
      <c r="R599" s="12" t="s">
        <v>99</v>
      </c>
      <c r="S599" s="12" t="s">
        <v>99</v>
      </c>
      <c r="T599" s="12">
        <v>0</v>
      </c>
      <c r="U599" s="13"/>
      <c r="V599" s="12" t="s">
        <v>92</v>
      </c>
      <c r="W599" s="12" t="s">
        <v>92</v>
      </c>
      <c r="X599" s="12" t="s">
        <v>93</v>
      </c>
      <c r="Y599" s="13"/>
      <c r="Z599" s="75"/>
      <c r="AA599" s="24"/>
      <c r="AC599" s="24"/>
      <c r="AD599" s="24"/>
      <c r="AE599" s="24"/>
      <c r="AF599" s="24"/>
      <c r="AG599" s="24"/>
      <c r="AH599" s="24"/>
      <c r="AI599" s="24"/>
    </row>
    <row r="600" spans="1:35" hidden="1" x14ac:dyDescent="0.3">
      <c r="A600" s="12" t="s">
        <v>85</v>
      </c>
      <c r="B600" s="12">
        <v>44612</v>
      </c>
      <c r="C600" s="11" t="s">
        <v>734</v>
      </c>
      <c r="D600" s="12" t="s">
        <v>1</v>
      </c>
      <c r="E600" s="12" t="s">
        <v>1185</v>
      </c>
      <c r="F600" s="12" t="s">
        <v>113</v>
      </c>
      <c r="G600" s="12" t="s">
        <v>113</v>
      </c>
      <c r="H600" s="12" t="s">
        <v>153</v>
      </c>
      <c r="I600" s="12" t="s">
        <v>115</v>
      </c>
      <c r="J600" s="11" t="s">
        <v>762</v>
      </c>
      <c r="K600" s="11" t="s">
        <v>762</v>
      </c>
      <c r="L600" s="11" t="s">
        <v>1209</v>
      </c>
      <c r="M600" s="11" t="s">
        <v>747</v>
      </c>
      <c r="N600" s="59">
        <v>0</v>
      </c>
      <c r="O600" s="59">
        <v>46.34</v>
      </c>
      <c r="P600" s="12"/>
      <c r="Q600" s="12" t="s">
        <v>12</v>
      </c>
      <c r="R600" s="12" t="s">
        <v>99</v>
      </c>
      <c r="S600" s="12" t="s">
        <v>99</v>
      </c>
      <c r="T600" s="12">
        <v>0</v>
      </c>
      <c r="U600" s="13"/>
      <c r="V600" s="12" t="s">
        <v>92</v>
      </c>
      <c r="W600" s="12" t="s">
        <v>92</v>
      </c>
      <c r="X600" s="12" t="s">
        <v>93</v>
      </c>
      <c r="Y600" s="13"/>
      <c r="Z600" s="75"/>
      <c r="AA600" s="24"/>
      <c r="AC600" s="24"/>
      <c r="AD600" s="24"/>
      <c r="AE600" s="24"/>
      <c r="AF600" s="24"/>
      <c r="AG600" s="24"/>
      <c r="AH600" s="24"/>
      <c r="AI600" s="24"/>
    </row>
    <row r="601" spans="1:35" hidden="1" x14ac:dyDescent="0.3">
      <c r="A601" s="12" t="s">
        <v>85</v>
      </c>
      <c r="B601" s="12">
        <v>44613</v>
      </c>
      <c r="C601" s="11" t="s">
        <v>734</v>
      </c>
      <c r="D601" s="12" t="s">
        <v>1</v>
      </c>
      <c r="E601" s="12" t="s">
        <v>1185</v>
      </c>
      <c r="F601" s="12" t="s">
        <v>113</v>
      </c>
      <c r="G601" s="12" t="s">
        <v>113</v>
      </c>
      <c r="H601" s="12" t="s">
        <v>153</v>
      </c>
      <c r="I601" s="12" t="s">
        <v>115</v>
      </c>
      <c r="J601" s="11" t="s">
        <v>763</v>
      </c>
      <c r="K601" s="11" t="s">
        <v>763</v>
      </c>
      <c r="L601" s="11" t="s">
        <v>1209</v>
      </c>
      <c r="M601" s="11" t="s">
        <v>747</v>
      </c>
      <c r="N601" s="59">
        <v>0</v>
      </c>
      <c r="O601" s="59">
        <v>49.21</v>
      </c>
      <c r="P601" s="12"/>
      <c r="Q601" s="12" t="s">
        <v>12</v>
      </c>
      <c r="R601" s="12" t="s">
        <v>99</v>
      </c>
      <c r="S601" s="12" t="s">
        <v>99</v>
      </c>
      <c r="T601" s="12">
        <v>0</v>
      </c>
      <c r="U601" s="13"/>
      <c r="V601" s="12" t="s">
        <v>92</v>
      </c>
      <c r="W601" s="12" t="s">
        <v>92</v>
      </c>
      <c r="X601" s="12" t="s">
        <v>93</v>
      </c>
      <c r="Y601" s="13"/>
      <c r="Z601" s="75"/>
      <c r="AA601" s="24"/>
      <c r="AC601" s="24"/>
      <c r="AD601" s="24"/>
      <c r="AE601" s="24"/>
      <c r="AF601" s="24"/>
      <c r="AG601" s="24"/>
      <c r="AH601" s="24"/>
      <c r="AI601" s="24"/>
    </row>
    <row r="602" spans="1:35" hidden="1" x14ac:dyDescent="0.3">
      <c r="A602" s="12" t="s">
        <v>85</v>
      </c>
      <c r="B602" s="12">
        <v>44614</v>
      </c>
      <c r="C602" s="11" t="s">
        <v>734</v>
      </c>
      <c r="D602" s="12" t="s">
        <v>1</v>
      </c>
      <c r="E602" s="12" t="s">
        <v>1185</v>
      </c>
      <c r="F602" s="12" t="s">
        <v>113</v>
      </c>
      <c r="G602" s="12" t="s">
        <v>113</v>
      </c>
      <c r="H602" s="12" t="s">
        <v>153</v>
      </c>
      <c r="I602" s="12" t="s">
        <v>115</v>
      </c>
      <c r="J602" s="11" t="s">
        <v>764</v>
      </c>
      <c r="K602" s="11" t="s">
        <v>764</v>
      </c>
      <c r="L602" s="11" t="s">
        <v>1209</v>
      </c>
      <c r="M602" s="11" t="s">
        <v>747</v>
      </c>
      <c r="N602" s="59">
        <v>0</v>
      </c>
      <c r="O602" s="59">
        <v>49.21</v>
      </c>
      <c r="P602" s="12"/>
      <c r="Q602" s="12" t="s">
        <v>12</v>
      </c>
      <c r="R602" s="12" t="s">
        <v>99</v>
      </c>
      <c r="S602" s="12" t="s">
        <v>99</v>
      </c>
      <c r="T602" s="12">
        <v>0</v>
      </c>
      <c r="U602" s="13"/>
      <c r="V602" s="12" t="s">
        <v>92</v>
      </c>
      <c r="W602" s="12" t="s">
        <v>92</v>
      </c>
      <c r="X602" s="12" t="s">
        <v>93</v>
      </c>
      <c r="Y602" s="13"/>
      <c r="Z602" s="75"/>
      <c r="AA602" s="24"/>
      <c r="AC602" s="24"/>
      <c r="AD602" s="24"/>
      <c r="AE602" s="24"/>
      <c r="AF602" s="24"/>
      <c r="AG602" s="24"/>
      <c r="AH602" s="24"/>
      <c r="AI602" s="24"/>
    </row>
    <row r="603" spans="1:35" hidden="1" x14ac:dyDescent="0.3">
      <c r="A603" s="12" t="s">
        <v>85</v>
      </c>
      <c r="B603" s="12">
        <v>44615</v>
      </c>
      <c r="C603" s="11" t="s">
        <v>734</v>
      </c>
      <c r="D603" s="12" t="s">
        <v>1</v>
      </c>
      <c r="E603" s="12" t="s">
        <v>1185</v>
      </c>
      <c r="F603" s="12" t="s">
        <v>113</v>
      </c>
      <c r="G603" s="12" t="s">
        <v>113</v>
      </c>
      <c r="H603" s="12" t="s">
        <v>153</v>
      </c>
      <c r="I603" s="12" t="s">
        <v>115</v>
      </c>
      <c r="J603" s="11" t="s">
        <v>765</v>
      </c>
      <c r="K603" s="11" t="s">
        <v>765</v>
      </c>
      <c r="L603" s="11" t="s">
        <v>1209</v>
      </c>
      <c r="M603" s="11" t="s">
        <v>747</v>
      </c>
      <c r="N603" s="59">
        <v>0</v>
      </c>
      <c r="O603" s="59">
        <v>49.21</v>
      </c>
      <c r="P603" s="12"/>
      <c r="Q603" s="12" t="s">
        <v>12</v>
      </c>
      <c r="R603" s="12" t="s">
        <v>99</v>
      </c>
      <c r="S603" s="12" t="s">
        <v>99</v>
      </c>
      <c r="T603" s="12">
        <v>0</v>
      </c>
      <c r="U603" s="13"/>
      <c r="V603" s="12" t="s">
        <v>92</v>
      </c>
      <c r="W603" s="12" t="s">
        <v>92</v>
      </c>
      <c r="X603" s="12" t="s">
        <v>93</v>
      </c>
      <c r="Y603" s="13"/>
      <c r="Z603" s="75"/>
      <c r="AA603" s="24"/>
      <c r="AC603" s="24"/>
      <c r="AD603" s="24"/>
      <c r="AE603" s="24"/>
      <c r="AF603" s="24"/>
      <c r="AG603" s="24"/>
      <c r="AH603" s="24"/>
      <c r="AI603" s="24"/>
    </row>
    <row r="604" spans="1:35" hidden="1" x14ac:dyDescent="0.3">
      <c r="A604" s="12" t="s">
        <v>85</v>
      </c>
      <c r="B604" s="12">
        <v>44616</v>
      </c>
      <c r="C604" s="11" t="s">
        <v>734</v>
      </c>
      <c r="D604" s="12" t="s">
        <v>1</v>
      </c>
      <c r="E604" s="12" t="s">
        <v>1185</v>
      </c>
      <c r="F604" s="12" t="s">
        <v>113</v>
      </c>
      <c r="G604" s="12" t="s">
        <v>113</v>
      </c>
      <c r="H604" s="12" t="s">
        <v>153</v>
      </c>
      <c r="I604" s="12" t="s">
        <v>115</v>
      </c>
      <c r="J604" s="11" t="s">
        <v>766</v>
      </c>
      <c r="K604" s="11" t="s">
        <v>766</v>
      </c>
      <c r="L604" s="11" t="s">
        <v>1209</v>
      </c>
      <c r="M604" s="11" t="s">
        <v>747</v>
      </c>
      <c r="N604" s="59">
        <v>0</v>
      </c>
      <c r="O604" s="59">
        <v>49.12</v>
      </c>
      <c r="P604" s="12"/>
      <c r="Q604" s="12" t="s">
        <v>12</v>
      </c>
      <c r="R604" s="12" t="s">
        <v>99</v>
      </c>
      <c r="S604" s="12" t="s">
        <v>99</v>
      </c>
      <c r="T604" s="12">
        <v>0</v>
      </c>
      <c r="U604" s="13"/>
      <c r="V604" s="12" t="s">
        <v>92</v>
      </c>
      <c r="W604" s="12" t="s">
        <v>92</v>
      </c>
      <c r="X604" s="12" t="s">
        <v>93</v>
      </c>
      <c r="Y604" s="13"/>
      <c r="Z604" s="75"/>
      <c r="AA604" s="24"/>
      <c r="AC604" s="24"/>
      <c r="AD604" s="24"/>
      <c r="AE604" s="24"/>
      <c r="AF604" s="24"/>
      <c r="AG604" s="24"/>
      <c r="AH604" s="24"/>
      <c r="AI604" s="24"/>
    </row>
    <row r="605" spans="1:35" hidden="1" x14ac:dyDescent="0.3">
      <c r="A605" s="12" t="s">
        <v>85</v>
      </c>
      <c r="B605" s="12">
        <v>44617</v>
      </c>
      <c r="C605" s="11" t="s">
        <v>734</v>
      </c>
      <c r="D605" s="12" t="s">
        <v>1</v>
      </c>
      <c r="E605" s="12" t="s">
        <v>1185</v>
      </c>
      <c r="F605" s="12" t="s">
        <v>113</v>
      </c>
      <c r="G605" s="12" t="s">
        <v>113</v>
      </c>
      <c r="H605" s="12" t="s">
        <v>153</v>
      </c>
      <c r="I605" s="12" t="s">
        <v>115</v>
      </c>
      <c r="J605" s="11" t="s">
        <v>767</v>
      </c>
      <c r="K605" s="11" t="s">
        <v>767</v>
      </c>
      <c r="L605" s="11" t="s">
        <v>1209</v>
      </c>
      <c r="M605" s="11" t="s">
        <v>747</v>
      </c>
      <c r="N605" s="59">
        <v>0</v>
      </c>
      <c r="O605" s="59">
        <v>46.34</v>
      </c>
      <c r="P605" s="12"/>
      <c r="Q605" s="12" t="s">
        <v>12</v>
      </c>
      <c r="R605" s="12" t="s">
        <v>99</v>
      </c>
      <c r="S605" s="12" t="s">
        <v>99</v>
      </c>
      <c r="T605" s="12">
        <v>0</v>
      </c>
      <c r="U605" s="13"/>
      <c r="V605" s="12" t="s">
        <v>92</v>
      </c>
      <c r="W605" s="12" t="s">
        <v>92</v>
      </c>
      <c r="X605" s="12" t="s">
        <v>93</v>
      </c>
      <c r="Y605" s="13"/>
      <c r="Z605" s="75"/>
      <c r="AA605" s="24"/>
      <c r="AC605" s="24"/>
      <c r="AD605" s="24"/>
      <c r="AE605" s="24"/>
      <c r="AF605" s="24"/>
      <c r="AG605" s="24"/>
      <c r="AH605" s="24"/>
      <c r="AI605" s="24"/>
    </row>
    <row r="606" spans="1:35" hidden="1" x14ac:dyDescent="0.3">
      <c r="A606" s="12" t="s">
        <v>85</v>
      </c>
      <c r="B606" s="12">
        <v>44618</v>
      </c>
      <c r="C606" s="11" t="s">
        <v>734</v>
      </c>
      <c r="D606" s="12" t="s">
        <v>1</v>
      </c>
      <c r="E606" s="12" t="s">
        <v>1185</v>
      </c>
      <c r="F606" s="12" t="s">
        <v>113</v>
      </c>
      <c r="G606" s="12" t="s">
        <v>113</v>
      </c>
      <c r="H606" s="12" t="s">
        <v>153</v>
      </c>
      <c r="I606" s="12" t="s">
        <v>115</v>
      </c>
      <c r="J606" s="11" t="s">
        <v>768</v>
      </c>
      <c r="K606" s="11" t="s">
        <v>768</v>
      </c>
      <c r="L606" s="11" t="s">
        <v>1209</v>
      </c>
      <c r="M606" s="11" t="s">
        <v>747</v>
      </c>
      <c r="N606" s="59">
        <v>0</v>
      </c>
      <c r="O606" s="59">
        <v>49.21</v>
      </c>
      <c r="P606" s="12"/>
      <c r="Q606" s="12" t="s">
        <v>12</v>
      </c>
      <c r="R606" s="12" t="s">
        <v>99</v>
      </c>
      <c r="S606" s="12" t="s">
        <v>99</v>
      </c>
      <c r="T606" s="12">
        <v>0</v>
      </c>
      <c r="U606" s="13"/>
      <c r="V606" s="12" t="s">
        <v>92</v>
      </c>
      <c r="W606" s="12" t="s">
        <v>92</v>
      </c>
      <c r="X606" s="12" t="s">
        <v>93</v>
      </c>
      <c r="Y606" s="13"/>
      <c r="Z606" s="75"/>
      <c r="AA606" s="24"/>
      <c r="AC606" s="24"/>
      <c r="AD606" s="24"/>
      <c r="AE606" s="24"/>
      <c r="AF606" s="24"/>
      <c r="AG606" s="24"/>
      <c r="AH606" s="24"/>
      <c r="AI606" s="24"/>
    </row>
    <row r="607" spans="1:35" hidden="1" x14ac:dyDescent="0.3">
      <c r="A607" s="12" t="s">
        <v>85</v>
      </c>
      <c r="B607" s="12">
        <v>44619</v>
      </c>
      <c r="C607" s="11" t="s">
        <v>734</v>
      </c>
      <c r="D607" s="12" t="s">
        <v>1</v>
      </c>
      <c r="E607" s="12" t="s">
        <v>1185</v>
      </c>
      <c r="F607" s="12" t="s">
        <v>113</v>
      </c>
      <c r="G607" s="12" t="s">
        <v>113</v>
      </c>
      <c r="H607" s="12" t="s">
        <v>153</v>
      </c>
      <c r="I607" s="12" t="s">
        <v>115</v>
      </c>
      <c r="J607" s="11" t="s">
        <v>769</v>
      </c>
      <c r="K607" s="11" t="s">
        <v>769</v>
      </c>
      <c r="L607" s="11" t="s">
        <v>1209</v>
      </c>
      <c r="M607" s="11" t="s">
        <v>747</v>
      </c>
      <c r="N607" s="59">
        <v>0</v>
      </c>
      <c r="O607" s="59">
        <v>64.92</v>
      </c>
      <c r="P607" s="12"/>
      <c r="Q607" s="12" t="s">
        <v>12</v>
      </c>
      <c r="R607" s="12" t="s">
        <v>99</v>
      </c>
      <c r="S607" s="12" t="s">
        <v>99</v>
      </c>
      <c r="T607" s="12">
        <v>0</v>
      </c>
      <c r="U607" s="13"/>
      <c r="V607" s="12" t="s">
        <v>92</v>
      </c>
      <c r="W607" s="12" t="s">
        <v>92</v>
      </c>
      <c r="X607" s="12" t="s">
        <v>93</v>
      </c>
      <c r="Y607" s="13"/>
      <c r="Z607" s="75"/>
      <c r="AA607" s="24"/>
      <c r="AC607" s="24"/>
      <c r="AD607" s="24"/>
      <c r="AE607" s="24"/>
      <c r="AF607" s="24"/>
      <c r="AG607" s="24"/>
      <c r="AH607" s="24"/>
      <c r="AI607" s="24"/>
    </row>
    <row r="608" spans="1:35" hidden="1" x14ac:dyDescent="0.3">
      <c r="A608" s="12" t="s">
        <v>85</v>
      </c>
      <c r="B608" s="12">
        <v>44620</v>
      </c>
      <c r="C608" s="11" t="s">
        <v>734</v>
      </c>
      <c r="D608" s="12" t="s">
        <v>1</v>
      </c>
      <c r="E608" s="12" t="s">
        <v>1185</v>
      </c>
      <c r="F608" s="12" t="s">
        <v>113</v>
      </c>
      <c r="G608" s="12" t="s">
        <v>113</v>
      </c>
      <c r="H608" s="12" t="s">
        <v>153</v>
      </c>
      <c r="I608" s="12" t="s">
        <v>115</v>
      </c>
      <c r="J608" s="11" t="s">
        <v>770</v>
      </c>
      <c r="K608" s="11" t="s">
        <v>770</v>
      </c>
      <c r="L608" s="11" t="s">
        <v>1209</v>
      </c>
      <c r="M608" s="11" t="s">
        <v>747</v>
      </c>
      <c r="N608" s="59">
        <v>0</v>
      </c>
      <c r="O608" s="59">
        <v>49.21</v>
      </c>
      <c r="P608" s="12"/>
      <c r="Q608" s="12" t="s">
        <v>12</v>
      </c>
      <c r="R608" s="12" t="s">
        <v>99</v>
      </c>
      <c r="S608" s="12" t="s">
        <v>99</v>
      </c>
      <c r="T608" s="12">
        <v>0</v>
      </c>
      <c r="U608" s="13"/>
      <c r="V608" s="12" t="s">
        <v>92</v>
      </c>
      <c r="W608" s="12" t="s">
        <v>92</v>
      </c>
      <c r="X608" s="12" t="s">
        <v>93</v>
      </c>
      <c r="Y608" s="13"/>
      <c r="Z608" s="75"/>
      <c r="AA608" s="24"/>
      <c r="AC608" s="24"/>
      <c r="AD608" s="24"/>
      <c r="AE608" s="24"/>
      <c r="AF608" s="24"/>
      <c r="AG608" s="24"/>
      <c r="AH608" s="24"/>
      <c r="AI608" s="24"/>
    </row>
    <row r="609" spans="1:35" hidden="1" x14ac:dyDescent="0.3">
      <c r="A609" s="12" t="s">
        <v>85</v>
      </c>
      <c r="B609" s="12">
        <v>44621</v>
      </c>
      <c r="C609" s="11" t="s">
        <v>734</v>
      </c>
      <c r="D609" s="12" t="s">
        <v>1</v>
      </c>
      <c r="E609" s="12" t="s">
        <v>1185</v>
      </c>
      <c r="F609" s="12" t="s">
        <v>113</v>
      </c>
      <c r="G609" s="12" t="s">
        <v>113</v>
      </c>
      <c r="H609" s="12" t="s">
        <v>153</v>
      </c>
      <c r="I609" s="12" t="s">
        <v>115</v>
      </c>
      <c r="J609" s="11" t="s">
        <v>771</v>
      </c>
      <c r="K609" s="11" t="s">
        <v>771</v>
      </c>
      <c r="L609" s="11" t="s">
        <v>1209</v>
      </c>
      <c r="M609" s="11" t="s">
        <v>747</v>
      </c>
      <c r="N609" s="59">
        <v>0</v>
      </c>
      <c r="O609" s="59">
        <v>46.34</v>
      </c>
      <c r="P609" s="12"/>
      <c r="Q609" s="12" t="s">
        <v>12</v>
      </c>
      <c r="R609" s="12" t="s">
        <v>99</v>
      </c>
      <c r="S609" s="12" t="s">
        <v>99</v>
      </c>
      <c r="T609" s="12">
        <v>0</v>
      </c>
      <c r="U609" s="13"/>
      <c r="V609" s="12" t="s">
        <v>92</v>
      </c>
      <c r="W609" s="12" t="s">
        <v>92</v>
      </c>
      <c r="X609" s="12" t="s">
        <v>93</v>
      </c>
      <c r="Y609" s="13"/>
      <c r="Z609" s="75"/>
      <c r="AA609" s="24"/>
      <c r="AC609" s="24"/>
      <c r="AD609" s="24"/>
      <c r="AE609" s="24"/>
      <c r="AF609" s="24"/>
      <c r="AG609" s="24"/>
      <c r="AH609" s="24"/>
      <c r="AI609" s="24"/>
    </row>
    <row r="610" spans="1:35" hidden="1" x14ac:dyDescent="0.3">
      <c r="A610" s="12" t="s">
        <v>85</v>
      </c>
      <c r="B610" s="12">
        <v>44622</v>
      </c>
      <c r="C610" s="11" t="s">
        <v>734</v>
      </c>
      <c r="D610" s="12" t="s">
        <v>1</v>
      </c>
      <c r="E610" s="12" t="s">
        <v>1185</v>
      </c>
      <c r="F610" s="12" t="s">
        <v>113</v>
      </c>
      <c r="G610" s="12" t="s">
        <v>113</v>
      </c>
      <c r="H610" s="12" t="s">
        <v>153</v>
      </c>
      <c r="I610" s="12" t="s">
        <v>115</v>
      </c>
      <c r="J610" s="11" t="s">
        <v>772</v>
      </c>
      <c r="K610" s="11" t="s">
        <v>772</v>
      </c>
      <c r="L610" s="11" t="s">
        <v>1209</v>
      </c>
      <c r="M610" s="11" t="s">
        <v>747</v>
      </c>
      <c r="N610" s="59">
        <v>0</v>
      </c>
      <c r="O610" s="59">
        <v>46.34</v>
      </c>
      <c r="P610" s="12"/>
      <c r="Q610" s="12" t="s">
        <v>12</v>
      </c>
      <c r="R610" s="12" t="s">
        <v>99</v>
      </c>
      <c r="S610" s="12" t="s">
        <v>99</v>
      </c>
      <c r="T610" s="12">
        <v>0</v>
      </c>
      <c r="U610" s="13"/>
      <c r="V610" s="12" t="s">
        <v>92</v>
      </c>
      <c r="W610" s="12" t="s">
        <v>92</v>
      </c>
      <c r="X610" s="12" t="s">
        <v>93</v>
      </c>
      <c r="Y610" s="13"/>
      <c r="Z610" s="75"/>
      <c r="AA610" s="24"/>
      <c r="AC610" s="24"/>
      <c r="AD610" s="24"/>
      <c r="AE610" s="24"/>
      <c r="AF610" s="24"/>
      <c r="AG610" s="24"/>
      <c r="AH610" s="24"/>
      <c r="AI610" s="24"/>
    </row>
    <row r="611" spans="1:35" hidden="1" x14ac:dyDescent="0.3">
      <c r="A611" s="12" t="s">
        <v>85</v>
      </c>
      <c r="B611" s="12">
        <v>44636</v>
      </c>
      <c r="C611" s="11" t="s">
        <v>734</v>
      </c>
      <c r="D611" s="12" t="s">
        <v>1</v>
      </c>
      <c r="E611" s="12" t="s">
        <v>1185</v>
      </c>
      <c r="F611" s="12" t="s">
        <v>113</v>
      </c>
      <c r="G611" s="12" t="s">
        <v>113</v>
      </c>
      <c r="H611" s="12" t="s">
        <v>153</v>
      </c>
      <c r="I611" s="12" t="s">
        <v>115</v>
      </c>
      <c r="J611" s="11" t="s">
        <v>773</v>
      </c>
      <c r="K611" s="11" t="s">
        <v>773</v>
      </c>
      <c r="L611" s="11" t="s">
        <v>1209</v>
      </c>
      <c r="M611" s="11" t="s">
        <v>736</v>
      </c>
      <c r="N611" s="59">
        <v>0</v>
      </c>
      <c r="O611" s="59">
        <v>33.18</v>
      </c>
      <c r="P611" s="12"/>
      <c r="Q611" s="12" t="s">
        <v>12</v>
      </c>
      <c r="R611" s="12" t="s">
        <v>99</v>
      </c>
      <c r="S611" s="12" t="s">
        <v>99</v>
      </c>
      <c r="T611" s="12">
        <v>0</v>
      </c>
      <c r="U611" s="13"/>
      <c r="V611" s="12" t="s">
        <v>92</v>
      </c>
      <c r="W611" s="12" t="s">
        <v>92</v>
      </c>
      <c r="X611" s="12" t="s">
        <v>93</v>
      </c>
      <c r="Y611" s="13"/>
      <c r="Z611" s="75"/>
      <c r="AA611" s="24"/>
      <c r="AC611" s="24"/>
      <c r="AD611" s="24"/>
      <c r="AE611" s="24"/>
      <c r="AF611" s="24"/>
      <c r="AG611" s="24"/>
      <c r="AH611" s="24"/>
      <c r="AI611" s="24"/>
    </row>
    <row r="612" spans="1:35" hidden="1" x14ac:dyDescent="0.3">
      <c r="A612" s="12" t="s">
        <v>85</v>
      </c>
      <c r="B612" s="12">
        <v>44665</v>
      </c>
      <c r="C612" s="11" t="s">
        <v>652</v>
      </c>
      <c r="D612" s="12" t="s">
        <v>1</v>
      </c>
      <c r="E612" s="12" t="s">
        <v>1185</v>
      </c>
      <c r="F612" s="12" t="s">
        <v>132</v>
      </c>
      <c r="G612" s="12" t="s">
        <v>113</v>
      </c>
      <c r="H612" s="12" t="s">
        <v>653</v>
      </c>
      <c r="I612" s="12" t="s">
        <v>89</v>
      </c>
      <c r="J612" s="11" t="s">
        <v>774</v>
      </c>
      <c r="K612" s="11" t="s">
        <v>774</v>
      </c>
      <c r="L612" s="11" t="s">
        <v>1195</v>
      </c>
      <c r="M612" s="11" t="s">
        <v>775</v>
      </c>
      <c r="N612" s="57">
        <v>1612400.7</v>
      </c>
      <c r="O612" s="59"/>
      <c r="P612" s="12">
        <v>60815</v>
      </c>
      <c r="Q612" s="12" t="s">
        <v>12</v>
      </c>
      <c r="R612" s="12" t="s">
        <v>99</v>
      </c>
      <c r="S612" s="12" t="s">
        <v>99</v>
      </c>
      <c r="T612" s="12">
        <v>0</v>
      </c>
      <c r="U612" s="13"/>
      <c r="V612" s="12" t="s">
        <v>92</v>
      </c>
      <c r="W612" s="12" t="s">
        <v>92</v>
      </c>
      <c r="X612" s="12" t="s">
        <v>135</v>
      </c>
      <c r="Y612" s="13"/>
      <c r="Z612" s="75"/>
      <c r="AA612" s="24"/>
      <c r="AC612" s="24"/>
      <c r="AD612" s="24"/>
      <c r="AE612" s="24"/>
      <c r="AF612" s="24"/>
      <c r="AG612" s="24"/>
      <c r="AH612" s="24"/>
      <c r="AI612" s="24"/>
    </row>
    <row r="613" spans="1:35" hidden="1" x14ac:dyDescent="0.3">
      <c r="A613" s="12" t="s">
        <v>85</v>
      </c>
      <c r="B613" s="12">
        <v>47637</v>
      </c>
      <c r="C613" s="11" t="s">
        <v>333</v>
      </c>
      <c r="D613" s="12" t="s">
        <v>1</v>
      </c>
      <c r="E613" s="12" t="s">
        <v>1185</v>
      </c>
      <c r="F613" s="12" t="s">
        <v>132</v>
      </c>
      <c r="G613" s="12" t="s">
        <v>113</v>
      </c>
      <c r="H613" s="12" t="s">
        <v>334</v>
      </c>
      <c r="I613" s="12" t="s">
        <v>89</v>
      </c>
      <c r="J613" s="11" t="s">
        <v>562</v>
      </c>
      <c r="K613" s="11" t="s">
        <v>562</v>
      </c>
      <c r="L613" s="11" t="s">
        <v>1195</v>
      </c>
      <c r="M613" s="11" t="s">
        <v>563</v>
      </c>
      <c r="N613" s="57">
        <v>4612.8</v>
      </c>
      <c r="O613" s="59"/>
      <c r="P613" s="12" t="s">
        <v>776</v>
      </c>
      <c r="Q613" s="12" t="s">
        <v>4</v>
      </c>
      <c r="R613" s="12" t="s">
        <v>13</v>
      </c>
      <c r="S613" s="12" t="s">
        <v>25</v>
      </c>
      <c r="T613" s="12">
        <v>1</v>
      </c>
      <c r="U613" s="13"/>
      <c r="V613" s="96" t="s">
        <v>777</v>
      </c>
      <c r="W613" s="12" t="s">
        <v>92</v>
      </c>
      <c r="X613" s="12" t="s">
        <v>108</v>
      </c>
      <c r="Y613" s="13"/>
      <c r="Z613" s="75"/>
      <c r="AA613" s="24"/>
      <c r="AC613" s="24"/>
      <c r="AD613" s="24"/>
      <c r="AE613" s="24"/>
      <c r="AF613" s="24"/>
      <c r="AG613" s="24"/>
      <c r="AH613" s="24"/>
      <c r="AI613" s="24"/>
    </row>
    <row r="614" spans="1:35" hidden="1" x14ac:dyDescent="0.3">
      <c r="A614" s="12" t="s">
        <v>85</v>
      </c>
      <c r="B614" s="12">
        <v>47638</v>
      </c>
      <c r="C614" s="11" t="s">
        <v>333</v>
      </c>
      <c r="D614" s="12" t="s">
        <v>1</v>
      </c>
      <c r="E614" s="12" t="s">
        <v>1185</v>
      </c>
      <c r="F614" s="12" t="s">
        <v>132</v>
      </c>
      <c r="G614" s="12" t="s">
        <v>113</v>
      </c>
      <c r="H614" s="12" t="s">
        <v>334</v>
      </c>
      <c r="I614" s="12" t="s">
        <v>89</v>
      </c>
      <c r="J614" s="11" t="s">
        <v>562</v>
      </c>
      <c r="K614" s="11" t="s">
        <v>562</v>
      </c>
      <c r="L614" s="11" t="s">
        <v>1195</v>
      </c>
      <c r="M614" s="11" t="s">
        <v>563</v>
      </c>
      <c r="N614" s="57">
        <v>3955.8</v>
      </c>
      <c r="O614" s="59"/>
      <c r="P614" s="12" t="s">
        <v>778</v>
      </c>
      <c r="Q614" s="12" t="s">
        <v>4</v>
      </c>
      <c r="R614" s="12" t="s">
        <v>13</v>
      </c>
      <c r="S614" s="12" t="s">
        <v>25</v>
      </c>
      <c r="T614" s="12">
        <v>0</v>
      </c>
      <c r="U614" s="13"/>
      <c r="V614" s="12" t="s">
        <v>92</v>
      </c>
      <c r="W614" s="12" t="s">
        <v>92</v>
      </c>
      <c r="X614" s="12" t="s">
        <v>93</v>
      </c>
      <c r="Y614" s="13"/>
      <c r="Z614" s="75"/>
      <c r="AA614" s="24"/>
      <c r="AC614" s="24"/>
      <c r="AD614" s="24"/>
      <c r="AE614" s="24"/>
      <c r="AF614" s="24"/>
      <c r="AG614" s="24"/>
      <c r="AH614" s="24"/>
      <c r="AI614" s="24"/>
    </row>
    <row r="615" spans="1:35" hidden="1" x14ac:dyDescent="0.3">
      <c r="A615" s="12" t="s">
        <v>85</v>
      </c>
      <c r="B615" s="12">
        <v>47639</v>
      </c>
      <c r="C615" s="11" t="s">
        <v>333</v>
      </c>
      <c r="D615" s="12" t="s">
        <v>1</v>
      </c>
      <c r="E615" s="12" t="s">
        <v>1185</v>
      </c>
      <c r="F615" s="12" t="s">
        <v>132</v>
      </c>
      <c r="G615" s="12" t="s">
        <v>113</v>
      </c>
      <c r="H615" s="12" t="s">
        <v>334</v>
      </c>
      <c r="I615" s="12" t="s">
        <v>89</v>
      </c>
      <c r="J615" s="11" t="s">
        <v>562</v>
      </c>
      <c r="K615" s="11" t="s">
        <v>562</v>
      </c>
      <c r="L615" s="11" t="s">
        <v>1195</v>
      </c>
      <c r="M615" s="11" t="s">
        <v>563</v>
      </c>
      <c r="N615" s="57">
        <v>4136.88</v>
      </c>
      <c r="O615" s="59"/>
      <c r="P615" s="12" t="s">
        <v>779</v>
      </c>
      <c r="Q615" s="12" t="s">
        <v>4</v>
      </c>
      <c r="R615" s="12" t="s">
        <v>13</v>
      </c>
      <c r="S615" s="12" t="s">
        <v>25</v>
      </c>
      <c r="T615" s="12">
        <v>0</v>
      </c>
      <c r="U615" s="13"/>
      <c r="V615" s="12" t="s">
        <v>92</v>
      </c>
      <c r="W615" s="12" t="s">
        <v>92</v>
      </c>
      <c r="X615" s="12" t="s">
        <v>93</v>
      </c>
      <c r="Y615" s="13"/>
      <c r="Z615" s="75"/>
      <c r="AA615" s="24"/>
      <c r="AC615" s="24"/>
      <c r="AD615" s="24"/>
      <c r="AE615" s="24"/>
      <c r="AF615" s="24"/>
      <c r="AG615" s="24"/>
      <c r="AH615" s="24"/>
      <c r="AI615" s="24"/>
    </row>
    <row r="616" spans="1:35" hidden="1" x14ac:dyDescent="0.3">
      <c r="A616" s="12" t="s">
        <v>85</v>
      </c>
      <c r="B616" s="12">
        <v>47640</v>
      </c>
      <c r="C616" s="11" t="s">
        <v>333</v>
      </c>
      <c r="D616" s="12" t="s">
        <v>1</v>
      </c>
      <c r="E616" s="12" t="s">
        <v>1185</v>
      </c>
      <c r="F616" s="12" t="s">
        <v>132</v>
      </c>
      <c r="G616" s="12" t="s">
        <v>113</v>
      </c>
      <c r="H616" s="12" t="s">
        <v>334</v>
      </c>
      <c r="I616" s="12" t="s">
        <v>89</v>
      </c>
      <c r="J616" s="11" t="s">
        <v>562</v>
      </c>
      <c r="K616" s="11" t="s">
        <v>562</v>
      </c>
      <c r="L616" s="11" t="s">
        <v>1195</v>
      </c>
      <c r="M616" s="11" t="s">
        <v>563</v>
      </c>
      <c r="N616" s="57">
        <v>4724.3999999999996</v>
      </c>
      <c r="O616" s="59"/>
      <c r="P616" s="12" t="s">
        <v>780</v>
      </c>
      <c r="Q616" s="12" t="s">
        <v>4</v>
      </c>
      <c r="R616" s="12" t="s">
        <v>13</v>
      </c>
      <c r="S616" s="12" t="s">
        <v>25</v>
      </c>
      <c r="T616" s="12">
        <v>0</v>
      </c>
      <c r="U616" s="13"/>
      <c r="V616" s="12" t="s">
        <v>92</v>
      </c>
      <c r="W616" s="12" t="s">
        <v>92</v>
      </c>
      <c r="X616" s="12" t="s">
        <v>93</v>
      </c>
      <c r="Y616" s="13"/>
      <c r="Z616" s="75"/>
      <c r="AA616" s="24"/>
      <c r="AC616" s="24"/>
      <c r="AD616" s="24"/>
      <c r="AE616" s="24"/>
      <c r="AF616" s="24"/>
      <c r="AG616" s="24"/>
      <c r="AH616" s="24"/>
      <c r="AI616" s="24"/>
    </row>
    <row r="617" spans="1:35" hidden="1" x14ac:dyDescent="0.3">
      <c r="A617" s="12" t="s">
        <v>85</v>
      </c>
      <c r="B617" s="12">
        <v>47941</v>
      </c>
      <c r="C617" s="11" t="s">
        <v>100</v>
      </c>
      <c r="D617" s="12" t="s">
        <v>1</v>
      </c>
      <c r="E617" s="12" t="s">
        <v>1185</v>
      </c>
      <c r="F617" s="12" t="s">
        <v>87</v>
      </c>
      <c r="G617" s="12" t="s">
        <v>113</v>
      </c>
      <c r="H617" s="12" t="s">
        <v>101</v>
      </c>
      <c r="I617" s="12" t="s">
        <v>89</v>
      </c>
      <c r="J617" s="11" t="s">
        <v>1282</v>
      </c>
      <c r="K617" s="11" t="s">
        <v>781</v>
      </c>
      <c r="L617" s="11" t="s">
        <v>1219</v>
      </c>
      <c r="M617" s="11" t="s">
        <v>782</v>
      </c>
      <c r="N617" s="57">
        <v>119597.03</v>
      </c>
      <c r="O617" s="62"/>
      <c r="P617" s="12" t="s">
        <v>91</v>
      </c>
      <c r="Q617" s="12" t="s">
        <v>4</v>
      </c>
      <c r="R617" s="12" t="s">
        <v>15</v>
      </c>
      <c r="S617" s="12" t="s">
        <v>53</v>
      </c>
      <c r="T617" s="12">
        <v>1</v>
      </c>
      <c r="U617" s="13">
        <v>43814</v>
      </c>
      <c r="V617" s="12" t="s">
        <v>783</v>
      </c>
      <c r="W617" s="12" t="s">
        <v>92</v>
      </c>
      <c r="X617" s="12" t="s">
        <v>93</v>
      </c>
      <c r="Y617" s="13"/>
      <c r="Z617" s="75"/>
      <c r="AA617" s="24"/>
      <c r="AC617" s="24"/>
      <c r="AD617" s="24"/>
      <c r="AE617" s="24"/>
      <c r="AF617" s="24"/>
      <c r="AG617" s="24"/>
      <c r="AH617" s="24"/>
      <c r="AI617" s="24"/>
    </row>
    <row r="618" spans="1:35" hidden="1" x14ac:dyDescent="0.3">
      <c r="A618" s="12" t="s">
        <v>85</v>
      </c>
      <c r="B618" s="12">
        <v>47941</v>
      </c>
      <c r="C618" s="11" t="s">
        <v>100</v>
      </c>
      <c r="D618" s="12" t="s">
        <v>1</v>
      </c>
      <c r="E618" s="12" t="s">
        <v>1185</v>
      </c>
      <c r="F618" s="12" t="s">
        <v>87</v>
      </c>
      <c r="G618" s="12" t="s">
        <v>113</v>
      </c>
      <c r="H618" s="12" t="s">
        <v>101</v>
      </c>
      <c r="I618" s="12" t="s">
        <v>89</v>
      </c>
      <c r="J618" s="11" t="s">
        <v>1282</v>
      </c>
      <c r="K618" s="11" t="s">
        <v>781</v>
      </c>
      <c r="L618" s="11" t="s">
        <v>1219</v>
      </c>
      <c r="M618" s="11" t="s">
        <v>782</v>
      </c>
      <c r="N618" s="57">
        <v>119597.03</v>
      </c>
      <c r="O618" s="62"/>
      <c r="P618" s="12" t="s">
        <v>91</v>
      </c>
      <c r="Q618" s="12" t="s">
        <v>4</v>
      </c>
      <c r="R618" s="12" t="s">
        <v>13</v>
      </c>
      <c r="S618" s="12" t="s">
        <v>25</v>
      </c>
      <c r="T618" s="12">
        <v>1</v>
      </c>
      <c r="U618" s="13">
        <v>43847</v>
      </c>
      <c r="V618" s="12" t="s">
        <v>783</v>
      </c>
      <c r="W618" s="12" t="s">
        <v>92</v>
      </c>
      <c r="X618" s="12" t="s">
        <v>93</v>
      </c>
      <c r="Y618" s="13"/>
      <c r="Z618" s="75"/>
      <c r="AA618" s="24"/>
      <c r="AC618" s="24"/>
      <c r="AD618" s="24"/>
      <c r="AE618" s="24"/>
      <c r="AF618" s="24"/>
      <c r="AG618" s="24"/>
      <c r="AH618" s="24"/>
      <c r="AI618" s="24"/>
    </row>
    <row r="619" spans="1:35" hidden="1" x14ac:dyDescent="0.3">
      <c r="A619" s="12" t="s">
        <v>85</v>
      </c>
      <c r="B619" s="12">
        <v>47941</v>
      </c>
      <c r="C619" s="11" t="s">
        <v>100</v>
      </c>
      <c r="D619" s="12" t="s">
        <v>1</v>
      </c>
      <c r="E619" s="12" t="s">
        <v>1185</v>
      </c>
      <c r="F619" s="12" t="s">
        <v>87</v>
      </c>
      <c r="G619" s="12" t="s">
        <v>113</v>
      </c>
      <c r="H619" s="12" t="s">
        <v>101</v>
      </c>
      <c r="I619" s="12" t="s">
        <v>89</v>
      </c>
      <c r="J619" s="11" t="s">
        <v>1282</v>
      </c>
      <c r="K619" s="11" t="s">
        <v>781</v>
      </c>
      <c r="L619" s="11" t="s">
        <v>1219</v>
      </c>
      <c r="M619" s="11" t="s">
        <v>782</v>
      </c>
      <c r="N619" s="57">
        <v>119597.03</v>
      </c>
      <c r="O619" s="62"/>
      <c r="P619" s="12" t="s">
        <v>91</v>
      </c>
      <c r="Q619" s="12" t="s">
        <v>4</v>
      </c>
      <c r="R619" s="12" t="s">
        <v>15</v>
      </c>
      <c r="S619" s="12" t="s">
        <v>53</v>
      </c>
      <c r="T619" s="12">
        <v>1</v>
      </c>
      <c r="U619" s="13">
        <v>43879</v>
      </c>
      <c r="V619" s="12" t="s">
        <v>784</v>
      </c>
      <c r="W619" s="12" t="s">
        <v>92</v>
      </c>
      <c r="X619" s="12" t="s">
        <v>93</v>
      </c>
      <c r="Y619" s="13"/>
      <c r="Z619" s="75"/>
      <c r="AA619" s="24"/>
      <c r="AC619" s="24"/>
      <c r="AD619" s="24"/>
      <c r="AE619" s="24"/>
      <c r="AF619" s="24"/>
      <c r="AG619" s="24"/>
      <c r="AH619" s="24"/>
      <c r="AI619" s="24"/>
    </row>
    <row r="620" spans="1:35" hidden="1" x14ac:dyDescent="0.3">
      <c r="A620" s="12" t="s">
        <v>85</v>
      </c>
      <c r="B620" s="12">
        <v>47941</v>
      </c>
      <c r="C620" s="11" t="s">
        <v>100</v>
      </c>
      <c r="D620" s="12" t="s">
        <v>1</v>
      </c>
      <c r="E620" s="12" t="s">
        <v>1185</v>
      </c>
      <c r="F620" s="12" t="s">
        <v>87</v>
      </c>
      <c r="G620" s="12" t="s">
        <v>113</v>
      </c>
      <c r="H620" s="12" t="s">
        <v>101</v>
      </c>
      <c r="I620" s="12" t="s">
        <v>89</v>
      </c>
      <c r="J620" s="11" t="s">
        <v>1282</v>
      </c>
      <c r="K620" s="11" t="s">
        <v>781</v>
      </c>
      <c r="L620" s="11" t="s">
        <v>1219</v>
      </c>
      <c r="M620" s="11" t="s">
        <v>782</v>
      </c>
      <c r="N620" s="57">
        <v>119597.03</v>
      </c>
      <c r="O620" s="62"/>
      <c r="P620" s="12" t="s">
        <v>91</v>
      </c>
      <c r="Q620" s="12" t="s">
        <v>4</v>
      </c>
      <c r="R620" s="12" t="s">
        <v>15</v>
      </c>
      <c r="S620" s="12" t="s">
        <v>53</v>
      </c>
      <c r="T620" s="12">
        <v>1</v>
      </c>
      <c r="U620" s="13">
        <v>43725</v>
      </c>
      <c r="V620" s="12" t="s">
        <v>785</v>
      </c>
      <c r="W620" s="12" t="s">
        <v>92</v>
      </c>
      <c r="X620" s="12" t="s">
        <v>93</v>
      </c>
      <c r="Y620" s="13"/>
      <c r="Z620" s="75"/>
      <c r="AA620" s="24"/>
      <c r="AC620" s="24"/>
      <c r="AD620" s="24"/>
      <c r="AE620" s="24"/>
      <c r="AF620" s="24"/>
      <c r="AG620" s="24"/>
      <c r="AH620" s="24"/>
      <c r="AI620" s="24"/>
    </row>
    <row r="621" spans="1:35" hidden="1" x14ac:dyDescent="0.3">
      <c r="A621" s="12" t="s">
        <v>85</v>
      </c>
      <c r="B621" s="12">
        <v>47941</v>
      </c>
      <c r="C621" s="11" t="s">
        <v>100</v>
      </c>
      <c r="D621" s="12" t="s">
        <v>1</v>
      </c>
      <c r="E621" s="12" t="s">
        <v>1185</v>
      </c>
      <c r="F621" s="12" t="s">
        <v>87</v>
      </c>
      <c r="G621" s="12" t="s">
        <v>113</v>
      </c>
      <c r="H621" s="12" t="s">
        <v>101</v>
      </c>
      <c r="I621" s="12" t="s">
        <v>89</v>
      </c>
      <c r="J621" s="11" t="s">
        <v>1282</v>
      </c>
      <c r="K621" s="11" t="s">
        <v>781</v>
      </c>
      <c r="L621" s="11" t="s">
        <v>1219</v>
      </c>
      <c r="M621" s="11" t="s">
        <v>782</v>
      </c>
      <c r="N621" s="57">
        <v>119597.03</v>
      </c>
      <c r="O621" s="62"/>
      <c r="P621" s="12" t="s">
        <v>91</v>
      </c>
      <c r="Q621" s="12" t="s">
        <v>4</v>
      </c>
      <c r="R621" s="12" t="s">
        <v>15</v>
      </c>
      <c r="S621" s="12" t="s">
        <v>53</v>
      </c>
      <c r="T621" s="12">
        <v>0</v>
      </c>
      <c r="U621" s="13"/>
      <c r="V621" s="12" t="s">
        <v>92</v>
      </c>
      <c r="W621" s="12" t="s">
        <v>92</v>
      </c>
      <c r="X621" s="12" t="s">
        <v>93</v>
      </c>
      <c r="Y621" s="13"/>
      <c r="Z621" s="75"/>
      <c r="AA621" s="24"/>
      <c r="AC621" s="24"/>
      <c r="AD621" s="24"/>
      <c r="AE621" s="24"/>
      <c r="AF621" s="24"/>
      <c r="AG621" s="24"/>
      <c r="AH621" s="24"/>
      <c r="AI621" s="24"/>
    </row>
    <row r="622" spans="1:35" hidden="1" x14ac:dyDescent="0.3">
      <c r="A622" s="12" t="s">
        <v>85</v>
      </c>
      <c r="B622" s="12">
        <v>47941</v>
      </c>
      <c r="C622" s="11" t="s">
        <v>100</v>
      </c>
      <c r="D622" s="12" t="s">
        <v>1</v>
      </c>
      <c r="E622" s="12" t="s">
        <v>1185</v>
      </c>
      <c r="F622" s="12" t="s">
        <v>87</v>
      </c>
      <c r="G622" s="12" t="s">
        <v>113</v>
      </c>
      <c r="H622" s="12" t="s">
        <v>101</v>
      </c>
      <c r="I622" s="12" t="s">
        <v>89</v>
      </c>
      <c r="J622" s="11" t="s">
        <v>1282</v>
      </c>
      <c r="K622" s="11" t="s">
        <v>781</v>
      </c>
      <c r="L622" s="11" t="s">
        <v>1219</v>
      </c>
      <c r="M622" s="11" t="s">
        <v>782</v>
      </c>
      <c r="N622" s="57">
        <v>119597.03</v>
      </c>
      <c r="O622" s="62"/>
      <c r="P622" s="12" t="s">
        <v>91</v>
      </c>
      <c r="Q622" s="12" t="s">
        <v>4</v>
      </c>
      <c r="R622" s="12" t="s">
        <v>15</v>
      </c>
      <c r="S622" s="12" t="s">
        <v>53</v>
      </c>
      <c r="T622" s="12">
        <v>1</v>
      </c>
      <c r="U622" s="13">
        <v>43906</v>
      </c>
      <c r="V622" s="12" t="s">
        <v>784</v>
      </c>
      <c r="W622" s="12" t="s">
        <v>92</v>
      </c>
      <c r="X622" s="12" t="s">
        <v>93</v>
      </c>
      <c r="Y622" s="13"/>
      <c r="Z622" s="75"/>
      <c r="AA622" s="24"/>
      <c r="AC622" s="24"/>
      <c r="AD622" s="24"/>
      <c r="AE622" s="24"/>
      <c r="AF622" s="24"/>
      <c r="AG622" s="24"/>
      <c r="AH622" s="24"/>
      <c r="AI622" s="24"/>
    </row>
    <row r="623" spans="1:35" hidden="1" x14ac:dyDescent="0.3">
      <c r="A623" s="12" t="s">
        <v>85</v>
      </c>
      <c r="B623" s="12">
        <v>47941</v>
      </c>
      <c r="C623" s="11" t="s">
        <v>100</v>
      </c>
      <c r="D623" s="12" t="s">
        <v>1</v>
      </c>
      <c r="E623" s="12" t="s">
        <v>1185</v>
      </c>
      <c r="F623" s="12" t="s">
        <v>87</v>
      </c>
      <c r="G623" s="12" t="s">
        <v>113</v>
      </c>
      <c r="H623" s="12" t="s">
        <v>101</v>
      </c>
      <c r="I623" s="12" t="s">
        <v>89</v>
      </c>
      <c r="J623" s="11" t="s">
        <v>1282</v>
      </c>
      <c r="K623" s="11" t="s">
        <v>781</v>
      </c>
      <c r="L623" s="11" t="s">
        <v>1219</v>
      </c>
      <c r="M623" s="11" t="s">
        <v>782</v>
      </c>
      <c r="N623" s="57">
        <v>119597.03</v>
      </c>
      <c r="O623" s="62"/>
      <c r="P623" s="12" t="s">
        <v>91</v>
      </c>
      <c r="Q623" s="12" t="s">
        <v>4</v>
      </c>
      <c r="R623" s="12" t="s">
        <v>15</v>
      </c>
      <c r="S623" s="12" t="s">
        <v>53</v>
      </c>
      <c r="T623" s="12">
        <v>1</v>
      </c>
      <c r="U623" s="13">
        <v>43938</v>
      </c>
      <c r="V623" s="12" t="s">
        <v>784</v>
      </c>
      <c r="W623" s="12" t="s">
        <v>92</v>
      </c>
      <c r="X623" s="12" t="s">
        <v>93</v>
      </c>
      <c r="Y623" s="13"/>
      <c r="Z623" s="75"/>
      <c r="AA623" s="24"/>
      <c r="AC623" s="24"/>
      <c r="AD623" s="24"/>
      <c r="AE623" s="24"/>
      <c r="AF623" s="24"/>
      <c r="AG623" s="24"/>
      <c r="AH623" s="24"/>
      <c r="AI623" s="24"/>
    </row>
    <row r="624" spans="1:35" hidden="1" x14ac:dyDescent="0.3">
      <c r="A624" s="12" t="s">
        <v>85</v>
      </c>
      <c r="B624" s="12">
        <v>47941</v>
      </c>
      <c r="C624" s="11" t="s">
        <v>100</v>
      </c>
      <c r="D624" s="12" t="s">
        <v>1</v>
      </c>
      <c r="E624" s="12" t="s">
        <v>1185</v>
      </c>
      <c r="F624" s="12" t="s">
        <v>87</v>
      </c>
      <c r="G624" s="12" t="s">
        <v>113</v>
      </c>
      <c r="H624" s="12" t="s">
        <v>101</v>
      </c>
      <c r="I624" s="12" t="s">
        <v>89</v>
      </c>
      <c r="J624" s="11" t="s">
        <v>1282</v>
      </c>
      <c r="K624" s="11" t="s">
        <v>781</v>
      </c>
      <c r="L624" s="11" t="s">
        <v>1219</v>
      </c>
      <c r="M624" s="11" t="s">
        <v>782</v>
      </c>
      <c r="N624" s="57">
        <v>119597.03</v>
      </c>
      <c r="O624" s="62"/>
      <c r="P624" s="12" t="s">
        <v>91</v>
      </c>
      <c r="Q624" s="12" t="s">
        <v>4</v>
      </c>
      <c r="R624" s="12" t="s">
        <v>15</v>
      </c>
      <c r="S624" s="12" t="s">
        <v>22</v>
      </c>
      <c r="T624" s="12">
        <v>1</v>
      </c>
      <c r="U624" s="13">
        <v>43997</v>
      </c>
      <c r="V624" s="12" t="s">
        <v>110</v>
      </c>
      <c r="W624" s="12" t="s">
        <v>92</v>
      </c>
      <c r="X624" s="12" t="s">
        <v>105</v>
      </c>
      <c r="Y624" s="13"/>
      <c r="Z624" s="75"/>
      <c r="AA624" s="24"/>
      <c r="AC624" s="24"/>
      <c r="AD624" s="24"/>
      <c r="AE624" s="24"/>
      <c r="AF624" s="24"/>
      <c r="AG624" s="24"/>
      <c r="AH624" s="24"/>
      <c r="AI624" s="24"/>
    </row>
    <row r="625" spans="1:35" hidden="1" x14ac:dyDescent="0.3">
      <c r="A625" s="12" t="s">
        <v>85</v>
      </c>
      <c r="B625" s="12">
        <v>47941</v>
      </c>
      <c r="C625" s="11" t="s">
        <v>100</v>
      </c>
      <c r="D625" s="12" t="s">
        <v>1</v>
      </c>
      <c r="E625" s="12" t="s">
        <v>1185</v>
      </c>
      <c r="F625" s="12" t="s">
        <v>87</v>
      </c>
      <c r="G625" s="12" t="s">
        <v>113</v>
      </c>
      <c r="H625" s="12" t="s">
        <v>101</v>
      </c>
      <c r="I625" s="12" t="s">
        <v>89</v>
      </c>
      <c r="J625" s="11" t="s">
        <v>1282</v>
      </c>
      <c r="K625" s="11" t="s">
        <v>781</v>
      </c>
      <c r="L625" s="11" t="s">
        <v>1219</v>
      </c>
      <c r="M625" s="11" t="s">
        <v>782</v>
      </c>
      <c r="N625" s="57">
        <v>119597.03</v>
      </c>
      <c r="O625" s="62"/>
      <c r="P625" s="12" t="s">
        <v>91</v>
      </c>
      <c r="Q625" s="12" t="s">
        <v>4</v>
      </c>
      <c r="R625" s="12" t="s">
        <v>15</v>
      </c>
      <c r="S625" s="12" t="s">
        <v>53</v>
      </c>
      <c r="T625" s="12">
        <v>1</v>
      </c>
      <c r="U625" s="13">
        <v>43997</v>
      </c>
      <c r="V625" s="12" t="s">
        <v>786</v>
      </c>
      <c r="W625" s="12" t="s">
        <v>92</v>
      </c>
      <c r="X625" s="12" t="s">
        <v>93</v>
      </c>
      <c r="Y625" s="13"/>
      <c r="Z625" s="75"/>
      <c r="AA625" s="24"/>
      <c r="AC625" s="24"/>
      <c r="AD625" s="24"/>
      <c r="AE625" s="24"/>
      <c r="AF625" s="24"/>
      <c r="AG625" s="24"/>
      <c r="AH625" s="24"/>
      <c r="AI625" s="24"/>
    </row>
    <row r="626" spans="1:35" hidden="1" x14ac:dyDescent="0.3">
      <c r="A626" s="12" t="s">
        <v>85</v>
      </c>
      <c r="B626" s="12">
        <v>47941</v>
      </c>
      <c r="C626" s="11" t="s">
        <v>100</v>
      </c>
      <c r="D626" s="12" t="s">
        <v>1</v>
      </c>
      <c r="E626" s="12" t="s">
        <v>1185</v>
      </c>
      <c r="F626" s="12" t="s">
        <v>87</v>
      </c>
      <c r="G626" s="12" t="s">
        <v>113</v>
      </c>
      <c r="H626" s="12" t="s">
        <v>101</v>
      </c>
      <c r="I626" s="12" t="s">
        <v>89</v>
      </c>
      <c r="J626" s="11" t="s">
        <v>1282</v>
      </c>
      <c r="K626" s="11" t="s">
        <v>781</v>
      </c>
      <c r="L626" s="11" t="s">
        <v>1219</v>
      </c>
      <c r="M626" s="11" t="s">
        <v>782</v>
      </c>
      <c r="N626" s="57">
        <v>119597.03</v>
      </c>
      <c r="O626" s="62"/>
      <c r="P626" s="12" t="s">
        <v>91</v>
      </c>
      <c r="Q626" s="12" t="s">
        <v>4</v>
      </c>
      <c r="R626" s="12" t="s">
        <v>15</v>
      </c>
      <c r="S626" s="12" t="s">
        <v>22</v>
      </c>
      <c r="T626" s="12">
        <v>1</v>
      </c>
      <c r="U626" s="13">
        <v>44027</v>
      </c>
      <c r="V626" s="12" t="s">
        <v>111</v>
      </c>
      <c r="W626" s="12" t="s">
        <v>92</v>
      </c>
      <c r="X626" s="12" t="s">
        <v>105</v>
      </c>
      <c r="Y626" s="13"/>
      <c r="Z626" s="75"/>
      <c r="AA626" s="24"/>
      <c r="AC626" s="24"/>
      <c r="AD626" s="24"/>
      <c r="AE626" s="24"/>
      <c r="AF626" s="24"/>
      <c r="AG626" s="24"/>
      <c r="AH626" s="24"/>
      <c r="AI626" s="24"/>
    </row>
    <row r="627" spans="1:35" hidden="1" x14ac:dyDescent="0.3">
      <c r="A627" s="12" t="s">
        <v>85</v>
      </c>
      <c r="B627" s="12">
        <v>47941</v>
      </c>
      <c r="C627" s="11" t="s">
        <v>100</v>
      </c>
      <c r="D627" s="12" t="s">
        <v>1</v>
      </c>
      <c r="E627" s="12" t="s">
        <v>1185</v>
      </c>
      <c r="F627" s="12" t="s">
        <v>87</v>
      </c>
      <c r="G627" s="12" t="s">
        <v>113</v>
      </c>
      <c r="H627" s="12" t="s">
        <v>101</v>
      </c>
      <c r="I627" s="12" t="s">
        <v>89</v>
      </c>
      <c r="J627" s="11" t="s">
        <v>1282</v>
      </c>
      <c r="K627" s="11" t="s">
        <v>781</v>
      </c>
      <c r="L627" s="11" t="s">
        <v>1219</v>
      </c>
      <c r="M627" s="11" t="s">
        <v>782</v>
      </c>
      <c r="N627" s="57">
        <v>119597.03</v>
      </c>
      <c r="O627" s="62"/>
      <c r="P627" s="12" t="s">
        <v>91</v>
      </c>
      <c r="Q627" s="12" t="s">
        <v>4</v>
      </c>
      <c r="R627" s="12" t="s">
        <v>15</v>
      </c>
      <c r="S627" s="12" t="s">
        <v>53</v>
      </c>
      <c r="T627" s="12">
        <v>1</v>
      </c>
      <c r="U627" s="13">
        <v>44027</v>
      </c>
      <c r="V627" s="12" t="s">
        <v>787</v>
      </c>
      <c r="W627" s="12" t="s">
        <v>92</v>
      </c>
      <c r="X627" s="12" t="s">
        <v>93</v>
      </c>
      <c r="Y627" s="13"/>
      <c r="Z627" s="75"/>
      <c r="AA627" s="24"/>
      <c r="AC627" s="24"/>
      <c r="AD627" s="24"/>
      <c r="AE627" s="24"/>
      <c r="AF627" s="24"/>
      <c r="AG627" s="24"/>
      <c r="AH627" s="24"/>
      <c r="AI627" s="24"/>
    </row>
    <row r="628" spans="1:35" hidden="1" x14ac:dyDescent="0.3">
      <c r="A628" s="12" t="s">
        <v>85</v>
      </c>
      <c r="B628" s="12">
        <v>47942</v>
      </c>
      <c r="C628" s="11" t="s">
        <v>100</v>
      </c>
      <c r="D628" s="12" t="s">
        <v>1</v>
      </c>
      <c r="E628" s="12" t="s">
        <v>1185</v>
      </c>
      <c r="F628" s="12" t="s">
        <v>87</v>
      </c>
      <c r="G628" s="12" t="s">
        <v>113</v>
      </c>
      <c r="H628" s="12" t="s">
        <v>101</v>
      </c>
      <c r="I628" s="12" t="s">
        <v>89</v>
      </c>
      <c r="J628" s="11" t="s">
        <v>1282</v>
      </c>
      <c r="K628" s="11" t="s">
        <v>781</v>
      </c>
      <c r="L628" s="11" t="s">
        <v>1220</v>
      </c>
      <c r="M628" s="11" t="s">
        <v>103</v>
      </c>
      <c r="N628" s="57">
        <v>502755</v>
      </c>
      <c r="O628" s="59"/>
      <c r="P628" s="12" t="s">
        <v>91</v>
      </c>
      <c r="Q628" s="12" t="s">
        <v>4</v>
      </c>
      <c r="R628" s="12" t="s">
        <v>15</v>
      </c>
      <c r="S628" s="12" t="s">
        <v>49</v>
      </c>
      <c r="T628" s="12">
        <v>1</v>
      </c>
      <c r="U628" s="13">
        <v>43814</v>
      </c>
      <c r="V628" s="12" t="s">
        <v>788</v>
      </c>
      <c r="W628" s="12" t="s">
        <v>92</v>
      </c>
      <c r="X628" s="12" t="s">
        <v>105</v>
      </c>
      <c r="Y628" s="13"/>
      <c r="Z628" s="75"/>
      <c r="AA628" s="24"/>
      <c r="AC628" s="24"/>
      <c r="AD628" s="24"/>
      <c r="AE628" s="24"/>
      <c r="AF628" s="24"/>
      <c r="AG628" s="24"/>
      <c r="AH628" s="24"/>
      <c r="AI628" s="24"/>
    </row>
    <row r="629" spans="1:35" hidden="1" x14ac:dyDescent="0.3">
      <c r="A629" s="12" t="s">
        <v>85</v>
      </c>
      <c r="B629" s="12">
        <v>47942</v>
      </c>
      <c r="C629" s="11" t="s">
        <v>100</v>
      </c>
      <c r="D629" s="12" t="s">
        <v>1</v>
      </c>
      <c r="E629" s="12" t="s">
        <v>1185</v>
      </c>
      <c r="F629" s="12" t="s">
        <v>87</v>
      </c>
      <c r="G629" s="12" t="s">
        <v>113</v>
      </c>
      <c r="H629" s="12" t="s">
        <v>101</v>
      </c>
      <c r="I629" s="12" t="s">
        <v>89</v>
      </c>
      <c r="J629" s="11" t="s">
        <v>1282</v>
      </c>
      <c r="K629" s="11" t="s">
        <v>781</v>
      </c>
      <c r="L629" s="11" t="s">
        <v>1220</v>
      </c>
      <c r="M629" s="11" t="s">
        <v>103</v>
      </c>
      <c r="N629" s="57">
        <v>502755</v>
      </c>
      <c r="O629" s="59"/>
      <c r="P629" s="12" t="s">
        <v>91</v>
      </c>
      <c r="Q629" s="12" t="s">
        <v>4</v>
      </c>
      <c r="R629" s="12" t="s">
        <v>13</v>
      </c>
      <c r="S629" s="12" t="s">
        <v>25</v>
      </c>
      <c r="T629" s="12">
        <v>1</v>
      </c>
      <c r="U629" s="13">
        <v>43738</v>
      </c>
      <c r="V629" s="12" t="s">
        <v>789</v>
      </c>
      <c r="W629" s="12" t="s">
        <v>92</v>
      </c>
      <c r="X629" s="12" t="s">
        <v>93</v>
      </c>
      <c r="Y629" s="13"/>
      <c r="Z629" s="75"/>
      <c r="AA629" s="24"/>
      <c r="AC629" s="24"/>
      <c r="AD629" s="24"/>
      <c r="AE629" s="24"/>
      <c r="AF629" s="24"/>
      <c r="AG629" s="24"/>
      <c r="AH629" s="24"/>
      <c r="AI629" s="24"/>
    </row>
    <row r="630" spans="1:35" hidden="1" x14ac:dyDescent="0.3">
      <c r="A630" s="12" t="s">
        <v>85</v>
      </c>
      <c r="B630" s="12">
        <v>47942</v>
      </c>
      <c r="C630" s="11" t="s">
        <v>100</v>
      </c>
      <c r="D630" s="12" t="s">
        <v>1</v>
      </c>
      <c r="E630" s="12" t="s">
        <v>1185</v>
      </c>
      <c r="F630" s="12" t="s">
        <v>87</v>
      </c>
      <c r="G630" s="12" t="s">
        <v>113</v>
      </c>
      <c r="H630" s="12" t="s">
        <v>101</v>
      </c>
      <c r="I630" s="12" t="s">
        <v>89</v>
      </c>
      <c r="J630" s="11" t="s">
        <v>1282</v>
      </c>
      <c r="K630" s="11" t="s">
        <v>781</v>
      </c>
      <c r="L630" s="11" t="s">
        <v>1220</v>
      </c>
      <c r="M630" s="11" t="s">
        <v>103</v>
      </c>
      <c r="N630" s="57">
        <v>502755</v>
      </c>
      <c r="O630" s="59"/>
      <c r="P630" s="12" t="s">
        <v>91</v>
      </c>
      <c r="Q630" s="12" t="s">
        <v>4</v>
      </c>
      <c r="R630" s="12" t="s">
        <v>15</v>
      </c>
      <c r="S630" s="12" t="s">
        <v>39</v>
      </c>
      <c r="T630" s="12">
        <v>0</v>
      </c>
      <c r="U630" s="13"/>
      <c r="V630" s="12" t="s">
        <v>92</v>
      </c>
      <c r="W630" s="12" t="s">
        <v>92</v>
      </c>
      <c r="X630" s="12" t="s">
        <v>93</v>
      </c>
      <c r="Y630" s="13"/>
      <c r="Z630" s="75"/>
      <c r="AA630" s="24"/>
      <c r="AC630" s="24"/>
      <c r="AD630" s="24"/>
      <c r="AE630" s="24"/>
      <c r="AF630" s="24"/>
      <c r="AG630" s="24"/>
      <c r="AH630" s="24"/>
      <c r="AI630" s="24"/>
    </row>
    <row r="631" spans="1:35" hidden="1" x14ac:dyDescent="0.3">
      <c r="A631" s="12" t="s">
        <v>85</v>
      </c>
      <c r="B631" s="12">
        <v>47942</v>
      </c>
      <c r="C631" s="11" t="s">
        <v>100</v>
      </c>
      <c r="D631" s="12" t="s">
        <v>1</v>
      </c>
      <c r="E631" s="12" t="s">
        <v>1185</v>
      </c>
      <c r="F631" s="12" t="s">
        <v>87</v>
      </c>
      <c r="G631" s="12" t="s">
        <v>113</v>
      </c>
      <c r="H631" s="12" t="s">
        <v>101</v>
      </c>
      <c r="I631" s="12" t="s">
        <v>89</v>
      </c>
      <c r="J631" s="11" t="s">
        <v>1282</v>
      </c>
      <c r="K631" s="11" t="s">
        <v>781</v>
      </c>
      <c r="L631" s="11" t="s">
        <v>1220</v>
      </c>
      <c r="M631" s="11" t="s">
        <v>103</v>
      </c>
      <c r="N631" s="57">
        <v>502755</v>
      </c>
      <c r="O631" s="59"/>
      <c r="P631" s="12" t="s">
        <v>91</v>
      </c>
      <c r="Q631" s="12" t="s">
        <v>4</v>
      </c>
      <c r="R631" s="12" t="s">
        <v>15</v>
      </c>
      <c r="S631" s="12" t="s">
        <v>39</v>
      </c>
      <c r="T631" s="12">
        <v>1</v>
      </c>
      <c r="U631" s="13">
        <v>43907</v>
      </c>
      <c r="V631" s="12" t="s">
        <v>788</v>
      </c>
      <c r="W631" s="12" t="s">
        <v>92</v>
      </c>
      <c r="X631" s="12" t="s">
        <v>105</v>
      </c>
      <c r="Y631" s="13"/>
      <c r="Z631" s="75"/>
      <c r="AA631" s="24"/>
      <c r="AC631" s="24"/>
      <c r="AD631" s="24"/>
      <c r="AE631" s="24"/>
      <c r="AF631" s="24"/>
      <c r="AG631" s="24"/>
      <c r="AH631" s="24"/>
      <c r="AI631" s="24"/>
    </row>
    <row r="632" spans="1:35" hidden="1" x14ac:dyDescent="0.3">
      <c r="A632" s="12" t="s">
        <v>85</v>
      </c>
      <c r="B632" s="12">
        <v>47942</v>
      </c>
      <c r="C632" s="11" t="s">
        <v>100</v>
      </c>
      <c r="D632" s="12" t="s">
        <v>1</v>
      </c>
      <c r="E632" s="12" t="s">
        <v>1185</v>
      </c>
      <c r="F632" s="12" t="s">
        <v>87</v>
      </c>
      <c r="G632" s="12" t="s">
        <v>113</v>
      </c>
      <c r="H632" s="12" t="s">
        <v>101</v>
      </c>
      <c r="I632" s="12" t="s">
        <v>89</v>
      </c>
      <c r="J632" s="11" t="s">
        <v>1282</v>
      </c>
      <c r="K632" s="11" t="s">
        <v>781</v>
      </c>
      <c r="L632" s="11" t="s">
        <v>1220</v>
      </c>
      <c r="M632" s="11" t="s">
        <v>103</v>
      </c>
      <c r="N632" s="57">
        <v>502755</v>
      </c>
      <c r="O632" s="59"/>
      <c r="P632" s="12" t="s">
        <v>91</v>
      </c>
      <c r="Q632" s="12" t="s">
        <v>4</v>
      </c>
      <c r="R632" s="12" t="s">
        <v>15</v>
      </c>
      <c r="S632" s="12" t="s">
        <v>22</v>
      </c>
      <c r="T632" s="12">
        <v>1</v>
      </c>
      <c r="U632" s="13">
        <v>43997</v>
      </c>
      <c r="V632" s="18" t="s">
        <v>110</v>
      </c>
      <c r="W632" s="12" t="s">
        <v>92</v>
      </c>
      <c r="X632" s="12" t="s">
        <v>105</v>
      </c>
      <c r="Y632" s="13"/>
      <c r="Z632" s="75"/>
      <c r="AA632" s="24"/>
      <c r="AC632" s="24"/>
      <c r="AD632" s="24"/>
      <c r="AE632" s="24"/>
      <c r="AF632" s="24"/>
      <c r="AG632" s="24"/>
      <c r="AH632" s="24"/>
      <c r="AI632" s="24"/>
    </row>
    <row r="633" spans="1:35" hidden="1" x14ac:dyDescent="0.3">
      <c r="A633" s="12" t="s">
        <v>85</v>
      </c>
      <c r="B633" s="12">
        <v>47942</v>
      </c>
      <c r="C633" s="11" t="s">
        <v>100</v>
      </c>
      <c r="D633" s="12" t="s">
        <v>1</v>
      </c>
      <c r="E633" s="12" t="s">
        <v>1185</v>
      </c>
      <c r="F633" s="12" t="s">
        <v>87</v>
      </c>
      <c r="G633" s="12" t="s">
        <v>113</v>
      </c>
      <c r="H633" s="12" t="s">
        <v>101</v>
      </c>
      <c r="I633" s="12" t="s">
        <v>89</v>
      </c>
      <c r="J633" s="11" t="s">
        <v>1282</v>
      </c>
      <c r="K633" s="11" t="s">
        <v>781</v>
      </c>
      <c r="L633" s="11" t="s">
        <v>1220</v>
      </c>
      <c r="M633" s="11" t="s">
        <v>103</v>
      </c>
      <c r="N633" s="57">
        <v>502755</v>
      </c>
      <c r="O633" s="59"/>
      <c r="P633" s="12" t="s">
        <v>91</v>
      </c>
      <c r="Q633" s="12" t="s">
        <v>4</v>
      </c>
      <c r="R633" s="12" t="s">
        <v>15</v>
      </c>
      <c r="S633" s="12" t="s">
        <v>39</v>
      </c>
      <c r="T633" s="12">
        <v>1</v>
      </c>
      <c r="U633" s="13">
        <v>43997</v>
      </c>
      <c r="V633" s="97" t="s">
        <v>784</v>
      </c>
      <c r="W633" s="12" t="s">
        <v>92</v>
      </c>
      <c r="X633" s="12" t="s">
        <v>105</v>
      </c>
      <c r="Y633" s="13"/>
      <c r="Z633" s="75"/>
      <c r="AA633" s="24"/>
      <c r="AC633" s="24"/>
      <c r="AD633" s="24"/>
      <c r="AE633" s="24"/>
      <c r="AF633" s="24"/>
      <c r="AG633" s="24"/>
      <c r="AH633" s="24"/>
      <c r="AI633" s="24"/>
    </row>
    <row r="634" spans="1:35" hidden="1" x14ac:dyDescent="0.3">
      <c r="A634" s="12" t="s">
        <v>85</v>
      </c>
      <c r="B634" s="12">
        <v>47942</v>
      </c>
      <c r="C634" s="11" t="s">
        <v>100</v>
      </c>
      <c r="D634" s="12" t="s">
        <v>1</v>
      </c>
      <c r="E634" s="12" t="s">
        <v>1185</v>
      </c>
      <c r="F634" s="12" t="s">
        <v>87</v>
      </c>
      <c r="G634" s="12" t="s">
        <v>113</v>
      </c>
      <c r="H634" s="12" t="s">
        <v>101</v>
      </c>
      <c r="I634" s="12" t="s">
        <v>89</v>
      </c>
      <c r="J634" s="11" t="s">
        <v>1282</v>
      </c>
      <c r="K634" s="11" t="s">
        <v>781</v>
      </c>
      <c r="L634" s="11" t="s">
        <v>1220</v>
      </c>
      <c r="M634" s="11" t="s">
        <v>103</v>
      </c>
      <c r="N634" s="57">
        <v>502755</v>
      </c>
      <c r="O634" s="59"/>
      <c r="P634" s="12" t="s">
        <v>91</v>
      </c>
      <c r="Q634" s="12" t="s">
        <v>4</v>
      </c>
      <c r="R634" s="12" t="s">
        <v>15</v>
      </c>
      <c r="S634" s="12" t="s">
        <v>22</v>
      </c>
      <c r="T634" s="12">
        <v>1</v>
      </c>
      <c r="U634" s="13">
        <v>44027</v>
      </c>
      <c r="V634" s="97" t="s">
        <v>111</v>
      </c>
      <c r="W634" s="12" t="s">
        <v>92</v>
      </c>
      <c r="X634" s="12" t="s">
        <v>105</v>
      </c>
      <c r="Y634" s="13"/>
      <c r="Z634" s="75"/>
      <c r="AA634" s="24"/>
      <c r="AC634" s="24"/>
      <c r="AD634" s="24"/>
      <c r="AE634" s="24"/>
      <c r="AF634" s="24"/>
      <c r="AG634" s="24"/>
      <c r="AH634" s="24"/>
      <c r="AI634" s="24"/>
    </row>
    <row r="635" spans="1:35" hidden="1" x14ac:dyDescent="0.3">
      <c r="A635" s="12" t="s">
        <v>85</v>
      </c>
      <c r="B635" s="12">
        <v>47942</v>
      </c>
      <c r="C635" s="11" t="s">
        <v>100</v>
      </c>
      <c r="D635" s="12" t="s">
        <v>1</v>
      </c>
      <c r="E635" s="12" t="s">
        <v>1185</v>
      </c>
      <c r="F635" s="12" t="s">
        <v>87</v>
      </c>
      <c r="G635" s="12" t="s">
        <v>113</v>
      </c>
      <c r="H635" s="12" t="s">
        <v>101</v>
      </c>
      <c r="I635" s="12" t="s">
        <v>89</v>
      </c>
      <c r="J635" s="11" t="s">
        <v>1282</v>
      </c>
      <c r="K635" s="11" t="s">
        <v>781</v>
      </c>
      <c r="L635" s="11" t="s">
        <v>1220</v>
      </c>
      <c r="M635" s="11" t="s">
        <v>103</v>
      </c>
      <c r="N635" s="57">
        <v>502755</v>
      </c>
      <c r="O635" s="59"/>
      <c r="P635" s="12" t="s">
        <v>91</v>
      </c>
      <c r="Q635" s="12" t="s">
        <v>4</v>
      </c>
      <c r="R635" s="12" t="s">
        <v>15</v>
      </c>
      <c r="S635" s="12" t="s">
        <v>39</v>
      </c>
      <c r="T635" s="12">
        <v>1</v>
      </c>
      <c r="U635" s="13">
        <v>44027</v>
      </c>
      <c r="V635" s="12" t="s">
        <v>784</v>
      </c>
      <c r="W635" s="12" t="s">
        <v>92</v>
      </c>
      <c r="X635" s="12" t="s">
        <v>105</v>
      </c>
      <c r="Y635" s="13"/>
      <c r="Z635" s="75"/>
      <c r="AA635" s="24"/>
      <c r="AC635" s="24"/>
      <c r="AD635" s="24"/>
      <c r="AE635" s="24"/>
      <c r="AF635" s="24"/>
      <c r="AG635" s="24"/>
      <c r="AH635" s="24"/>
      <c r="AI635" s="24"/>
    </row>
    <row r="636" spans="1:35" hidden="1" x14ac:dyDescent="0.3">
      <c r="A636" s="12" t="s">
        <v>85</v>
      </c>
      <c r="B636" s="12">
        <v>48347</v>
      </c>
      <c r="C636" s="11" t="s">
        <v>130</v>
      </c>
      <c r="D636" s="12" t="s">
        <v>1</v>
      </c>
      <c r="E636" s="12" t="s">
        <v>1185</v>
      </c>
      <c r="F636" s="12" t="s">
        <v>87</v>
      </c>
      <c r="G636" s="12" t="s">
        <v>113</v>
      </c>
      <c r="H636" s="12" t="s">
        <v>96</v>
      </c>
      <c r="I636" s="12" t="s">
        <v>89</v>
      </c>
      <c r="J636" s="11" t="s">
        <v>205</v>
      </c>
      <c r="K636" s="11" t="s">
        <v>205</v>
      </c>
      <c r="L636" s="11" t="s">
        <v>1212</v>
      </c>
      <c r="M636" s="11" t="s">
        <v>206</v>
      </c>
      <c r="N636" s="58">
        <v>713</v>
      </c>
      <c r="O636" s="59"/>
      <c r="P636" s="12" t="s">
        <v>790</v>
      </c>
      <c r="Q636" s="12" t="s">
        <v>4</v>
      </c>
      <c r="R636" s="12" t="s">
        <v>13</v>
      </c>
      <c r="S636" s="12" t="s">
        <v>25</v>
      </c>
      <c r="T636" s="12">
        <v>1</v>
      </c>
      <c r="U636" s="13">
        <v>44028</v>
      </c>
      <c r="V636" s="12" t="s">
        <v>94</v>
      </c>
      <c r="W636" s="12" t="s">
        <v>92</v>
      </c>
      <c r="X636" s="12" t="s">
        <v>93</v>
      </c>
      <c r="Y636" s="13"/>
      <c r="Z636" s="75"/>
      <c r="AA636" s="24"/>
      <c r="AC636" s="24"/>
      <c r="AD636" s="24"/>
      <c r="AE636" s="24"/>
      <c r="AF636" s="24"/>
      <c r="AG636" s="24"/>
      <c r="AH636" s="24"/>
      <c r="AI636" s="24"/>
    </row>
    <row r="637" spans="1:35" hidden="1" x14ac:dyDescent="0.3">
      <c r="A637" s="12" t="s">
        <v>85</v>
      </c>
      <c r="B637" s="12">
        <v>48437</v>
      </c>
      <c r="C637" s="11" t="s">
        <v>333</v>
      </c>
      <c r="D637" s="12" t="s">
        <v>1</v>
      </c>
      <c r="E637" s="12" t="s">
        <v>1185</v>
      </c>
      <c r="F637" s="12" t="s">
        <v>132</v>
      </c>
      <c r="G637" s="12" t="s">
        <v>87</v>
      </c>
      <c r="H637" s="12" t="s">
        <v>334</v>
      </c>
      <c r="I637" s="12" t="s">
        <v>89</v>
      </c>
      <c r="J637" s="11" t="s">
        <v>791</v>
      </c>
      <c r="K637" s="11" t="s">
        <v>791</v>
      </c>
      <c r="L637" s="11" t="s">
        <v>1195</v>
      </c>
      <c r="M637" s="11" t="s">
        <v>792</v>
      </c>
      <c r="N637" s="58">
        <v>93714.35</v>
      </c>
      <c r="O637" s="59"/>
      <c r="P637" s="56">
        <v>6030081208150000</v>
      </c>
      <c r="Q637" s="12" t="s">
        <v>12</v>
      </c>
      <c r="R637" s="12" t="s">
        <v>15</v>
      </c>
      <c r="S637" s="12" t="s">
        <v>25</v>
      </c>
      <c r="T637" s="12">
        <v>1</v>
      </c>
      <c r="U637" s="13"/>
      <c r="V637" s="12" t="s">
        <v>793</v>
      </c>
      <c r="W637" s="12" t="s">
        <v>92</v>
      </c>
      <c r="X637" s="12" t="s">
        <v>105</v>
      </c>
      <c r="Y637" s="13"/>
      <c r="Z637" s="75"/>
      <c r="AA637" s="24"/>
      <c r="AC637" s="24"/>
      <c r="AD637" s="24"/>
      <c r="AE637" s="24"/>
      <c r="AF637" s="24"/>
      <c r="AG637" s="24"/>
      <c r="AH637" s="24"/>
      <c r="AI637" s="24"/>
    </row>
    <row r="638" spans="1:35" hidden="1" x14ac:dyDescent="0.3">
      <c r="A638" s="12" t="s">
        <v>85</v>
      </c>
      <c r="B638" s="12">
        <v>48437</v>
      </c>
      <c r="C638" s="11" t="s">
        <v>333</v>
      </c>
      <c r="D638" s="12" t="s">
        <v>1</v>
      </c>
      <c r="E638" s="12" t="s">
        <v>1185</v>
      </c>
      <c r="F638" s="12" t="s">
        <v>132</v>
      </c>
      <c r="G638" s="12" t="s">
        <v>87</v>
      </c>
      <c r="H638" s="12" t="s">
        <v>334</v>
      </c>
      <c r="I638" s="12" t="s">
        <v>89</v>
      </c>
      <c r="J638" s="11" t="s">
        <v>791</v>
      </c>
      <c r="K638" s="11" t="s">
        <v>791</v>
      </c>
      <c r="L638" s="11" t="s">
        <v>1195</v>
      </c>
      <c r="M638" s="11" t="s">
        <v>792</v>
      </c>
      <c r="N638" s="58">
        <v>93714.35</v>
      </c>
      <c r="O638" s="59"/>
      <c r="P638" s="56">
        <v>6030081208150000</v>
      </c>
      <c r="Q638" s="12" t="s">
        <v>12</v>
      </c>
      <c r="R638" s="12" t="s">
        <v>15</v>
      </c>
      <c r="S638" s="12" t="s">
        <v>25</v>
      </c>
      <c r="T638" s="12">
        <v>1</v>
      </c>
      <c r="U638" s="13">
        <v>43879</v>
      </c>
      <c r="V638" s="12" t="s">
        <v>794</v>
      </c>
      <c r="W638" s="12" t="s">
        <v>92</v>
      </c>
      <c r="X638" s="12" t="s">
        <v>105</v>
      </c>
      <c r="Y638" s="13"/>
      <c r="Z638" s="75"/>
      <c r="AA638" s="24"/>
      <c r="AC638" s="24"/>
      <c r="AD638" s="24"/>
      <c r="AE638" s="24"/>
      <c r="AF638" s="24"/>
      <c r="AG638" s="24"/>
      <c r="AH638" s="24"/>
      <c r="AI638" s="24"/>
    </row>
    <row r="639" spans="1:35" hidden="1" x14ac:dyDescent="0.3">
      <c r="A639" s="12" t="s">
        <v>85</v>
      </c>
      <c r="B639" s="12">
        <v>48437</v>
      </c>
      <c r="C639" s="11" t="s">
        <v>333</v>
      </c>
      <c r="D639" s="12" t="s">
        <v>1</v>
      </c>
      <c r="E639" s="12" t="s">
        <v>1185</v>
      </c>
      <c r="F639" s="12" t="s">
        <v>132</v>
      </c>
      <c r="G639" s="12" t="s">
        <v>87</v>
      </c>
      <c r="H639" s="12" t="s">
        <v>334</v>
      </c>
      <c r="I639" s="12" t="s">
        <v>89</v>
      </c>
      <c r="J639" s="11" t="s">
        <v>791</v>
      </c>
      <c r="K639" s="11" t="s">
        <v>791</v>
      </c>
      <c r="L639" s="11" t="s">
        <v>1195</v>
      </c>
      <c r="M639" s="11" t="s">
        <v>792</v>
      </c>
      <c r="N639" s="58">
        <v>93714.35</v>
      </c>
      <c r="O639" s="59"/>
      <c r="P639" s="56">
        <v>6030081208150000</v>
      </c>
      <c r="Q639" s="12" t="s">
        <v>12</v>
      </c>
      <c r="R639" s="12" t="s">
        <v>15</v>
      </c>
      <c r="S639" s="12" t="s">
        <v>25</v>
      </c>
      <c r="T639" s="12">
        <v>1</v>
      </c>
      <c r="U639" s="13"/>
      <c r="V639" s="12" t="s">
        <v>795</v>
      </c>
      <c r="W639" s="12" t="s">
        <v>92</v>
      </c>
      <c r="X639" s="12" t="s">
        <v>105</v>
      </c>
      <c r="Y639" s="13"/>
      <c r="Z639" s="75"/>
      <c r="AA639" s="24"/>
      <c r="AC639" s="24"/>
      <c r="AD639" s="24"/>
      <c r="AE639" s="24"/>
      <c r="AF639" s="24"/>
      <c r="AG639" s="24"/>
      <c r="AH639" s="24"/>
      <c r="AI639" s="24"/>
    </row>
    <row r="640" spans="1:35" hidden="1" x14ac:dyDescent="0.3">
      <c r="A640" s="12" t="s">
        <v>85</v>
      </c>
      <c r="B640" s="12">
        <v>48437</v>
      </c>
      <c r="C640" s="11" t="s">
        <v>333</v>
      </c>
      <c r="D640" s="12" t="s">
        <v>1</v>
      </c>
      <c r="E640" s="12" t="s">
        <v>1185</v>
      </c>
      <c r="F640" s="12" t="s">
        <v>132</v>
      </c>
      <c r="G640" s="12" t="s">
        <v>87</v>
      </c>
      <c r="H640" s="12" t="s">
        <v>334</v>
      </c>
      <c r="I640" s="12" t="s">
        <v>89</v>
      </c>
      <c r="J640" s="11" t="s">
        <v>791</v>
      </c>
      <c r="K640" s="11" t="s">
        <v>791</v>
      </c>
      <c r="L640" s="11" t="s">
        <v>1195</v>
      </c>
      <c r="M640" s="11" t="s">
        <v>792</v>
      </c>
      <c r="N640" s="58">
        <v>93714.35</v>
      </c>
      <c r="O640" s="59"/>
      <c r="P640" s="56">
        <v>6030081208150000</v>
      </c>
      <c r="Q640" s="12" t="s">
        <v>12</v>
      </c>
      <c r="R640" s="12" t="s">
        <v>15</v>
      </c>
      <c r="S640" s="12" t="s">
        <v>59</v>
      </c>
      <c r="T640" s="12">
        <v>1</v>
      </c>
      <c r="U640" s="13">
        <v>43843</v>
      </c>
      <c r="V640" s="12" t="s">
        <v>796</v>
      </c>
      <c r="W640" s="12" t="s">
        <v>92</v>
      </c>
      <c r="X640" s="12" t="s">
        <v>105</v>
      </c>
      <c r="Y640" s="13"/>
      <c r="Z640" s="75"/>
      <c r="AA640" s="24"/>
      <c r="AC640" s="24"/>
      <c r="AD640" s="24"/>
      <c r="AE640" s="24"/>
      <c r="AF640" s="24"/>
      <c r="AG640" s="24"/>
      <c r="AH640" s="24"/>
      <c r="AI640" s="24"/>
    </row>
    <row r="641" spans="1:35" hidden="1" x14ac:dyDescent="0.3">
      <c r="A641" s="12" t="s">
        <v>85</v>
      </c>
      <c r="B641" s="12">
        <v>48437</v>
      </c>
      <c r="C641" s="11" t="s">
        <v>333</v>
      </c>
      <c r="D641" s="12" t="s">
        <v>1</v>
      </c>
      <c r="E641" s="12" t="s">
        <v>1185</v>
      </c>
      <c r="F641" s="12" t="s">
        <v>132</v>
      </c>
      <c r="G641" s="12" t="s">
        <v>87</v>
      </c>
      <c r="H641" s="12" t="s">
        <v>334</v>
      </c>
      <c r="I641" s="12" t="s">
        <v>89</v>
      </c>
      <c r="J641" s="11" t="s">
        <v>791</v>
      </c>
      <c r="K641" s="11" t="s">
        <v>791</v>
      </c>
      <c r="L641" s="11" t="s">
        <v>1195</v>
      </c>
      <c r="M641" s="11" t="s">
        <v>792</v>
      </c>
      <c r="N641" s="58">
        <v>93714.35</v>
      </c>
      <c r="O641" s="59"/>
      <c r="P641" s="56">
        <v>6030081208150000</v>
      </c>
      <c r="Q641" s="12" t="s">
        <v>12</v>
      </c>
      <c r="R641" s="12" t="s">
        <v>15</v>
      </c>
      <c r="S641" s="12" t="s">
        <v>59</v>
      </c>
      <c r="T641" s="12">
        <v>1</v>
      </c>
      <c r="U641" s="13">
        <v>43962</v>
      </c>
      <c r="V641" s="12" t="s">
        <v>797</v>
      </c>
      <c r="W641" s="12" t="s">
        <v>92</v>
      </c>
      <c r="X641" s="12" t="s">
        <v>105</v>
      </c>
      <c r="Y641" s="13"/>
      <c r="Z641" s="75"/>
      <c r="AA641" s="24"/>
      <c r="AC641" s="24"/>
      <c r="AD641" s="24"/>
      <c r="AE641" s="24"/>
      <c r="AF641" s="24"/>
      <c r="AG641" s="24"/>
      <c r="AH641" s="24"/>
      <c r="AI641" s="24"/>
    </row>
    <row r="642" spans="1:35" hidden="1" x14ac:dyDescent="0.3">
      <c r="A642" s="12" t="s">
        <v>85</v>
      </c>
      <c r="B642" s="12">
        <v>48437</v>
      </c>
      <c r="C642" s="11" t="s">
        <v>333</v>
      </c>
      <c r="D642" s="12" t="s">
        <v>1</v>
      </c>
      <c r="E642" s="12" t="s">
        <v>1185</v>
      </c>
      <c r="F642" s="12" t="s">
        <v>132</v>
      </c>
      <c r="G642" s="12" t="s">
        <v>87</v>
      </c>
      <c r="H642" s="12" t="s">
        <v>334</v>
      </c>
      <c r="I642" s="12" t="s">
        <v>89</v>
      </c>
      <c r="J642" s="11" t="s">
        <v>791</v>
      </c>
      <c r="K642" s="11" t="s">
        <v>791</v>
      </c>
      <c r="L642" s="11" t="s">
        <v>1195</v>
      </c>
      <c r="M642" s="11" t="s">
        <v>792</v>
      </c>
      <c r="N642" s="58">
        <v>93714.35</v>
      </c>
      <c r="O642" s="59"/>
      <c r="P642" s="56">
        <v>6030081208150000</v>
      </c>
      <c r="Q642" s="12" t="s">
        <v>12</v>
      </c>
      <c r="R642" s="12" t="s">
        <v>15</v>
      </c>
      <c r="S642" s="12" t="s">
        <v>59</v>
      </c>
      <c r="T642" s="12">
        <v>1</v>
      </c>
      <c r="U642" s="13">
        <v>43997</v>
      </c>
      <c r="V642" s="12" t="s">
        <v>798</v>
      </c>
      <c r="W642" s="12" t="s">
        <v>92</v>
      </c>
      <c r="X642" s="12" t="s">
        <v>105</v>
      </c>
      <c r="Y642" s="13"/>
      <c r="Z642" s="75"/>
      <c r="AA642" s="24"/>
      <c r="AC642" s="24"/>
      <c r="AD642" s="24"/>
      <c r="AE642" s="24"/>
      <c r="AF642" s="24"/>
      <c r="AG642" s="24"/>
      <c r="AH642" s="24"/>
      <c r="AI642" s="24"/>
    </row>
    <row r="643" spans="1:35" hidden="1" x14ac:dyDescent="0.3">
      <c r="A643" s="12" t="s">
        <v>85</v>
      </c>
      <c r="B643" s="12">
        <v>48499</v>
      </c>
      <c r="C643" s="11" t="s">
        <v>100</v>
      </c>
      <c r="D643" s="12" t="s">
        <v>1</v>
      </c>
      <c r="E643" s="12" t="s">
        <v>1185</v>
      </c>
      <c r="F643" s="12" t="s">
        <v>87</v>
      </c>
      <c r="G643" s="12" t="s">
        <v>113</v>
      </c>
      <c r="H643" s="12" t="s">
        <v>101</v>
      </c>
      <c r="I643" s="12" t="s">
        <v>89</v>
      </c>
      <c r="J643" s="11" t="s">
        <v>102</v>
      </c>
      <c r="K643" s="11" t="s">
        <v>102</v>
      </c>
      <c r="L643" s="11" t="s">
        <v>1219</v>
      </c>
      <c r="M643" s="11" t="s">
        <v>92</v>
      </c>
      <c r="N643" s="57">
        <v>378899.96</v>
      </c>
      <c r="O643" s="59"/>
      <c r="P643" s="12" t="s">
        <v>91</v>
      </c>
      <c r="Q643" s="12" t="s">
        <v>4</v>
      </c>
      <c r="R643" s="12" t="s">
        <v>13</v>
      </c>
      <c r="S643" s="12" t="s">
        <v>25</v>
      </c>
      <c r="T643" s="12">
        <v>1</v>
      </c>
      <c r="U643" s="13">
        <v>43814</v>
      </c>
      <c r="V643" s="12" t="s">
        <v>799</v>
      </c>
      <c r="W643" s="12" t="s">
        <v>92</v>
      </c>
      <c r="X643" s="12" t="s">
        <v>93</v>
      </c>
      <c r="Y643" s="13"/>
      <c r="Z643" s="75"/>
      <c r="AA643" s="24"/>
      <c r="AC643" s="24"/>
      <c r="AD643" s="24"/>
      <c r="AE643" s="24"/>
      <c r="AF643" s="24"/>
      <c r="AG643" s="24"/>
      <c r="AH643" s="24"/>
      <c r="AI643" s="24"/>
    </row>
    <row r="644" spans="1:35" hidden="1" x14ac:dyDescent="0.3">
      <c r="A644" s="12" t="s">
        <v>85</v>
      </c>
      <c r="B644" s="12">
        <v>48499</v>
      </c>
      <c r="C644" s="11" t="s">
        <v>100</v>
      </c>
      <c r="D644" s="12" t="s">
        <v>1</v>
      </c>
      <c r="E644" s="12" t="s">
        <v>1185</v>
      </c>
      <c r="F644" s="12" t="s">
        <v>87</v>
      </c>
      <c r="G644" s="12" t="s">
        <v>113</v>
      </c>
      <c r="H644" s="12" t="s">
        <v>101</v>
      </c>
      <c r="I644" s="12" t="s">
        <v>89</v>
      </c>
      <c r="J644" s="11" t="s">
        <v>102</v>
      </c>
      <c r="K644" s="11" t="s">
        <v>102</v>
      </c>
      <c r="L644" s="11" t="s">
        <v>1219</v>
      </c>
      <c r="M644" s="11" t="s">
        <v>92</v>
      </c>
      <c r="N644" s="57">
        <v>378899.96</v>
      </c>
      <c r="O644" s="59"/>
      <c r="P644" s="12" t="s">
        <v>91</v>
      </c>
      <c r="Q644" s="12" t="s">
        <v>4</v>
      </c>
      <c r="R644" s="12" t="s">
        <v>15</v>
      </c>
      <c r="S644" s="12" t="s">
        <v>25</v>
      </c>
      <c r="T644" s="12">
        <v>1</v>
      </c>
      <c r="U644" s="13">
        <v>43847</v>
      </c>
      <c r="V644" s="12" t="s">
        <v>800</v>
      </c>
      <c r="W644" s="12" t="s">
        <v>92</v>
      </c>
      <c r="X644" s="12" t="s">
        <v>93</v>
      </c>
      <c r="Y644" s="13"/>
      <c r="Z644" s="75"/>
      <c r="AA644" s="24"/>
      <c r="AC644" s="24"/>
      <c r="AD644" s="24"/>
      <c r="AE644" s="24"/>
      <c r="AF644" s="24"/>
      <c r="AG644" s="24"/>
      <c r="AH644" s="24"/>
      <c r="AI644" s="24"/>
    </row>
    <row r="645" spans="1:35" hidden="1" x14ac:dyDescent="0.3">
      <c r="A645" s="12" t="s">
        <v>85</v>
      </c>
      <c r="B645" s="12">
        <v>48499</v>
      </c>
      <c r="C645" s="11" t="s">
        <v>100</v>
      </c>
      <c r="D645" s="12" t="s">
        <v>1</v>
      </c>
      <c r="E645" s="12" t="s">
        <v>1185</v>
      </c>
      <c r="F645" s="12" t="s">
        <v>87</v>
      </c>
      <c r="G645" s="12" t="s">
        <v>113</v>
      </c>
      <c r="H645" s="12" t="s">
        <v>101</v>
      </c>
      <c r="I645" s="12" t="s">
        <v>89</v>
      </c>
      <c r="J645" s="11" t="s">
        <v>102</v>
      </c>
      <c r="K645" s="11" t="s">
        <v>102</v>
      </c>
      <c r="L645" s="11" t="s">
        <v>1219</v>
      </c>
      <c r="M645" s="11" t="s">
        <v>92</v>
      </c>
      <c r="N645" s="57">
        <v>378899.96</v>
      </c>
      <c r="O645" s="59"/>
      <c r="P645" s="12" t="s">
        <v>91</v>
      </c>
      <c r="Q645" s="12" t="s">
        <v>4</v>
      </c>
      <c r="R645" s="12" t="s">
        <v>15</v>
      </c>
      <c r="S645" s="12" t="s">
        <v>25</v>
      </c>
      <c r="T645" s="12">
        <v>1</v>
      </c>
      <c r="U645" s="13">
        <v>43879</v>
      </c>
      <c r="V645" s="12" t="s">
        <v>801</v>
      </c>
      <c r="W645" s="12" t="s">
        <v>92</v>
      </c>
      <c r="X645" s="12" t="s">
        <v>93</v>
      </c>
      <c r="Y645" s="13"/>
      <c r="Z645" s="75"/>
      <c r="AA645" s="24"/>
      <c r="AC645" s="24"/>
      <c r="AD645" s="24"/>
      <c r="AE645" s="24"/>
      <c r="AF645" s="24"/>
      <c r="AG645" s="24"/>
      <c r="AH645" s="24"/>
      <c r="AI645" s="24"/>
    </row>
    <row r="646" spans="1:35" s="80" customFormat="1" hidden="1" x14ac:dyDescent="0.3">
      <c r="A646" s="86" t="s">
        <v>85</v>
      </c>
      <c r="B646" s="86">
        <v>48499</v>
      </c>
      <c r="C646" s="85" t="s">
        <v>100</v>
      </c>
      <c r="D646" s="86" t="s">
        <v>1</v>
      </c>
      <c r="E646" s="86" t="s">
        <v>1185</v>
      </c>
      <c r="F646" s="86" t="s">
        <v>87</v>
      </c>
      <c r="G646" s="86" t="s">
        <v>113</v>
      </c>
      <c r="H646" s="86" t="s">
        <v>101</v>
      </c>
      <c r="I646" s="86" t="s">
        <v>89</v>
      </c>
      <c r="J646" s="11" t="s">
        <v>102</v>
      </c>
      <c r="K646" s="85" t="s">
        <v>102</v>
      </c>
      <c r="L646" s="11" t="s">
        <v>1219</v>
      </c>
      <c r="M646" s="85" t="s">
        <v>103</v>
      </c>
      <c r="N646" s="84">
        <v>378899.96</v>
      </c>
      <c r="O646" s="83"/>
      <c r="P646" s="86" t="s">
        <v>91</v>
      </c>
      <c r="Q646" s="86" t="s">
        <v>4</v>
      </c>
      <c r="R646" s="86" t="s">
        <v>15</v>
      </c>
      <c r="S646" s="86" t="s">
        <v>60</v>
      </c>
      <c r="T646" s="86">
        <v>1</v>
      </c>
      <c r="U646" s="82"/>
      <c r="V646" s="86" t="s">
        <v>802</v>
      </c>
      <c r="W646" s="86" t="s">
        <v>92</v>
      </c>
      <c r="X646" s="86" t="s">
        <v>93</v>
      </c>
      <c r="Y646" s="82"/>
      <c r="Z646" s="81"/>
    </row>
    <row r="647" spans="1:35" hidden="1" x14ac:dyDescent="0.3">
      <c r="A647" s="12" t="s">
        <v>85</v>
      </c>
      <c r="B647" s="12">
        <v>48499</v>
      </c>
      <c r="C647" s="11" t="s">
        <v>100</v>
      </c>
      <c r="D647" s="12" t="s">
        <v>1</v>
      </c>
      <c r="E647" s="12" t="s">
        <v>1185</v>
      </c>
      <c r="F647" s="12" t="s">
        <v>87</v>
      </c>
      <c r="G647" s="12" t="s">
        <v>113</v>
      </c>
      <c r="H647" s="12" t="s">
        <v>101</v>
      </c>
      <c r="I647" s="12" t="s">
        <v>89</v>
      </c>
      <c r="J647" s="11" t="s">
        <v>102</v>
      </c>
      <c r="K647" s="11" t="s">
        <v>102</v>
      </c>
      <c r="L647" s="11" t="s">
        <v>1219</v>
      </c>
      <c r="M647" s="11" t="s">
        <v>92</v>
      </c>
      <c r="N647" s="57">
        <v>378899.96</v>
      </c>
      <c r="O647" s="59"/>
      <c r="P647" s="12" t="s">
        <v>91</v>
      </c>
      <c r="Q647" s="12" t="s">
        <v>4</v>
      </c>
      <c r="R647" s="12" t="s">
        <v>15</v>
      </c>
      <c r="S647" s="12" t="s">
        <v>60</v>
      </c>
      <c r="T647" s="12">
        <v>1</v>
      </c>
      <c r="U647" s="13"/>
      <c r="V647" s="12" t="s">
        <v>803</v>
      </c>
      <c r="W647" s="12" t="s">
        <v>92</v>
      </c>
      <c r="X647" s="12" t="s">
        <v>93</v>
      </c>
      <c r="Y647" s="13"/>
      <c r="Z647" s="75"/>
      <c r="AA647" s="24"/>
      <c r="AC647" s="24"/>
      <c r="AD647" s="24"/>
      <c r="AE647" s="24"/>
      <c r="AF647" s="24"/>
      <c r="AG647" s="24"/>
      <c r="AH647" s="24"/>
      <c r="AI647" s="24"/>
    </row>
    <row r="648" spans="1:35" hidden="1" x14ac:dyDescent="0.3">
      <c r="A648" s="12" t="s">
        <v>85</v>
      </c>
      <c r="B648" s="12">
        <v>48499</v>
      </c>
      <c r="C648" s="11" t="s">
        <v>100</v>
      </c>
      <c r="D648" s="12" t="s">
        <v>1</v>
      </c>
      <c r="E648" s="12" t="s">
        <v>1185</v>
      </c>
      <c r="F648" s="12" t="s">
        <v>87</v>
      </c>
      <c r="G648" s="12" t="s">
        <v>113</v>
      </c>
      <c r="H648" s="12" t="s">
        <v>101</v>
      </c>
      <c r="I648" s="12" t="s">
        <v>89</v>
      </c>
      <c r="J648" s="11" t="s">
        <v>102</v>
      </c>
      <c r="K648" s="11" t="s">
        <v>102</v>
      </c>
      <c r="L648" s="11" t="s">
        <v>1219</v>
      </c>
      <c r="M648" s="11" t="s">
        <v>103</v>
      </c>
      <c r="N648" s="57">
        <v>378899.96</v>
      </c>
      <c r="O648" s="59"/>
      <c r="P648" s="12" t="s">
        <v>91</v>
      </c>
      <c r="Q648" s="12" t="s">
        <v>4</v>
      </c>
      <c r="R648" s="12" t="s">
        <v>15</v>
      </c>
      <c r="S648" s="12" t="s">
        <v>19</v>
      </c>
      <c r="T648" s="12">
        <v>0</v>
      </c>
      <c r="U648" s="13"/>
      <c r="V648" s="12" t="s">
        <v>92</v>
      </c>
      <c r="W648" s="12" t="s">
        <v>92</v>
      </c>
      <c r="X648" s="12" t="s">
        <v>108</v>
      </c>
      <c r="Y648" s="13"/>
      <c r="Z648" s="75"/>
      <c r="AA648" s="24"/>
      <c r="AC648" s="24"/>
      <c r="AD648" s="24"/>
      <c r="AE648" s="24"/>
      <c r="AF648" s="24"/>
      <c r="AG648" s="24"/>
      <c r="AH648" s="24"/>
      <c r="AI648" s="24"/>
    </row>
    <row r="649" spans="1:35" hidden="1" x14ac:dyDescent="0.3">
      <c r="A649" s="12" t="s">
        <v>85</v>
      </c>
      <c r="B649" s="12">
        <v>48499</v>
      </c>
      <c r="C649" s="11" t="s">
        <v>100</v>
      </c>
      <c r="D649" s="12" t="s">
        <v>1</v>
      </c>
      <c r="E649" s="12" t="s">
        <v>1185</v>
      </c>
      <c r="F649" s="12" t="s">
        <v>87</v>
      </c>
      <c r="G649" s="12" t="s">
        <v>113</v>
      </c>
      <c r="H649" s="12" t="s">
        <v>101</v>
      </c>
      <c r="I649" s="12" t="s">
        <v>89</v>
      </c>
      <c r="J649" s="11" t="s">
        <v>102</v>
      </c>
      <c r="K649" s="11" t="s">
        <v>102</v>
      </c>
      <c r="L649" s="11" t="s">
        <v>1219</v>
      </c>
      <c r="M649" s="11" t="s">
        <v>103</v>
      </c>
      <c r="N649" s="57">
        <v>378899.96</v>
      </c>
      <c r="O649" s="59"/>
      <c r="P649" s="12" t="s">
        <v>91</v>
      </c>
      <c r="Q649" s="12" t="s">
        <v>4</v>
      </c>
      <c r="R649" s="12" t="s">
        <v>15</v>
      </c>
      <c r="S649" s="12" t="s">
        <v>19</v>
      </c>
      <c r="T649" s="12">
        <v>0</v>
      </c>
      <c r="U649" s="13"/>
      <c r="V649" s="12" t="s">
        <v>92</v>
      </c>
      <c r="W649" s="12" t="s">
        <v>92</v>
      </c>
      <c r="X649" s="12" t="s">
        <v>108</v>
      </c>
      <c r="Y649" s="13"/>
      <c r="Z649" s="75"/>
      <c r="AA649" s="24"/>
      <c r="AC649" s="24"/>
      <c r="AD649" s="24"/>
      <c r="AE649" s="24"/>
      <c r="AF649" s="24"/>
      <c r="AG649" s="24"/>
      <c r="AH649" s="24"/>
      <c r="AI649" s="24"/>
    </row>
    <row r="650" spans="1:35" hidden="1" x14ac:dyDescent="0.3">
      <c r="A650" s="12" t="s">
        <v>85</v>
      </c>
      <c r="B650" s="12">
        <v>48499</v>
      </c>
      <c r="C650" s="11" t="s">
        <v>100</v>
      </c>
      <c r="D650" s="12" t="s">
        <v>1</v>
      </c>
      <c r="E650" s="12" t="s">
        <v>1185</v>
      </c>
      <c r="F650" s="12" t="s">
        <v>87</v>
      </c>
      <c r="G650" s="12" t="s">
        <v>113</v>
      </c>
      <c r="H650" s="12" t="s">
        <v>101</v>
      </c>
      <c r="I650" s="12" t="s">
        <v>89</v>
      </c>
      <c r="J650" s="11" t="s">
        <v>102</v>
      </c>
      <c r="K650" s="11" t="s">
        <v>102</v>
      </c>
      <c r="L650" s="11" t="s">
        <v>1219</v>
      </c>
      <c r="M650" s="11" t="s">
        <v>103</v>
      </c>
      <c r="N650" s="57">
        <v>378899.96</v>
      </c>
      <c r="O650" s="59"/>
      <c r="P650" s="12" t="s">
        <v>91</v>
      </c>
      <c r="Q650" s="12" t="s">
        <v>4</v>
      </c>
      <c r="R650" s="12" t="s">
        <v>15</v>
      </c>
      <c r="S650" s="12" t="s">
        <v>25</v>
      </c>
      <c r="T650" s="12">
        <v>1</v>
      </c>
      <c r="U650" s="13">
        <v>43962</v>
      </c>
      <c r="V650" s="12" t="s">
        <v>804</v>
      </c>
      <c r="W650" s="12" t="s">
        <v>92</v>
      </c>
      <c r="X650" s="12" t="s">
        <v>93</v>
      </c>
      <c r="Y650" s="13"/>
      <c r="Z650" s="75"/>
      <c r="AA650" s="24"/>
      <c r="AC650" s="24"/>
      <c r="AD650" s="24"/>
      <c r="AE650" s="24"/>
      <c r="AF650" s="24"/>
      <c r="AG650" s="24"/>
      <c r="AH650" s="24"/>
      <c r="AI650" s="24"/>
    </row>
    <row r="651" spans="1:35" hidden="1" x14ac:dyDescent="0.3">
      <c r="A651" s="12" t="s">
        <v>85</v>
      </c>
      <c r="B651" s="12">
        <v>48499</v>
      </c>
      <c r="C651" s="11" t="s">
        <v>100</v>
      </c>
      <c r="D651" s="12" t="s">
        <v>1</v>
      </c>
      <c r="E651" s="12" t="s">
        <v>1185</v>
      </c>
      <c r="F651" s="12" t="s">
        <v>87</v>
      </c>
      <c r="G651" s="12" t="s">
        <v>113</v>
      </c>
      <c r="H651" s="12" t="s">
        <v>101</v>
      </c>
      <c r="I651" s="12" t="s">
        <v>89</v>
      </c>
      <c r="J651" s="11" t="s">
        <v>102</v>
      </c>
      <c r="K651" s="11" t="s">
        <v>102</v>
      </c>
      <c r="L651" s="11" t="s">
        <v>1219</v>
      </c>
      <c r="M651" s="11" t="s">
        <v>103</v>
      </c>
      <c r="N651" s="57">
        <v>378899.96</v>
      </c>
      <c r="O651" s="59"/>
      <c r="P651" s="12" t="s">
        <v>91</v>
      </c>
      <c r="Q651" s="12" t="s">
        <v>4</v>
      </c>
      <c r="R651" s="12" t="s">
        <v>15</v>
      </c>
      <c r="S651" s="12" t="s">
        <v>22</v>
      </c>
      <c r="T651" s="12">
        <v>1</v>
      </c>
      <c r="U651" s="13">
        <v>43997</v>
      </c>
      <c r="V651" s="12" t="s">
        <v>110</v>
      </c>
      <c r="W651" s="12" t="s">
        <v>92</v>
      </c>
      <c r="X651" s="12" t="s">
        <v>105</v>
      </c>
      <c r="Y651" s="13"/>
      <c r="Z651" s="75"/>
      <c r="AA651" s="24"/>
      <c r="AC651" s="24"/>
      <c r="AD651" s="24"/>
      <c r="AE651" s="24"/>
      <c r="AF651" s="24"/>
      <c r="AG651" s="24"/>
      <c r="AH651" s="24"/>
      <c r="AI651" s="24"/>
    </row>
    <row r="652" spans="1:35" hidden="1" x14ac:dyDescent="0.3">
      <c r="A652" s="12" t="s">
        <v>85</v>
      </c>
      <c r="B652" s="12">
        <v>48499</v>
      </c>
      <c r="C652" s="11" t="s">
        <v>100</v>
      </c>
      <c r="D652" s="12" t="s">
        <v>1</v>
      </c>
      <c r="E652" s="12" t="s">
        <v>1185</v>
      </c>
      <c r="F652" s="12" t="s">
        <v>87</v>
      </c>
      <c r="G652" s="12" t="s">
        <v>113</v>
      </c>
      <c r="H652" s="12" t="s">
        <v>101</v>
      </c>
      <c r="I652" s="12" t="s">
        <v>89</v>
      </c>
      <c r="J652" s="11" t="s">
        <v>102</v>
      </c>
      <c r="K652" s="11" t="s">
        <v>102</v>
      </c>
      <c r="L652" s="11" t="s">
        <v>1219</v>
      </c>
      <c r="M652" s="11" t="s">
        <v>103</v>
      </c>
      <c r="N652" s="57">
        <v>378899.96</v>
      </c>
      <c r="O652" s="59"/>
      <c r="P652" s="12" t="s">
        <v>91</v>
      </c>
      <c r="Q652" s="12" t="s">
        <v>4</v>
      </c>
      <c r="R652" s="12" t="s">
        <v>15</v>
      </c>
      <c r="S652" s="12" t="s">
        <v>25</v>
      </c>
      <c r="T652" s="12">
        <v>1</v>
      </c>
      <c r="U652" s="13">
        <v>43998</v>
      </c>
      <c r="V652" s="12" t="s">
        <v>805</v>
      </c>
      <c r="W652" s="12" t="s">
        <v>92</v>
      </c>
      <c r="X652" s="12" t="s">
        <v>93</v>
      </c>
      <c r="Y652" s="13"/>
      <c r="Z652" s="75"/>
      <c r="AA652" s="24"/>
      <c r="AC652" s="24"/>
      <c r="AD652" s="24"/>
      <c r="AE652" s="24"/>
      <c r="AF652" s="24"/>
      <c r="AG652" s="24"/>
      <c r="AH652" s="24"/>
      <c r="AI652" s="24"/>
    </row>
    <row r="653" spans="1:35" hidden="1" x14ac:dyDescent="0.3">
      <c r="A653" s="12" t="s">
        <v>85</v>
      </c>
      <c r="B653" s="12">
        <v>48499</v>
      </c>
      <c r="C653" s="11" t="s">
        <v>100</v>
      </c>
      <c r="D653" s="12" t="s">
        <v>1</v>
      </c>
      <c r="E653" s="12" t="s">
        <v>1185</v>
      </c>
      <c r="F653" s="12" t="s">
        <v>87</v>
      </c>
      <c r="G653" s="12" t="s">
        <v>113</v>
      </c>
      <c r="H653" s="12" t="s">
        <v>101</v>
      </c>
      <c r="I653" s="12" t="s">
        <v>89</v>
      </c>
      <c r="J653" s="11" t="s">
        <v>102</v>
      </c>
      <c r="K653" s="11" t="s">
        <v>102</v>
      </c>
      <c r="L653" s="11" t="s">
        <v>1219</v>
      </c>
      <c r="M653" s="11" t="s">
        <v>103</v>
      </c>
      <c r="N653" s="57">
        <v>378899.96</v>
      </c>
      <c r="O653" s="59"/>
      <c r="P653" s="12" t="s">
        <v>91</v>
      </c>
      <c r="Q653" s="12" t="s">
        <v>4</v>
      </c>
      <c r="R653" s="12" t="s">
        <v>15</v>
      </c>
      <c r="S653" s="12" t="s">
        <v>22</v>
      </c>
      <c r="T653" s="12">
        <v>1</v>
      </c>
      <c r="U653" s="13">
        <v>44027</v>
      </c>
      <c r="V653" s="12" t="s">
        <v>111</v>
      </c>
      <c r="W653" s="12" t="s">
        <v>92</v>
      </c>
      <c r="X653" s="12" t="s">
        <v>93</v>
      </c>
      <c r="Y653" s="13"/>
      <c r="Z653" s="75"/>
      <c r="AA653" s="24"/>
      <c r="AC653" s="24"/>
      <c r="AD653" s="24"/>
      <c r="AE653" s="24"/>
      <c r="AF653" s="24"/>
      <c r="AG653" s="24"/>
      <c r="AH653" s="24"/>
      <c r="AI653" s="24"/>
    </row>
    <row r="654" spans="1:35" hidden="1" x14ac:dyDescent="0.3">
      <c r="A654" s="12" t="s">
        <v>85</v>
      </c>
      <c r="B654" s="12">
        <v>48499</v>
      </c>
      <c r="C654" s="11" t="s">
        <v>100</v>
      </c>
      <c r="D654" s="12" t="s">
        <v>1</v>
      </c>
      <c r="E654" s="12" t="s">
        <v>1185</v>
      </c>
      <c r="F654" s="12" t="s">
        <v>87</v>
      </c>
      <c r="G654" s="12" t="s">
        <v>113</v>
      </c>
      <c r="H654" s="12" t="s">
        <v>101</v>
      </c>
      <c r="I654" s="12" t="s">
        <v>89</v>
      </c>
      <c r="J654" s="11" t="s">
        <v>102</v>
      </c>
      <c r="K654" s="11" t="s">
        <v>102</v>
      </c>
      <c r="L654" s="11" t="s">
        <v>1219</v>
      </c>
      <c r="M654" s="11" t="s">
        <v>103</v>
      </c>
      <c r="N654" s="57">
        <v>378899.96</v>
      </c>
      <c r="O654" s="59"/>
      <c r="P654" s="12" t="s">
        <v>91</v>
      </c>
      <c r="Q654" s="12" t="s">
        <v>4</v>
      </c>
      <c r="R654" s="12" t="s">
        <v>15</v>
      </c>
      <c r="S654" s="12" t="s">
        <v>25</v>
      </c>
      <c r="T654" s="12">
        <v>0</v>
      </c>
      <c r="U654" s="13"/>
      <c r="V654" s="12" t="s">
        <v>92</v>
      </c>
      <c r="W654" s="12" t="s">
        <v>92</v>
      </c>
      <c r="X654" s="12" t="s">
        <v>93</v>
      </c>
      <c r="Y654" s="13"/>
      <c r="Z654" s="75"/>
      <c r="AA654" s="24"/>
      <c r="AC654" s="24"/>
      <c r="AD654" s="24"/>
      <c r="AE654" s="24"/>
      <c r="AF654" s="24"/>
      <c r="AG654" s="24"/>
      <c r="AH654" s="24"/>
      <c r="AI654" s="24"/>
    </row>
    <row r="655" spans="1:35" hidden="1" x14ac:dyDescent="0.3">
      <c r="A655" s="12" t="s">
        <v>85</v>
      </c>
      <c r="B655" s="12">
        <v>48634</v>
      </c>
      <c r="C655" s="11" t="s">
        <v>608</v>
      </c>
      <c r="D655" s="12" t="s">
        <v>1</v>
      </c>
      <c r="E655" s="12" t="s">
        <v>1185</v>
      </c>
      <c r="F655" s="12" t="s">
        <v>87</v>
      </c>
      <c r="G655" s="12" t="s">
        <v>87</v>
      </c>
      <c r="H655" s="12" t="s">
        <v>609</v>
      </c>
      <c r="I655" s="12" t="s">
        <v>89</v>
      </c>
      <c r="J655" s="11" t="s">
        <v>1280</v>
      </c>
      <c r="K655" s="11" t="s">
        <v>610</v>
      </c>
      <c r="L655" s="11" t="s">
        <v>1195</v>
      </c>
      <c r="M655" s="11" t="s">
        <v>611</v>
      </c>
      <c r="N655" s="57">
        <v>3750</v>
      </c>
      <c r="O655" s="59"/>
      <c r="P655" s="12">
        <v>561290</v>
      </c>
      <c r="Q655" s="12" t="s">
        <v>12</v>
      </c>
      <c r="R655" s="12" t="s">
        <v>99</v>
      </c>
      <c r="S655" s="12" t="s">
        <v>99</v>
      </c>
      <c r="T655" s="12">
        <v>0</v>
      </c>
      <c r="U655" s="13"/>
      <c r="V655" s="12" t="s">
        <v>92</v>
      </c>
      <c r="W655" s="12" t="s">
        <v>92</v>
      </c>
      <c r="X655" s="12" t="s">
        <v>135</v>
      </c>
      <c r="Y655" s="13"/>
      <c r="Z655" s="75"/>
      <c r="AA655" s="24"/>
      <c r="AC655" s="24"/>
      <c r="AD655" s="24"/>
      <c r="AE655" s="24"/>
      <c r="AF655" s="24"/>
      <c r="AG655" s="24"/>
      <c r="AH655" s="24"/>
      <c r="AI655" s="24"/>
    </row>
    <row r="656" spans="1:35" hidden="1" x14ac:dyDescent="0.3">
      <c r="A656" s="12" t="s">
        <v>85</v>
      </c>
      <c r="B656" s="12">
        <v>48635</v>
      </c>
      <c r="C656" s="11" t="s">
        <v>608</v>
      </c>
      <c r="D656" s="12" t="s">
        <v>1</v>
      </c>
      <c r="E656" s="12" t="s">
        <v>1185</v>
      </c>
      <c r="F656" s="12" t="s">
        <v>87</v>
      </c>
      <c r="G656" s="12" t="s">
        <v>87</v>
      </c>
      <c r="H656" s="12" t="s">
        <v>609</v>
      </c>
      <c r="I656" s="12" t="s">
        <v>89</v>
      </c>
      <c r="J656" s="11" t="s">
        <v>1280</v>
      </c>
      <c r="K656" s="11" t="s">
        <v>610</v>
      </c>
      <c r="L656" s="11" t="s">
        <v>1195</v>
      </c>
      <c r="M656" s="11" t="s">
        <v>611</v>
      </c>
      <c r="N656" s="57">
        <v>6470</v>
      </c>
      <c r="O656" s="59"/>
      <c r="P656" s="12" t="s">
        <v>806</v>
      </c>
      <c r="Q656" s="12" t="s">
        <v>12</v>
      </c>
      <c r="R656" s="12" t="s">
        <v>99</v>
      </c>
      <c r="S656" s="12" t="s">
        <v>99</v>
      </c>
      <c r="T656" s="12">
        <v>0</v>
      </c>
      <c r="U656" s="13"/>
      <c r="V656" s="12" t="s">
        <v>92</v>
      </c>
      <c r="W656" s="12" t="s">
        <v>92</v>
      </c>
      <c r="X656" s="12" t="s">
        <v>135</v>
      </c>
      <c r="Y656" s="13"/>
      <c r="Z656" s="75"/>
      <c r="AA656" s="24"/>
      <c r="AC656" s="24"/>
      <c r="AD656" s="24"/>
      <c r="AE656" s="24"/>
      <c r="AF656" s="24"/>
      <c r="AG656" s="24"/>
      <c r="AH656" s="24"/>
      <c r="AI656" s="24"/>
    </row>
    <row r="657" spans="1:35" hidden="1" x14ac:dyDescent="0.3">
      <c r="A657" s="12" t="s">
        <v>85</v>
      </c>
      <c r="B657" s="12">
        <v>40125</v>
      </c>
      <c r="C657" s="11" t="s">
        <v>674</v>
      </c>
      <c r="D657" s="12" t="s">
        <v>1</v>
      </c>
      <c r="E657" s="12" t="s">
        <v>1185</v>
      </c>
      <c r="F657" s="12" t="s">
        <v>113</v>
      </c>
      <c r="G657" s="12" t="s">
        <v>87</v>
      </c>
      <c r="H657" s="12" t="s">
        <v>675</v>
      </c>
      <c r="I657" s="12" t="s">
        <v>115</v>
      </c>
      <c r="J657" s="14" t="s">
        <v>679</v>
      </c>
      <c r="K657" s="11" t="s">
        <v>679</v>
      </c>
      <c r="L657" s="11" t="s">
        <v>1195</v>
      </c>
      <c r="M657" s="11" t="s">
        <v>680</v>
      </c>
      <c r="N657" s="58">
        <v>36802.870000000003</v>
      </c>
      <c r="O657" s="59"/>
      <c r="P657" s="12" t="s">
        <v>91</v>
      </c>
      <c r="Q657" s="12" t="s">
        <v>4</v>
      </c>
      <c r="R657" s="12" t="s">
        <v>15</v>
      </c>
      <c r="S657" s="12" t="s">
        <v>57</v>
      </c>
      <c r="T657" s="12">
        <v>1</v>
      </c>
      <c r="U657" s="13">
        <v>43843</v>
      </c>
      <c r="V657" s="12" t="s">
        <v>682</v>
      </c>
      <c r="W657" s="12" t="s">
        <v>92</v>
      </c>
      <c r="X657" s="12" t="s">
        <v>105</v>
      </c>
      <c r="Y657" s="13"/>
      <c r="Z657" s="75"/>
      <c r="AA657" s="24"/>
      <c r="AC657" s="24"/>
      <c r="AD657" s="24"/>
      <c r="AE657" s="24"/>
      <c r="AF657" s="24"/>
      <c r="AG657" s="24"/>
      <c r="AH657" s="24"/>
      <c r="AI657" s="24"/>
    </row>
    <row r="658" spans="1:35" hidden="1" x14ac:dyDescent="0.3">
      <c r="A658" s="12" t="s">
        <v>85</v>
      </c>
      <c r="B658" s="12">
        <v>40125</v>
      </c>
      <c r="C658" s="11" t="s">
        <v>674</v>
      </c>
      <c r="D658" s="12" t="s">
        <v>1</v>
      </c>
      <c r="E658" s="12" t="s">
        <v>1185</v>
      </c>
      <c r="F658" s="12" t="s">
        <v>113</v>
      </c>
      <c r="G658" s="12" t="s">
        <v>87</v>
      </c>
      <c r="H658" s="12" t="s">
        <v>675</v>
      </c>
      <c r="I658" s="12" t="s">
        <v>115</v>
      </c>
      <c r="J658" s="14" t="s">
        <v>679</v>
      </c>
      <c r="K658" s="11" t="s">
        <v>679</v>
      </c>
      <c r="L658" s="11" t="s">
        <v>1195</v>
      </c>
      <c r="M658" s="11" t="s">
        <v>680</v>
      </c>
      <c r="N658" s="58">
        <v>36802.870000000003</v>
      </c>
      <c r="O658" s="59"/>
      <c r="P658" s="12" t="s">
        <v>91</v>
      </c>
      <c r="Q658" s="12" t="s">
        <v>4</v>
      </c>
      <c r="R658" s="12" t="s">
        <v>15</v>
      </c>
      <c r="S658" s="12" t="s">
        <v>57</v>
      </c>
      <c r="T658" s="12">
        <v>1</v>
      </c>
      <c r="U658" s="13">
        <v>43847</v>
      </c>
      <c r="V658" s="12" t="s">
        <v>807</v>
      </c>
      <c r="W658" s="12" t="s">
        <v>92</v>
      </c>
      <c r="X658" s="12" t="s">
        <v>105</v>
      </c>
      <c r="Y658" s="13"/>
      <c r="Z658" s="75"/>
      <c r="AA658" s="24"/>
      <c r="AC658" s="24"/>
      <c r="AD658" s="24"/>
      <c r="AE658" s="24"/>
      <c r="AF658" s="24"/>
      <c r="AG658" s="24"/>
      <c r="AH658" s="24"/>
      <c r="AI658" s="24"/>
    </row>
    <row r="659" spans="1:35" hidden="1" x14ac:dyDescent="0.3">
      <c r="A659" s="12" t="s">
        <v>85</v>
      </c>
      <c r="B659" s="12">
        <v>40125</v>
      </c>
      <c r="C659" s="11" t="s">
        <v>674</v>
      </c>
      <c r="D659" s="12" t="s">
        <v>1</v>
      </c>
      <c r="E659" s="12" t="s">
        <v>1185</v>
      </c>
      <c r="F659" s="12" t="s">
        <v>113</v>
      </c>
      <c r="G659" s="12" t="s">
        <v>87</v>
      </c>
      <c r="H659" s="12" t="s">
        <v>675</v>
      </c>
      <c r="I659" s="12" t="s">
        <v>115</v>
      </c>
      <c r="J659" s="14" t="s">
        <v>679</v>
      </c>
      <c r="K659" s="11" t="s">
        <v>679</v>
      </c>
      <c r="L659" s="11" t="s">
        <v>1195</v>
      </c>
      <c r="M659" s="11" t="s">
        <v>680</v>
      </c>
      <c r="N659" s="58">
        <v>36802.870000000003</v>
      </c>
      <c r="O659" s="59"/>
      <c r="P659" s="12" t="s">
        <v>91</v>
      </c>
      <c r="Q659" s="12" t="s">
        <v>4</v>
      </c>
      <c r="R659" s="12" t="s">
        <v>15</v>
      </c>
      <c r="S659" s="12" t="s">
        <v>57</v>
      </c>
      <c r="T659" s="12">
        <v>1</v>
      </c>
      <c r="U659" s="13">
        <v>43879</v>
      </c>
      <c r="V659" s="12" t="s">
        <v>808</v>
      </c>
      <c r="W659" s="12" t="s">
        <v>92</v>
      </c>
      <c r="X659" s="12" t="s">
        <v>105</v>
      </c>
      <c r="Y659" s="13"/>
      <c r="Z659" s="75"/>
      <c r="AA659" s="24"/>
      <c r="AC659" s="24"/>
      <c r="AD659" s="24"/>
      <c r="AE659" s="24"/>
      <c r="AF659" s="24"/>
      <c r="AG659" s="24"/>
      <c r="AH659" s="24"/>
      <c r="AI659" s="24"/>
    </row>
    <row r="660" spans="1:35" hidden="1" x14ac:dyDescent="0.3">
      <c r="A660" s="12" t="s">
        <v>85</v>
      </c>
      <c r="B660" s="12">
        <v>40125</v>
      </c>
      <c r="C660" s="11" t="s">
        <v>674</v>
      </c>
      <c r="D660" s="12" t="s">
        <v>1</v>
      </c>
      <c r="E660" s="12" t="s">
        <v>1185</v>
      </c>
      <c r="F660" s="12" t="s">
        <v>113</v>
      </c>
      <c r="G660" s="12" t="s">
        <v>87</v>
      </c>
      <c r="H660" s="12" t="s">
        <v>675</v>
      </c>
      <c r="I660" s="12" t="s">
        <v>115</v>
      </c>
      <c r="J660" s="14" t="s">
        <v>679</v>
      </c>
      <c r="K660" s="11" t="s">
        <v>679</v>
      </c>
      <c r="L660" s="11" t="s">
        <v>1195</v>
      </c>
      <c r="M660" s="11" t="s">
        <v>680</v>
      </c>
      <c r="N660" s="58">
        <v>36802.870000000003</v>
      </c>
      <c r="O660" s="59"/>
      <c r="P660" s="12" t="s">
        <v>91</v>
      </c>
      <c r="Q660" s="12" t="s">
        <v>4</v>
      </c>
      <c r="R660" s="12" t="s">
        <v>15</v>
      </c>
      <c r="S660" s="12" t="s">
        <v>57</v>
      </c>
      <c r="T660" s="12">
        <v>1</v>
      </c>
      <c r="U660" s="13">
        <v>43906</v>
      </c>
      <c r="V660" s="12" t="s">
        <v>809</v>
      </c>
      <c r="W660" s="12" t="s">
        <v>92</v>
      </c>
      <c r="X660" s="12" t="s">
        <v>105</v>
      </c>
      <c r="Y660" s="13"/>
      <c r="Z660" s="75"/>
      <c r="AA660" s="24"/>
      <c r="AC660" s="24"/>
      <c r="AD660" s="24"/>
      <c r="AE660" s="24"/>
      <c r="AF660" s="24"/>
      <c r="AG660" s="24"/>
      <c r="AH660" s="24"/>
      <c r="AI660" s="24"/>
    </row>
    <row r="661" spans="1:35" hidden="1" x14ac:dyDescent="0.3">
      <c r="A661" s="12" t="s">
        <v>85</v>
      </c>
      <c r="B661" s="12">
        <v>40125</v>
      </c>
      <c r="C661" s="11" t="s">
        <v>674</v>
      </c>
      <c r="D661" s="12" t="s">
        <v>1</v>
      </c>
      <c r="E661" s="12" t="s">
        <v>1185</v>
      </c>
      <c r="F661" s="12" t="s">
        <v>113</v>
      </c>
      <c r="G661" s="12" t="s">
        <v>87</v>
      </c>
      <c r="H661" s="12" t="s">
        <v>675</v>
      </c>
      <c r="I661" s="12" t="s">
        <v>115</v>
      </c>
      <c r="J661" s="14" t="s">
        <v>679</v>
      </c>
      <c r="K661" s="11" t="s">
        <v>679</v>
      </c>
      <c r="L661" s="11" t="s">
        <v>1195</v>
      </c>
      <c r="M661" s="11" t="s">
        <v>680</v>
      </c>
      <c r="N661" s="58">
        <v>36802.870000000003</v>
      </c>
      <c r="O661" s="59"/>
      <c r="P661" s="12" t="s">
        <v>91</v>
      </c>
      <c r="Q661" s="12" t="s">
        <v>4</v>
      </c>
      <c r="R661" s="12" t="s">
        <v>16</v>
      </c>
      <c r="S661" s="12" t="s">
        <v>30</v>
      </c>
      <c r="T661" s="12">
        <v>1</v>
      </c>
      <c r="U661" s="13">
        <v>43938</v>
      </c>
      <c r="V661" s="12" t="s">
        <v>810</v>
      </c>
      <c r="W661" s="12" t="s">
        <v>92</v>
      </c>
      <c r="X661" s="12" t="s">
        <v>93</v>
      </c>
      <c r="Y661" s="13"/>
      <c r="Z661" s="75"/>
      <c r="AA661" s="24"/>
      <c r="AC661" s="24"/>
      <c r="AD661" s="24"/>
      <c r="AE661" s="24"/>
      <c r="AF661" s="24"/>
      <c r="AG661" s="24"/>
      <c r="AH661" s="24"/>
      <c r="AI661" s="24"/>
    </row>
    <row r="662" spans="1:35" hidden="1" x14ac:dyDescent="0.3">
      <c r="A662" s="12" t="s">
        <v>85</v>
      </c>
      <c r="B662" s="12">
        <v>40125</v>
      </c>
      <c r="C662" s="11" t="s">
        <v>674</v>
      </c>
      <c r="D662" s="12" t="s">
        <v>1</v>
      </c>
      <c r="E662" s="12" t="s">
        <v>1185</v>
      </c>
      <c r="F662" s="12" t="s">
        <v>113</v>
      </c>
      <c r="G662" s="12" t="s">
        <v>87</v>
      </c>
      <c r="H662" s="12" t="s">
        <v>675</v>
      </c>
      <c r="I662" s="12" t="s">
        <v>115</v>
      </c>
      <c r="J662" s="14" t="s">
        <v>679</v>
      </c>
      <c r="K662" s="11" t="s">
        <v>679</v>
      </c>
      <c r="L662" s="11" t="s">
        <v>1195</v>
      </c>
      <c r="M662" s="11" t="s">
        <v>680</v>
      </c>
      <c r="N662" s="58">
        <v>36802.870000000003</v>
      </c>
      <c r="O662" s="59"/>
      <c r="P662" s="12" t="s">
        <v>91</v>
      </c>
      <c r="Q662" s="12" t="s">
        <v>4</v>
      </c>
      <c r="R662" s="12" t="s">
        <v>16</v>
      </c>
      <c r="S662" s="12" t="s">
        <v>30</v>
      </c>
      <c r="T662" s="12">
        <v>1</v>
      </c>
      <c r="U662" s="13">
        <v>43962</v>
      </c>
      <c r="V662" s="12" t="s">
        <v>811</v>
      </c>
      <c r="W662" s="12" t="s">
        <v>92</v>
      </c>
      <c r="X662" s="12" t="s">
        <v>93</v>
      </c>
      <c r="Y662" s="13"/>
      <c r="Z662" s="75"/>
      <c r="AA662" s="24"/>
      <c r="AC662" s="24"/>
      <c r="AD662" s="24"/>
      <c r="AE662" s="24"/>
      <c r="AF662" s="24"/>
      <c r="AG662" s="24"/>
      <c r="AH662" s="24"/>
      <c r="AI662" s="24"/>
    </row>
    <row r="663" spans="1:35" hidden="1" x14ac:dyDescent="0.3">
      <c r="A663" s="12" t="s">
        <v>85</v>
      </c>
      <c r="B663" s="12">
        <v>40125</v>
      </c>
      <c r="C663" s="11" t="s">
        <v>674</v>
      </c>
      <c r="D663" s="12" t="s">
        <v>1</v>
      </c>
      <c r="E663" s="12" t="s">
        <v>1185</v>
      </c>
      <c r="F663" s="12" t="s">
        <v>113</v>
      </c>
      <c r="G663" s="12" t="s">
        <v>87</v>
      </c>
      <c r="H663" s="12" t="s">
        <v>675</v>
      </c>
      <c r="I663" s="12" t="s">
        <v>115</v>
      </c>
      <c r="J663" s="14" t="s">
        <v>679</v>
      </c>
      <c r="K663" s="11" t="s">
        <v>679</v>
      </c>
      <c r="L663" s="11" t="s">
        <v>1195</v>
      </c>
      <c r="M663" s="11" t="s">
        <v>680</v>
      </c>
      <c r="N663" s="58">
        <v>36802.870000000003</v>
      </c>
      <c r="O663" s="59"/>
      <c r="P663" s="12" t="s">
        <v>91</v>
      </c>
      <c r="Q663" s="12" t="s">
        <v>4</v>
      </c>
      <c r="R663" s="12" t="s">
        <v>15</v>
      </c>
      <c r="S663" s="12" t="s">
        <v>57</v>
      </c>
      <c r="T663" s="12">
        <v>1</v>
      </c>
      <c r="U663" s="13">
        <v>43962</v>
      </c>
      <c r="V663" s="12" t="s">
        <v>685</v>
      </c>
      <c r="W663" s="12" t="s">
        <v>92</v>
      </c>
      <c r="X663" s="12" t="s">
        <v>105</v>
      </c>
      <c r="Y663" s="13"/>
      <c r="Z663" s="75"/>
      <c r="AA663" s="24"/>
      <c r="AC663" s="24"/>
      <c r="AD663" s="24"/>
      <c r="AE663" s="24"/>
      <c r="AF663" s="24"/>
      <c r="AG663" s="24"/>
      <c r="AH663" s="24"/>
      <c r="AI663" s="24"/>
    </row>
    <row r="664" spans="1:35" hidden="1" x14ac:dyDescent="0.3">
      <c r="A664" s="12" t="s">
        <v>85</v>
      </c>
      <c r="B664" s="12">
        <v>40125</v>
      </c>
      <c r="C664" s="11" t="s">
        <v>674</v>
      </c>
      <c r="D664" s="12" t="s">
        <v>1</v>
      </c>
      <c r="E664" s="12" t="s">
        <v>1185</v>
      </c>
      <c r="F664" s="12" t="s">
        <v>113</v>
      </c>
      <c r="G664" s="12" t="s">
        <v>87</v>
      </c>
      <c r="H664" s="12" t="s">
        <v>675</v>
      </c>
      <c r="I664" s="12" t="s">
        <v>115</v>
      </c>
      <c r="J664" s="14" t="s">
        <v>679</v>
      </c>
      <c r="K664" s="11" t="s">
        <v>679</v>
      </c>
      <c r="L664" s="11" t="s">
        <v>1195</v>
      </c>
      <c r="M664" s="11" t="s">
        <v>680</v>
      </c>
      <c r="N664" s="58">
        <v>36802.870000000003</v>
      </c>
      <c r="O664" s="59"/>
      <c r="P664" s="12" t="s">
        <v>91</v>
      </c>
      <c r="Q664" s="12" t="s">
        <v>4</v>
      </c>
      <c r="R664" s="12" t="s">
        <v>16</v>
      </c>
      <c r="S664" s="12" t="s">
        <v>30</v>
      </c>
      <c r="T664" s="12">
        <v>1</v>
      </c>
      <c r="U664" s="13">
        <v>43998</v>
      </c>
      <c r="V664" s="12" t="s">
        <v>812</v>
      </c>
      <c r="W664" s="12" t="s">
        <v>92</v>
      </c>
      <c r="X664" s="12" t="s">
        <v>93</v>
      </c>
      <c r="Y664" s="13"/>
      <c r="Z664" s="75"/>
      <c r="AA664" s="24"/>
      <c r="AC664" s="24"/>
      <c r="AD664" s="24"/>
      <c r="AE664" s="24"/>
      <c r="AF664" s="24"/>
      <c r="AG664" s="24"/>
      <c r="AH664" s="24"/>
      <c r="AI664" s="24"/>
    </row>
    <row r="665" spans="1:35" hidden="1" x14ac:dyDescent="0.3">
      <c r="A665" s="12" t="s">
        <v>85</v>
      </c>
      <c r="B665" s="12">
        <v>50102</v>
      </c>
      <c r="C665" s="11" t="s">
        <v>376</v>
      </c>
      <c r="D665" s="12" t="s">
        <v>417</v>
      </c>
      <c r="E665" s="12" t="s">
        <v>1183</v>
      </c>
      <c r="F665" s="12" t="s">
        <v>87</v>
      </c>
      <c r="G665" s="12" t="s">
        <v>87</v>
      </c>
      <c r="H665" s="12" t="s">
        <v>334</v>
      </c>
      <c r="I665" s="12" t="s">
        <v>89</v>
      </c>
      <c r="J665" s="11" t="s">
        <v>813</v>
      </c>
      <c r="K665" s="11" t="s">
        <v>813</v>
      </c>
      <c r="L665" s="11"/>
      <c r="M665" s="11" t="s">
        <v>92</v>
      </c>
      <c r="N665" s="59">
        <v>131.88</v>
      </c>
      <c r="O665" s="59"/>
      <c r="P665" s="12" t="s">
        <v>814</v>
      </c>
      <c r="Q665" s="12" t="s">
        <v>4</v>
      </c>
      <c r="R665" s="12" t="s">
        <v>15</v>
      </c>
      <c r="S665" s="12" t="s">
        <v>39</v>
      </c>
      <c r="T665" s="12">
        <v>1</v>
      </c>
      <c r="U665" s="13">
        <v>43966</v>
      </c>
      <c r="V665" s="12" t="s">
        <v>720</v>
      </c>
      <c r="W665" s="12" t="s">
        <v>92</v>
      </c>
      <c r="X665" s="12" t="s">
        <v>105</v>
      </c>
      <c r="Y665" s="13"/>
      <c r="Z665" s="75"/>
      <c r="AA665" s="24"/>
      <c r="AC665" s="24"/>
      <c r="AD665" s="24"/>
      <c r="AE665" s="24"/>
      <c r="AF665" s="24"/>
      <c r="AG665" s="24"/>
      <c r="AH665" s="24"/>
      <c r="AI665" s="24"/>
    </row>
    <row r="666" spans="1:35" hidden="1" x14ac:dyDescent="0.3">
      <c r="A666" s="12" t="s">
        <v>85</v>
      </c>
      <c r="B666" s="12">
        <v>50102</v>
      </c>
      <c r="C666" s="11" t="s">
        <v>376</v>
      </c>
      <c r="D666" s="12" t="s">
        <v>417</v>
      </c>
      <c r="E666" s="12" t="s">
        <v>1183</v>
      </c>
      <c r="F666" s="12" t="s">
        <v>87</v>
      </c>
      <c r="G666" s="12" t="s">
        <v>87</v>
      </c>
      <c r="H666" s="12" t="s">
        <v>334</v>
      </c>
      <c r="I666" s="12" t="s">
        <v>89</v>
      </c>
      <c r="J666" s="11" t="s">
        <v>813</v>
      </c>
      <c r="K666" s="11" t="s">
        <v>813</v>
      </c>
      <c r="L666" s="11"/>
      <c r="M666" s="11" t="s">
        <v>92</v>
      </c>
      <c r="N666" s="59">
        <v>131.88</v>
      </c>
      <c r="O666" s="59"/>
      <c r="P666" s="12" t="s">
        <v>814</v>
      </c>
      <c r="Q666" s="12" t="s">
        <v>4</v>
      </c>
      <c r="R666" s="12" t="s">
        <v>15</v>
      </c>
      <c r="S666" s="12" t="s">
        <v>39</v>
      </c>
      <c r="T666" s="12">
        <v>1</v>
      </c>
      <c r="U666" s="13">
        <v>43969</v>
      </c>
      <c r="V666" s="12" t="s">
        <v>721</v>
      </c>
      <c r="W666" s="12" t="s">
        <v>92</v>
      </c>
      <c r="X666" s="12" t="s">
        <v>105</v>
      </c>
      <c r="Y666" s="13"/>
      <c r="Z666" s="75"/>
      <c r="AA666" s="24"/>
      <c r="AC666" s="24"/>
      <c r="AD666" s="24"/>
      <c r="AE666" s="24"/>
      <c r="AF666" s="24"/>
      <c r="AG666" s="24"/>
      <c r="AH666" s="24"/>
      <c r="AI666" s="24"/>
    </row>
    <row r="667" spans="1:35" hidden="1" x14ac:dyDescent="0.3">
      <c r="A667" s="12" t="s">
        <v>85</v>
      </c>
      <c r="B667" s="12">
        <v>50102</v>
      </c>
      <c r="C667" s="11" t="s">
        <v>376</v>
      </c>
      <c r="D667" s="12" t="s">
        <v>417</v>
      </c>
      <c r="E667" s="12" t="s">
        <v>1183</v>
      </c>
      <c r="F667" s="12" t="s">
        <v>87</v>
      </c>
      <c r="G667" s="12" t="s">
        <v>87</v>
      </c>
      <c r="H667" s="12" t="s">
        <v>334</v>
      </c>
      <c r="I667" s="12" t="s">
        <v>89</v>
      </c>
      <c r="J667" s="11" t="s">
        <v>813</v>
      </c>
      <c r="K667" s="11" t="s">
        <v>813</v>
      </c>
      <c r="L667" s="11"/>
      <c r="M667" s="11" t="s">
        <v>92</v>
      </c>
      <c r="N667" s="59">
        <v>131.88</v>
      </c>
      <c r="O667" s="59"/>
      <c r="P667" s="12" t="s">
        <v>814</v>
      </c>
      <c r="Q667" s="12" t="s">
        <v>4</v>
      </c>
      <c r="R667" s="12" t="s">
        <v>15</v>
      </c>
      <c r="S667" s="12" t="s">
        <v>39</v>
      </c>
      <c r="T667" s="12">
        <v>1</v>
      </c>
      <c r="U667" s="13">
        <v>43999</v>
      </c>
      <c r="V667" s="12" t="s">
        <v>722</v>
      </c>
      <c r="W667" s="12" t="s">
        <v>92</v>
      </c>
      <c r="X667" s="12" t="s">
        <v>105</v>
      </c>
      <c r="Y667" s="13"/>
      <c r="Z667" s="75"/>
      <c r="AA667" s="24"/>
      <c r="AC667" s="24"/>
      <c r="AD667" s="24"/>
      <c r="AE667" s="24"/>
      <c r="AF667" s="24"/>
      <c r="AG667" s="24"/>
      <c r="AH667" s="24"/>
      <c r="AI667" s="24"/>
    </row>
    <row r="668" spans="1:35" hidden="1" x14ac:dyDescent="0.3">
      <c r="A668" s="12" t="s">
        <v>85</v>
      </c>
      <c r="B668" s="12">
        <v>50102</v>
      </c>
      <c r="C668" s="11" t="s">
        <v>376</v>
      </c>
      <c r="D668" s="12" t="s">
        <v>417</v>
      </c>
      <c r="E668" s="12" t="s">
        <v>1183</v>
      </c>
      <c r="F668" s="12" t="s">
        <v>87</v>
      </c>
      <c r="G668" s="12" t="s">
        <v>87</v>
      </c>
      <c r="H668" s="12" t="s">
        <v>334</v>
      </c>
      <c r="I668" s="12" t="s">
        <v>89</v>
      </c>
      <c r="J668" s="11" t="s">
        <v>813</v>
      </c>
      <c r="K668" s="11" t="s">
        <v>813</v>
      </c>
      <c r="L668" s="11"/>
      <c r="M668" s="11" t="s">
        <v>92</v>
      </c>
      <c r="N668" s="59">
        <v>131.88</v>
      </c>
      <c r="O668" s="59"/>
      <c r="P668" s="12" t="s">
        <v>814</v>
      </c>
      <c r="Q668" s="12" t="s">
        <v>4</v>
      </c>
      <c r="R668" s="12" t="s">
        <v>15</v>
      </c>
      <c r="S668" s="12" t="s">
        <v>39</v>
      </c>
      <c r="T668" s="12">
        <v>1</v>
      </c>
      <c r="U668" s="13">
        <v>44015</v>
      </c>
      <c r="V668" s="12" t="s">
        <v>723</v>
      </c>
      <c r="W668" s="12" t="s">
        <v>92</v>
      </c>
      <c r="X668" s="12" t="s">
        <v>105</v>
      </c>
      <c r="Y668" s="13"/>
      <c r="Z668" s="75"/>
      <c r="AA668" s="24"/>
      <c r="AC668" s="24"/>
      <c r="AD668" s="24"/>
      <c r="AE668" s="24"/>
      <c r="AF668" s="24"/>
      <c r="AG668" s="24"/>
      <c r="AH668" s="24"/>
      <c r="AI668" s="24"/>
    </row>
    <row r="669" spans="1:35" hidden="1" x14ac:dyDescent="0.3">
      <c r="A669" s="12" t="s">
        <v>85</v>
      </c>
      <c r="B669" s="12">
        <v>50257</v>
      </c>
      <c r="C669" s="11" t="s">
        <v>527</v>
      </c>
      <c r="D669" s="12" t="s">
        <v>1</v>
      </c>
      <c r="E669" s="12" t="s">
        <v>1185</v>
      </c>
      <c r="F669" s="12" t="s">
        <v>87</v>
      </c>
      <c r="G669" s="12" t="s">
        <v>113</v>
      </c>
      <c r="H669" s="12" t="s">
        <v>528</v>
      </c>
      <c r="I669" s="12" t="s">
        <v>125</v>
      </c>
      <c r="J669" s="11" t="s">
        <v>529</v>
      </c>
      <c r="K669" s="11" t="s">
        <v>529</v>
      </c>
      <c r="L669" s="11" t="s">
        <v>1212</v>
      </c>
      <c r="M669" s="11" t="s">
        <v>537</v>
      </c>
      <c r="N669" s="58">
        <v>180</v>
      </c>
      <c r="O669" s="59" t="s">
        <v>289</v>
      </c>
      <c r="P669" s="12" t="s">
        <v>815</v>
      </c>
      <c r="Q669" s="12" t="s">
        <v>4</v>
      </c>
      <c r="R669" s="12" t="s">
        <v>13</v>
      </c>
      <c r="S669" s="12" t="s">
        <v>25</v>
      </c>
      <c r="T669" s="12">
        <v>1</v>
      </c>
      <c r="U669" s="13">
        <v>44028</v>
      </c>
      <c r="V669" s="12" t="s">
        <v>94</v>
      </c>
      <c r="W669" s="12" t="s">
        <v>92</v>
      </c>
      <c r="X669" s="12" t="s">
        <v>93</v>
      </c>
      <c r="Y669" s="13"/>
      <c r="Z669" s="75"/>
      <c r="AA669" s="24"/>
      <c r="AC669" s="24"/>
      <c r="AD669" s="24"/>
      <c r="AE669" s="24"/>
      <c r="AF669" s="24"/>
      <c r="AG669" s="24"/>
      <c r="AH669" s="24"/>
      <c r="AI669" s="24"/>
    </row>
    <row r="670" spans="1:35" hidden="1" x14ac:dyDescent="0.3">
      <c r="A670" s="12" t="s">
        <v>85</v>
      </c>
      <c r="B670" s="12">
        <v>51921</v>
      </c>
      <c r="C670" s="11" t="s">
        <v>1252</v>
      </c>
      <c r="D670" s="12" t="s">
        <v>1</v>
      </c>
      <c r="E670" s="12" t="s">
        <v>1185</v>
      </c>
      <c r="F670" s="12" t="s">
        <v>113</v>
      </c>
      <c r="G670" s="12" t="s">
        <v>113</v>
      </c>
      <c r="H670" s="12" t="s">
        <v>528</v>
      </c>
      <c r="I670" s="12" t="s">
        <v>125</v>
      </c>
      <c r="J670" s="11" t="s">
        <v>816</v>
      </c>
      <c r="K670" s="11" t="s">
        <v>816</v>
      </c>
      <c r="L670" s="11" t="s">
        <v>1194</v>
      </c>
      <c r="M670" s="11" t="s">
        <v>92</v>
      </c>
      <c r="N670" s="59">
        <v>0</v>
      </c>
      <c r="O670" s="59">
        <v>666.03</v>
      </c>
      <c r="P670" s="12" t="s">
        <v>817</v>
      </c>
      <c r="Q670" s="12" t="s">
        <v>12</v>
      </c>
      <c r="R670" s="12" t="s">
        <v>99</v>
      </c>
      <c r="S670" s="12" t="s">
        <v>99</v>
      </c>
      <c r="T670" s="12">
        <v>0</v>
      </c>
      <c r="U670" s="13"/>
      <c r="V670" s="12" t="s">
        <v>92</v>
      </c>
      <c r="W670" s="12" t="s">
        <v>92</v>
      </c>
      <c r="X670" s="12" t="s">
        <v>135</v>
      </c>
      <c r="Y670" s="13"/>
      <c r="Z670" s="75"/>
      <c r="AA670" s="24"/>
      <c r="AC670" s="24"/>
      <c r="AD670" s="24"/>
      <c r="AE670" s="24"/>
      <c r="AF670" s="24"/>
      <c r="AG670" s="24"/>
      <c r="AH670" s="24"/>
      <c r="AI670" s="24"/>
    </row>
    <row r="671" spans="1:35" hidden="1" x14ac:dyDescent="0.3">
      <c r="A671" s="12" t="s">
        <v>85</v>
      </c>
      <c r="B671" s="12">
        <v>51956</v>
      </c>
      <c r="C671" s="11" t="s">
        <v>726</v>
      </c>
      <c r="D671" s="12" t="s">
        <v>1</v>
      </c>
      <c r="E671" s="12" t="s">
        <v>1185</v>
      </c>
      <c r="F671" s="12" t="s">
        <v>87</v>
      </c>
      <c r="G671" s="12" t="s">
        <v>113</v>
      </c>
      <c r="H671" s="12" t="s">
        <v>533</v>
      </c>
      <c r="I671" s="12" t="s">
        <v>89</v>
      </c>
      <c r="J671" s="11" t="s">
        <v>818</v>
      </c>
      <c r="K671" s="11" t="s">
        <v>818</v>
      </c>
      <c r="L671" s="11" t="s">
        <v>1194</v>
      </c>
      <c r="M671" s="11" t="s">
        <v>819</v>
      </c>
      <c r="N671" s="59">
        <v>0</v>
      </c>
      <c r="O671" s="59">
        <v>147.16999999999999</v>
      </c>
      <c r="P671" s="56">
        <v>1003300120021</v>
      </c>
      <c r="Q671" s="12" t="s">
        <v>12</v>
      </c>
      <c r="R671" s="12" t="s">
        <v>99</v>
      </c>
      <c r="S671" s="12" t="s">
        <v>99</v>
      </c>
      <c r="T671" s="12">
        <v>0</v>
      </c>
      <c r="U671" s="13"/>
      <c r="V671" s="12" t="s">
        <v>92</v>
      </c>
      <c r="W671" s="12" t="s">
        <v>92</v>
      </c>
      <c r="X671" s="12" t="s">
        <v>93</v>
      </c>
      <c r="Y671" s="13">
        <v>43774</v>
      </c>
      <c r="Z671" s="75"/>
      <c r="AA671" s="24"/>
      <c r="AC671" s="24"/>
      <c r="AD671" s="24"/>
      <c r="AE671" s="24"/>
      <c r="AF671" s="24"/>
      <c r="AG671" s="24"/>
      <c r="AH671" s="24"/>
      <c r="AI671" s="24"/>
    </row>
    <row r="672" spans="1:35" hidden="1" x14ac:dyDescent="0.3">
      <c r="A672" s="12" t="s">
        <v>85</v>
      </c>
      <c r="B672" s="12">
        <v>51957</v>
      </c>
      <c r="C672" s="11" t="s">
        <v>726</v>
      </c>
      <c r="D672" s="12" t="s">
        <v>1</v>
      </c>
      <c r="E672" s="12" t="s">
        <v>1185</v>
      </c>
      <c r="F672" s="12" t="s">
        <v>87</v>
      </c>
      <c r="G672" s="12" t="s">
        <v>113</v>
      </c>
      <c r="H672" s="12" t="s">
        <v>533</v>
      </c>
      <c r="I672" s="12" t="s">
        <v>89</v>
      </c>
      <c r="J672" s="11" t="s">
        <v>818</v>
      </c>
      <c r="K672" s="11" t="s">
        <v>818</v>
      </c>
      <c r="L672" s="11" t="s">
        <v>1194</v>
      </c>
      <c r="M672" s="11" t="s">
        <v>819</v>
      </c>
      <c r="N672" s="59">
        <v>0</v>
      </c>
      <c r="O672" s="59">
        <v>147.16999999999999</v>
      </c>
      <c r="P672" s="56">
        <v>1003300120022</v>
      </c>
      <c r="Q672" s="12" t="s">
        <v>12</v>
      </c>
      <c r="R672" s="12" t="s">
        <v>99</v>
      </c>
      <c r="S672" s="12" t="s">
        <v>99</v>
      </c>
      <c r="T672" s="12">
        <v>0</v>
      </c>
      <c r="U672" s="13"/>
      <c r="V672" s="12" t="s">
        <v>92</v>
      </c>
      <c r="W672" s="12" t="s">
        <v>92</v>
      </c>
      <c r="X672" s="12" t="s">
        <v>93</v>
      </c>
      <c r="Y672" s="13">
        <v>43774</v>
      </c>
      <c r="Z672" s="75"/>
      <c r="AA672" s="24"/>
      <c r="AC672" s="24"/>
      <c r="AD672" s="24"/>
      <c r="AE672" s="24"/>
      <c r="AF672" s="24"/>
      <c r="AG672" s="24"/>
      <c r="AH672" s="24"/>
      <c r="AI672" s="24"/>
    </row>
    <row r="673" spans="1:35" hidden="1" x14ac:dyDescent="0.3">
      <c r="A673" s="12" t="s">
        <v>85</v>
      </c>
      <c r="B673" s="12">
        <v>53234</v>
      </c>
      <c r="C673" s="11" t="s">
        <v>820</v>
      </c>
      <c r="D673" s="12" t="s">
        <v>1</v>
      </c>
      <c r="E673" s="12" t="s">
        <v>1185</v>
      </c>
      <c r="F673" s="12" t="s">
        <v>113</v>
      </c>
      <c r="G673" s="12" t="s">
        <v>87</v>
      </c>
      <c r="H673" s="12" t="s">
        <v>153</v>
      </c>
      <c r="I673" s="12" t="s">
        <v>115</v>
      </c>
      <c r="J673" s="11" t="s">
        <v>821</v>
      </c>
      <c r="K673" s="11" t="s">
        <v>821</v>
      </c>
      <c r="L673" s="11" t="s">
        <v>1194</v>
      </c>
      <c r="M673" s="11" t="s">
        <v>822</v>
      </c>
      <c r="N673" s="71">
        <v>61479.57</v>
      </c>
      <c r="O673" s="71"/>
      <c r="P673" s="46"/>
      <c r="Q673" s="12" t="s">
        <v>4</v>
      </c>
      <c r="R673" s="12" t="s">
        <v>16</v>
      </c>
      <c r="S673" s="12" t="s">
        <v>26</v>
      </c>
      <c r="T673" s="12">
        <v>0</v>
      </c>
      <c r="U673" s="13"/>
      <c r="V673" s="12" t="s">
        <v>92</v>
      </c>
      <c r="W673" s="12" t="s">
        <v>92</v>
      </c>
      <c r="X673" s="12" t="s">
        <v>93</v>
      </c>
      <c r="Y673" s="13"/>
      <c r="Z673" s="75"/>
      <c r="AA673" s="24"/>
      <c r="AC673" s="24"/>
      <c r="AD673" s="24"/>
      <c r="AE673" s="24"/>
      <c r="AF673" s="24"/>
      <c r="AG673" s="24"/>
      <c r="AH673" s="24"/>
      <c r="AI673" s="24"/>
    </row>
    <row r="674" spans="1:35" hidden="1" x14ac:dyDescent="0.3">
      <c r="A674" s="12" t="s">
        <v>85</v>
      </c>
      <c r="B674" s="12">
        <v>53234</v>
      </c>
      <c r="C674" s="11" t="s">
        <v>820</v>
      </c>
      <c r="D674" s="12" t="s">
        <v>1</v>
      </c>
      <c r="E674" s="12" t="s">
        <v>1185</v>
      </c>
      <c r="F674" s="12" t="s">
        <v>113</v>
      </c>
      <c r="G674" s="12" t="s">
        <v>87</v>
      </c>
      <c r="H674" s="12" t="s">
        <v>153</v>
      </c>
      <c r="I674" s="12" t="s">
        <v>115</v>
      </c>
      <c r="J674" s="11" t="s">
        <v>821</v>
      </c>
      <c r="K674" s="11" t="s">
        <v>821</v>
      </c>
      <c r="L674" s="11" t="s">
        <v>1194</v>
      </c>
      <c r="M674" s="11" t="s">
        <v>822</v>
      </c>
      <c r="N674" s="71">
        <v>61479.57</v>
      </c>
      <c r="O674" s="71"/>
      <c r="P674" s="12"/>
      <c r="Q674" s="12" t="s">
        <v>4</v>
      </c>
      <c r="R674" s="12" t="s">
        <v>21</v>
      </c>
      <c r="S674" s="12" t="s">
        <v>25</v>
      </c>
      <c r="T674" s="12">
        <v>1</v>
      </c>
      <c r="U674" s="13">
        <v>43895</v>
      </c>
      <c r="V674" s="12" t="s">
        <v>156</v>
      </c>
      <c r="W674" s="12" t="s">
        <v>92</v>
      </c>
      <c r="X674" s="12" t="s">
        <v>93</v>
      </c>
      <c r="Y674" s="13"/>
      <c r="Z674" s="75"/>
      <c r="AA674" s="24"/>
      <c r="AC674" s="24"/>
      <c r="AD674" s="24"/>
      <c r="AE674" s="24"/>
      <c r="AF674" s="24"/>
      <c r="AG674" s="24"/>
      <c r="AH674" s="24"/>
      <c r="AI674" s="24"/>
    </row>
    <row r="675" spans="1:35" hidden="1" x14ac:dyDescent="0.3">
      <c r="A675" s="12" t="s">
        <v>85</v>
      </c>
      <c r="B675" s="12">
        <v>53234</v>
      </c>
      <c r="C675" s="11" t="s">
        <v>820</v>
      </c>
      <c r="D675" s="12" t="s">
        <v>1</v>
      </c>
      <c r="E675" s="12" t="s">
        <v>1185</v>
      </c>
      <c r="F675" s="12" t="s">
        <v>113</v>
      </c>
      <c r="G675" s="12" t="s">
        <v>87</v>
      </c>
      <c r="H675" s="12" t="s">
        <v>153</v>
      </c>
      <c r="I675" s="12" t="s">
        <v>115</v>
      </c>
      <c r="J675" s="11" t="s">
        <v>821</v>
      </c>
      <c r="K675" s="11" t="s">
        <v>821</v>
      </c>
      <c r="L675" s="11" t="s">
        <v>1194</v>
      </c>
      <c r="M675" s="11" t="s">
        <v>822</v>
      </c>
      <c r="N675" s="71">
        <v>61479.57</v>
      </c>
      <c r="O675" s="71"/>
      <c r="P675" s="12"/>
      <c r="Q675" s="12" t="s">
        <v>4</v>
      </c>
      <c r="R675" s="12" t="s">
        <v>21</v>
      </c>
      <c r="S675" s="12" t="s">
        <v>25</v>
      </c>
      <c r="T675" s="12">
        <v>1</v>
      </c>
      <c r="U675" s="13">
        <v>43902</v>
      </c>
      <c r="V675" s="12" t="s">
        <v>157</v>
      </c>
      <c r="W675" s="12" t="s">
        <v>92</v>
      </c>
      <c r="X675" s="12" t="s">
        <v>93</v>
      </c>
      <c r="Y675" s="13"/>
      <c r="Z675" s="75"/>
      <c r="AA675" s="24"/>
      <c r="AC675" s="24"/>
      <c r="AD675" s="24"/>
      <c r="AE675" s="24"/>
      <c r="AF675" s="24"/>
      <c r="AG675" s="24"/>
      <c r="AH675" s="24"/>
      <c r="AI675" s="24"/>
    </row>
    <row r="676" spans="1:35" hidden="1" x14ac:dyDescent="0.3">
      <c r="A676" s="12" t="s">
        <v>85</v>
      </c>
      <c r="B676" s="12">
        <v>53234</v>
      </c>
      <c r="C676" s="11" t="s">
        <v>820</v>
      </c>
      <c r="D676" s="12" t="s">
        <v>1</v>
      </c>
      <c r="E676" s="12" t="s">
        <v>1185</v>
      </c>
      <c r="F676" s="12" t="s">
        <v>113</v>
      </c>
      <c r="G676" s="12" t="s">
        <v>87</v>
      </c>
      <c r="H676" s="12" t="s">
        <v>153</v>
      </c>
      <c r="I676" s="12" t="s">
        <v>115</v>
      </c>
      <c r="J676" s="11" t="s">
        <v>821</v>
      </c>
      <c r="K676" s="11" t="s">
        <v>821</v>
      </c>
      <c r="L676" s="11" t="s">
        <v>1194</v>
      </c>
      <c r="M676" s="11" t="s">
        <v>822</v>
      </c>
      <c r="N676" s="71">
        <v>61479.57</v>
      </c>
      <c r="O676" s="71"/>
      <c r="P676" s="12"/>
      <c r="Q676" s="12" t="s">
        <v>4</v>
      </c>
      <c r="R676" s="12" t="s">
        <v>21</v>
      </c>
      <c r="S676" s="12" t="s">
        <v>25</v>
      </c>
      <c r="T676" s="12">
        <v>1</v>
      </c>
      <c r="U676" s="13">
        <v>43992</v>
      </c>
      <c r="V676" s="12" t="s">
        <v>158</v>
      </c>
      <c r="W676" s="12" t="s">
        <v>92</v>
      </c>
      <c r="X676" s="12" t="s">
        <v>93</v>
      </c>
      <c r="Y676" s="13"/>
      <c r="Z676" s="75"/>
      <c r="AA676" s="24"/>
      <c r="AC676" s="24"/>
      <c r="AD676" s="24"/>
      <c r="AE676" s="24"/>
      <c r="AF676" s="24"/>
      <c r="AG676" s="24"/>
      <c r="AH676" s="24"/>
      <c r="AI676" s="24"/>
    </row>
    <row r="677" spans="1:35" hidden="1" x14ac:dyDescent="0.3">
      <c r="A677" s="12" t="s">
        <v>85</v>
      </c>
      <c r="B677" s="12">
        <v>53234</v>
      </c>
      <c r="C677" s="11" t="s">
        <v>820</v>
      </c>
      <c r="D677" s="12" t="s">
        <v>1</v>
      </c>
      <c r="E677" s="12" t="s">
        <v>1185</v>
      </c>
      <c r="F677" s="12" t="s">
        <v>113</v>
      </c>
      <c r="G677" s="12" t="s">
        <v>87</v>
      </c>
      <c r="H677" s="12" t="s">
        <v>153</v>
      </c>
      <c r="I677" s="12" t="s">
        <v>115</v>
      </c>
      <c r="J677" s="11" t="s">
        <v>821</v>
      </c>
      <c r="K677" s="11" t="s">
        <v>821</v>
      </c>
      <c r="L677" s="11" t="s">
        <v>1194</v>
      </c>
      <c r="M677" s="11" t="s">
        <v>822</v>
      </c>
      <c r="N677" s="71">
        <v>61479.57</v>
      </c>
      <c r="O677" s="71"/>
      <c r="P677" s="12"/>
      <c r="Q677" s="12" t="s">
        <v>4</v>
      </c>
      <c r="R677" s="12" t="s">
        <v>21</v>
      </c>
      <c r="S677" s="12" t="s">
        <v>25</v>
      </c>
      <c r="T677" s="12">
        <v>1</v>
      </c>
      <c r="U677" s="13">
        <v>43997</v>
      </c>
      <c r="V677" s="12" t="s">
        <v>159</v>
      </c>
      <c r="W677" s="12" t="s">
        <v>92</v>
      </c>
      <c r="X677" s="12" t="s">
        <v>93</v>
      </c>
      <c r="Y677" s="13"/>
      <c r="Z677" s="75"/>
      <c r="AA677" s="24"/>
      <c r="AC677" s="24"/>
      <c r="AD677" s="24"/>
      <c r="AE677" s="24"/>
      <c r="AF677" s="24"/>
      <c r="AG677" s="24"/>
      <c r="AH677" s="24"/>
      <c r="AI677" s="24"/>
    </row>
    <row r="678" spans="1:35" hidden="1" x14ac:dyDescent="0.3">
      <c r="A678" s="12" t="s">
        <v>85</v>
      </c>
      <c r="B678" s="12">
        <v>53234</v>
      </c>
      <c r="C678" s="11" t="s">
        <v>820</v>
      </c>
      <c r="D678" s="12" t="s">
        <v>1</v>
      </c>
      <c r="E678" s="12" t="s">
        <v>1185</v>
      </c>
      <c r="F678" s="12" t="s">
        <v>113</v>
      </c>
      <c r="G678" s="12" t="s">
        <v>87</v>
      </c>
      <c r="H678" s="12" t="s">
        <v>153</v>
      </c>
      <c r="I678" s="12" t="s">
        <v>115</v>
      </c>
      <c r="J678" s="11" t="s">
        <v>821</v>
      </c>
      <c r="K678" s="11" t="s">
        <v>821</v>
      </c>
      <c r="L678" s="11" t="s">
        <v>1194</v>
      </c>
      <c r="M678" s="11" t="s">
        <v>822</v>
      </c>
      <c r="N678" s="71">
        <v>61479.57</v>
      </c>
      <c r="O678" s="71"/>
      <c r="P678" s="12"/>
      <c r="Q678" s="12" t="s">
        <v>4</v>
      </c>
      <c r="R678" s="12" t="s">
        <v>21</v>
      </c>
      <c r="S678" s="12" t="s">
        <v>25</v>
      </c>
      <c r="T678" s="12">
        <v>1</v>
      </c>
      <c r="U678" s="13">
        <v>43999</v>
      </c>
      <c r="V678" s="12" t="s">
        <v>160</v>
      </c>
      <c r="W678" s="12" t="s">
        <v>92</v>
      </c>
      <c r="X678" s="12" t="s">
        <v>93</v>
      </c>
      <c r="Y678" s="13"/>
      <c r="Z678" s="75"/>
      <c r="AA678" s="24"/>
      <c r="AC678" s="24"/>
      <c r="AD678" s="24"/>
      <c r="AE678" s="24"/>
      <c r="AF678" s="24"/>
      <c r="AG678" s="24"/>
      <c r="AH678" s="24"/>
      <c r="AI678" s="24"/>
    </row>
    <row r="679" spans="1:35" hidden="1" x14ac:dyDescent="0.3">
      <c r="A679" s="12" t="s">
        <v>85</v>
      </c>
      <c r="B679" s="12">
        <v>53234</v>
      </c>
      <c r="C679" s="11" t="s">
        <v>820</v>
      </c>
      <c r="D679" s="12" t="s">
        <v>1</v>
      </c>
      <c r="E679" s="12" t="s">
        <v>1185</v>
      </c>
      <c r="F679" s="12" t="s">
        <v>113</v>
      </c>
      <c r="G679" s="12" t="s">
        <v>87</v>
      </c>
      <c r="H679" s="12" t="s">
        <v>153</v>
      </c>
      <c r="I679" s="12" t="s">
        <v>115</v>
      </c>
      <c r="J679" s="11" t="s">
        <v>821</v>
      </c>
      <c r="K679" s="11" t="s">
        <v>821</v>
      </c>
      <c r="L679" s="11" t="s">
        <v>1194</v>
      </c>
      <c r="M679" s="11" t="s">
        <v>822</v>
      </c>
      <c r="N679" s="71">
        <v>61479.57</v>
      </c>
      <c r="O679" s="71"/>
      <c r="P679" s="12"/>
      <c r="Q679" s="12" t="s">
        <v>4</v>
      </c>
      <c r="R679" s="12" t="s">
        <v>21</v>
      </c>
      <c r="S679" s="12" t="s">
        <v>25</v>
      </c>
      <c r="T679" s="12">
        <v>1</v>
      </c>
      <c r="U679" s="13">
        <v>44014</v>
      </c>
      <c r="V679" s="12" t="s">
        <v>161</v>
      </c>
      <c r="W679" s="12" t="s">
        <v>92</v>
      </c>
      <c r="X679" s="12" t="s">
        <v>93</v>
      </c>
      <c r="Y679" s="13"/>
      <c r="Z679" s="75"/>
      <c r="AA679" s="24"/>
      <c r="AC679" s="24"/>
      <c r="AD679" s="24"/>
      <c r="AE679" s="24"/>
      <c r="AF679" s="24"/>
      <c r="AG679" s="24"/>
      <c r="AH679" s="24"/>
      <c r="AI679" s="24"/>
    </row>
    <row r="680" spans="1:35" hidden="1" x14ac:dyDescent="0.3">
      <c r="A680" s="12" t="s">
        <v>85</v>
      </c>
      <c r="B680" s="12">
        <v>53434</v>
      </c>
      <c r="C680" s="11" t="s">
        <v>734</v>
      </c>
      <c r="D680" s="12" t="s">
        <v>1</v>
      </c>
      <c r="E680" s="12" t="s">
        <v>1185</v>
      </c>
      <c r="F680" s="12" t="s">
        <v>113</v>
      </c>
      <c r="G680" s="12" t="s">
        <v>113</v>
      </c>
      <c r="H680" s="12" t="s">
        <v>153</v>
      </c>
      <c r="I680" s="12" t="s">
        <v>115</v>
      </c>
      <c r="J680" s="11" t="s">
        <v>823</v>
      </c>
      <c r="K680" s="11" t="s">
        <v>823</v>
      </c>
      <c r="L680" s="11" t="s">
        <v>1209</v>
      </c>
      <c r="M680" s="11" t="s">
        <v>824</v>
      </c>
      <c r="N680" s="59">
        <v>0</v>
      </c>
      <c r="O680" s="59">
        <v>29.73</v>
      </c>
      <c r="P680" s="12"/>
      <c r="Q680" s="12" t="s">
        <v>4</v>
      </c>
      <c r="R680" s="12" t="s">
        <v>13</v>
      </c>
      <c r="S680" s="12" t="s">
        <v>25</v>
      </c>
      <c r="T680" s="12">
        <v>0</v>
      </c>
      <c r="U680" s="13"/>
      <c r="V680" s="12" t="s">
        <v>92</v>
      </c>
      <c r="W680" s="12" t="s">
        <v>92</v>
      </c>
      <c r="X680" s="12" t="s">
        <v>93</v>
      </c>
      <c r="Y680" s="13"/>
      <c r="Z680" s="75"/>
      <c r="AA680" s="24"/>
      <c r="AC680" s="24"/>
      <c r="AD680" s="24"/>
      <c r="AE680" s="24"/>
      <c r="AF680" s="24"/>
      <c r="AG680" s="24"/>
      <c r="AH680" s="24"/>
      <c r="AI680" s="24"/>
    </row>
    <row r="681" spans="1:35" hidden="1" x14ac:dyDescent="0.3">
      <c r="A681" s="12" t="s">
        <v>85</v>
      </c>
      <c r="B681" s="12">
        <v>53435</v>
      </c>
      <c r="C681" s="11" t="s">
        <v>734</v>
      </c>
      <c r="D681" s="12" t="s">
        <v>1</v>
      </c>
      <c r="E681" s="12" t="s">
        <v>1185</v>
      </c>
      <c r="F681" s="12" t="s">
        <v>113</v>
      </c>
      <c r="G681" s="12" t="s">
        <v>113</v>
      </c>
      <c r="H681" s="12" t="s">
        <v>153</v>
      </c>
      <c r="I681" s="12" t="s">
        <v>115</v>
      </c>
      <c r="J681" s="11" t="s">
        <v>825</v>
      </c>
      <c r="K681" s="11" t="s">
        <v>825</v>
      </c>
      <c r="L681" s="11" t="s">
        <v>1209</v>
      </c>
      <c r="M681" s="11" t="s">
        <v>824</v>
      </c>
      <c r="N681" s="59">
        <v>0</v>
      </c>
      <c r="O681" s="59">
        <v>29.73</v>
      </c>
      <c r="P681" s="12"/>
      <c r="Q681" s="12" t="s">
        <v>12</v>
      </c>
      <c r="R681" s="12" t="s">
        <v>99</v>
      </c>
      <c r="S681" s="12" t="s">
        <v>99</v>
      </c>
      <c r="T681" s="12">
        <v>0</v>
      </c>
      <c r="U681" s="13"/>
      <c r="V681" s="12" t="s">
        <v>92</v>
      </c>
      <c r="W681" s="12" t="s">
        <v>92</v>
      </c>
      <c r="X681" s="12" t="s">
        <v>93</v>
      </c>
      <c r="Y681" s="13"/>
      <c r="Z681" s="75"/>
      <c r="AA681" s="24"/>
      <c r="AC681" s="24"/>
      <c r="AD681" s="24"/>
      <c r="AE681" s="24"/>
      <c r="AF681" s="24"/>
      <c r="AG681" s="24"/>
      <c r="AH681" s="24"/>
      <c r="AI681" s="24"/>
    </row>
    <row r="682" spans="1:35" hidden="1" x14ac:dyDescent="0.3">
      <c r="A682" s="12" t="s">
        <v>85</v>
      </c>
      <c r="B682" s="12">
        <v>53442</v>
      </c>
      <c r="C682" s="11" t="s">
        <v>734</v>
      </c>
      <c r="D682" s="12" t="s">
        <v>1</v>
      </c>
      <c r="E682" s="12" t="s">
        <v>1185</v>
      </c>
      <c r="F682" s="12" t="s">
        <v>113</v>
      </c>
      <c r="G682" s="12" t="s">
        <v>113</v>
      </c>
      <c r="H682" s="12" t="s">
        <v>153</v>
      </c>
      <c r="I682" s="12" t="s">
        <v>115</v>
      </c>
      <c r="J682" s="11" t="s">
        <v>826</v>
      </c>
      <c r="K682" s="11" t="s">
        <v>826</v>
      </c>
      <c r="L682" s="11" t="s">
        <v>1209</v>
      </c>
      <c r="M682" s="11" t="s">
        <v>827</v>
      </c>
      <c r="N682" s="59">
        <v>0</v>
      </c>
      <c r="O682" s="59">
        <v>29.73</v>
      </c>
      <c r="P682" s="12"/>
      <c r="Q682" s="12" t="s">
        <v>12</v>
      </c>
      <c r="R682" s="12" t="s">
        <v>99</v>
      </c>
      <c r="S682" s="12" t="s">
        <v>99</v>
      </c>
      <c r="T682" s="12">
        <v>0</v>
      </c>
      <c r="U682" s="13"/>
      <c r="V682" s="12" t="s">
        <v>92</v>
      </c>
      <c r="W682" s="12" t="s">
        <v>92</v>
      </c>
      <c r="X682" s="12" t="s">
        <v>93</v>
      </c>
      <c r="Y682" s="13"/>
      <c r="Z682" s="75"/>
      <c r="AA682" s="24"/>
      <c r="AC682" s="24"/>
      <c r="AD682" s="24"/>
      <c r="AE682" s="24"/>
      <c r="AF682" s="24"/>
      <c r="AG682" s="24"/>
      <c r="AH682" s="24"/>
      <c r="AI682" s="24"/>
    </row>
    <row r="683" spans="1:35" hidden="1" x14ac:dyDescent="0.3">
      <c r="A683" s="12" t="s">
        <v>85</v>
      </c>
      <c r="B683" s="12">
        <v>53443</v>
      </c>
      <c r="C683" s="11" t="s">
        <v>734</v>
      </c>
      <c r="D683" s="12" t="s">
        <v>1</v>
      </c>
      <c r="E683" s="12" t="s">
        <v>1185</v>
      </c>
      <c r="F683" s="12" t="s">
        <v>113</v>
      </c>
      <c r="G683" s="12" t="s">
        <v>113</v>
      </c>
      <c r="H683" s="12" t="s">
        <v>153</v>
      </c>
      <c r="I683" s="12" t="s">
        <v>115</v>
      </c>
      <c r="J683" s="11" t="s">
        <v>828</v>
      </c>
      <c r="K683" s="11" t="s">
        <v>828</v>
      </c>
      <c r="L683" s="11" t="s">
        <v>1209</v>
      </c>
      <c r="M683" s="11" t="s">
        <v>827</v>
      </c>
      <c r="N683" s="59">
        <v>0</v>
      </c>
      <c r="O683" s="59">
        <v>29.62</v>
      </c>
      <c r="P683" s="12"/>
      <c r="Q683" s="12" t="s">
        <v>12</v>
      </c>
      <c r="R683" s="12" t="s">
        <v>99</v>
      </c>
      <c r="S683" s="12" t="s">
        <v>99</v>
      </c>
      <c r="T683" s="12">
        <v>0</v>
      </c>
      <c r="U683" s="13"/>
      <c r="V683" s="12" t="s">
        <v>92</v>
      </c>
      <c r="W683" s="12" t="s">
        <v>92</v>
      </c>
      <c r="X683" s="12" t="s">
        <v>93</v>
      </c>
      <c r="Y683" s="13"/>
      <c r="Z683" s="75"/>
      <c r="AA683" s="24"/>
      <c r="AC683" s="24"/>
      <c r="AD683" s="24"/>
      <c r="AE683" s="24"/>
      <c r="AF683" s="24"/>
      <c r="AG683" s="24"/>
      <c r="AH683" s="24"/>
      <c r="AI683" s="24"/>
    </row>
    <row r="684" spans="1:35" hidden="1" x14ac:dyDescent="0.3">
      <c r="A684" s="12" t="s">
        <v>85</v>
      </c>
      <c r="B684" s="12">
        <v>53444</v>
      </c>
      <c r="C684" s="11" t="s">
        <v>734</v>
      </c>
      <c r="D684" s="12" t="s">
        <v>1</v>
      </c>
      <c r="E684" s="12" t="s">
        <v>1185</v>
      </c>
      <c r="F684" s="12" t="s">
        <v>113</v>
      </c>
      <c r="G684" s="12" t="s">
        <v>113</v>
      </c>
      <c r="H684" s="12" t="s">
        <v>153</v>
      </c>
      <c r="I684" s="12" t="s">
        <v>115</v>
      </c>
      <c r="J684" s="11" t="s">
        <v>829</v>
      </c>
      <c r="K684" s="11" t="s">
        <v>829</v>
      </c>
      <c r="L684" s="11" t="s">
        <v>1209</v>
      </c>
      <c r="M684" s="11" t="s">
        <v>827</v>
      </c>
      <c r="N684" s="59">
        <v>0</v>
      </c>
      <c r="O684" s="59">
        <v>29.73</v>
      </c>
      <c r="P684" s="12"/>
      <c r="Q684" s="12" t="s">
        <v>12</v>
      </c>
      <c r="R684" s="12" t="s">
        <v>99</v>
      </c>
      <c r="S684" s="12" t="s">
        <v>99</v>
      </c>
      <c r="T684" s="12">
        <v>0</v>
      </c>
      <c r="U684" s="13"/>
      <c r="V684" s="12" t="s">
        <v>92</v>
      </c>
      <c r="W684" s="12" t="s">
        <v>92</v>
      </c>
      <c r="X684" s="12" t="s">
        <v>93</v>
      </c>
      <c r="Y684" s="13"/>
      <c r="Z684" s="75"/>
      <c r="AA684" s="24"/>
      <c r="AC684" s="24"/>
      <c r="AD684" s="24"/>
      <c r="AE684" s="24"/>
      <c r="AF684" s="24"/>
      <c r="AG684" s="24"/>
      <c r="AH684" s="24"/>
      <c r="AI684" s="24"/>
    </row>
    <row r="685" spans="1:35" hidden="1" x14ac:dyDescent="0.3">
      <c r="A685" s="12" t="s">
        <v>85</v>
      </c>
      <c r="B685" s="12">
        <v>53448</v>
      </c>
      <c r="C685" s="11" t="s">
        <v>734</v>
      </c>
      <c r="D685" s="12" t="s">
        <v>1</v>
      </c>
      <c r="E685" s="12" t="s">
        <v>1185</v>
      </c>
      <c r="F685" s="12" t="s">
        <v>113</v>
      </c>
      <c r="G685" s="12" t="s">
        <v>113</v>
      </c>
      <c r="H685" s="12" t="s">
        <v>153</v>
      </c>
      <c r="I685" s="12" t="s">
        <v>115</v>
      </c>
      <c r="J685" s="11" t="s">
        <v>830</v>
      </c>
      <c r="K685" s="11" t="s">
        <v>830</v>
      </c>
      <c r="L685" s="11" t="s">
        <v>1209</v>
      </c>
      <c r="M685" s="11" t="s">
        <v>827</v>
      </c>
      <c r="N685" s="59">
        <v>0</v>
      </c>
      <c r="O685" s="58">
        <v>39.799999999999997</v>
      </c>
      <c r="P685" s="12"/>
      <c r="Q685" s="12" t="s">
        <v>12</v>
      </c>
      <c r="R685" s="12" t="s">
        <v>99</v>
      </c>
      <c r="S685" s="12" t="s">
        <v>99</v>
      </c>
      <c r="T685" s="12">
        <v>0</v>
      </c>
      <c r="U685" s="13"/>
      <c r="V685" s="12" t="s">
        <v>92</v>
      </c>
      <c r="W685" s="12" t="s">
        <v>92</v>
      </c>
      <c r="X685" s="12" t="s">
        <v>93</v>
      </c>
      <c r="Y685" s="13"/>
      <c r="Z685" s="75"/>
      <c r="AA685" s="24"/>
      <c r="AC685" s="24"/>
      <c r="AD685" s="24"/>
      <c r="AE685" s="24"/>
      <c r="AF685" s="24"/>
      <c r="AG685" s="24"/>
      <c r="AH685" s="24"/>
      <c r="AI685" s="24"/>
    </row>
    <row r="686" spans="1:35" hidden="1" x14ac:dyDescent="0.3">
      <c r="A686" s="12" t="s">
        <v>85</v>
      </c>
      <c r="B686" s="12">
        <v>53455</v>
      </c>
      <c r="C686" s="11" t="s">
        <v>734</v>
      </c>
      <c r="D686" s="12" t="s">
        <v>1</v>
      </c>
      <c r="E686" s="12" t="s">
        <v>1185</v>
      </c>
      <c r="F686" s="12" t="s">
        <v>113</v>
      </c>
      <c r="G686" s="12" t="s">
        <v>113</v>
      </c>
      <c r="H686" s="12" t="s">
        <v>153</v>
      </c>
      <c r="I686" s="12" t="s">
        <v>115</v>
      </c>
      <c r="J686" s="11" t="s">
        <v>831</v>
      </c>
      <c r="K686" s="11" t="s">
        <v>831</v>
      </c>
      <c r="L686" s="11" t="s">
        <v>1209</v>
      </c>
      <c r="M686" s="11" t="s">
        <v>827</v>
      </c>
      <c r="N686" s="59">
        <v>0</v>
      </c>
      <c r="O686" s="59">
        <v>29.73</v>
      </c>
      <c r="P686" s="12"/>
      <c r="Q686" s="12" t="s">
        <v>12</v>
      </c>
      <c r="R686" s="12" t="s">
        <v>99</v>
      </c>
      <c r="S686" s="12" t="s">
        <v>99</v>
      </c>
      <c r="T686" s="12">
        <v>0</v>
      </c>
      <c r="U686" s="13"/>
      <c r="V686" s="12" t="s">
        <v>92</v>
      </c>
      <c r="W686" s="12" t="s">
        <v>92</v>
      </c>
      <c r="X686" s="12" t="s">
        <v>93</v>
      </c>
      <c r="Y686" s="13"/>
      <c r="Z686" s="75"/>
      <c r="AA686" s="24"/>
      <c r="AC686" s="24"/>
      <c r="AD686" s="24"/>
      <c r="AE686" s="24"/>
      <c r="AF686" s="24"/>
      <c r="AG686" s="24"/>
      <c r="AH686" s="24"/>
      <c r="AI686" s="24"/>
    </row>
    <row r="687" spans="1:35" hidden="1" x14ac:dyDescent="0.3">
      <c r="A687" s="12" t="s">
        <v>85</v>
      </c>
      <c r="B687" s="12">
        <v>53456</v>
      </c>
      <c r="C687" s="11" t="s">
        <v>734</v>
      </c>
      <c r="D687" s="12" t="s">
        <v>1</v>
      </c>
      <c r="E687" s="12" t="s">
        <v>1185</v>
      </c>
      <c r="F687" s="12" t="s">
        <v>113</v>
      </c>
      <c r="G687" s="12" t="s">
        <v>113</v>
      </c>
      <c r="H687" s="12" t="s">
        <v>153</v>
      </c>
      <c r="I687" s="12" t="s">
        <v>115</v>
      </c>
      <c r="J687" s="11" t="s">
        <v>832</v>
      </c>
      <c r="K687" s="11" t="s">
        <v>832</v>
      </c>
      <c r="L687" s="11" t="s">
        <v>1209</v>
      </c>
      <c r="M687" s="11" t="s">
        <v>827</v>
      </c>
      <c r="N687" s="59">
        <v>0</v>
      </c>
      <c r="O687" s="59">
        <v>29.73</v>
      </c>
      <c r="P687" s="12"/>
      <c r="Q687" s="12" t="s">
        <v>12</v>
      </c>
      <c r="R687" s="12" t="s">
        <v>99</v>
      </c>
      <c r="S687" s="12" t="s">
        <v>99</v>
      </c>
      <c r="T687" s="12">
        <v>0</v>
      </c>
      <c r="U687" s="13"/>
      <c r="V687" s="12" t="s">
        <v>92</v>
      </c>
      <c r="W687" s="12" t="s">
        <v>92</v>
      </c>
      <c r="X687" s="12" t="s">
        <v>93</v>
      </c>
      <c r="Y687" s="13"/>
      <c r="Z687" s="75"/>
      <c r="AA687" s="24"/>
      <c r="AC687" s="24"/>
      <c r="AD687" s="24"/>
      <c r="AE687" s="24"/>
      <c r="AF687" s="24"/>
      <c r="AG687" s="24"/>
      <c r="AH687" s="24"/>
      <c r="AI687" s="24"/>
    </row>
    <row r="688" spans="1:35" hidden="1" x14ac:dyDescent="0.3">
      <c r="A688" s="12" t="s">
        <v>85</v>
      </c>
      <c r="B688" s="12">
        <v>53457</v>
      </c>
      <c r="C688" s="11" t="s">
        <v>734</v>
      </c>
      <c r="D688" s="12" t="s">
        <v>1</v>
      </c>
      <c r="E688" s="12" t="s">
        <v>1185</v>
      </c>
      <c r="F688" s="12" t="s">
        <v>113</v>
      </c>
      <c r="G688" s="12" t="s">
        <v>113</v>
      </c>
      <c r="H688" s="12" t="s">
        <v>153</v>
      </c>
      <c r="I688" s="12" t="s">
        <v>115</v>
      </c>
      <c r="J688" s="11" t="s">
        <v>833</v>
      </c>
      <c r="K688" s="11" t="s">
        <v>833</v>
      </c>
      <c r="L688" s="11" t="s">
        <v>1209</v>
      </c>
      <c r="M688" s="11" t="s">
        <v>827</v>
      </c>
      <c r="N688" s="59">
        <v>0</v>
      </c>
      <c r="O688" s="59">
        <v>29.73</v>
      </c>
      <c r="P688" s="12"/>
      <c r="Q688" s="12" t="s">
        <v>12</v>
      </c>
      <c r="R688" s="12" t="s">
        <v>99</v>
      </c>
      <c r="S688" s="12" t="s">
        <v>99</v>
      </c>
      <c r="T688" s="12">
        <v>0</v>
      </c>
      <c r="U688" s="13"/>
      <c r="V688" s="12" t="s">
        <v>92</v>
      </c>
      <c r="W688" s="12" t="s">
        <v>92</v>
      </c>
      <c r="X688" s="12" t="s">
        <v>93</v>
      </c>
      <c r="Y688" s="13"/>
      <c r="Z688" s="75"/>
      <c r="AA688" s="24"/>
      <c r="AC688" s="24"/>
      <c r="AD688" s="24"/>
      <c r="AE688" s="24"/>
      <c r="AF688" s="24"/>
      <c r="AG688" s="24"/>
      <c r="AH688" s="24"/>
      <c r="AI688" s="24"/>
    </row>
    <row r="689" spans="1:35" hidden="1" x14ac:dyDescent="0.3">
      <c r="A689" s="12" t="s">
        <v>85</v>
      </c>
      <c r="B689" s="12">
        <v>53458</v>
      </c>
      <c r="C689" s="11" t="s">
        <v>734</v>
      </c>
      <c r="D689" s="12" t="s">
        <v>1</v>
      </c>
      <c r="E689" s="12" t="s">
        <v>1185</v>
      </c>
      <c r="F689" s="12" t="s">
        <v>113</v>
      </c>
      <c r="G689" s="12" t="s">
        <v>113</v>
      </c>
      <c r="H689" s="12" t="s">
        <v>153</v>
      </c>
      <c r="I689" s="12" t="s">
        <v>115</v>
      </c>
      <c r="J689" s="11" t="s">
        <v>834</v>
      </c>
      <c r="K689" s="11" t="s">
        <v>834</v>
      </c>
      <c r="L689" s="11" t="s">
        <v>1209</v>
      </c>
      <c r="M689" s="11" t="s">
        <v>827</v>
      </c>
      <c r="N689" s="59">
        <v>0</v>
      </c>
      <c r="O689" s="59">
        <v>29.73</v>
      </c>
      <c r="P689" s="12"/>
      <c r="Q689" s="12" t="s">
        <v>12</v>
      </c>
      <c r="R689" s="12" t="s">
        <v>99</v>
      </c>
      <c r="S689" s="12" t="s">
        <v>99</v>
      </c>
      <c r="T689" s="12">
        <v>0</v>
      </c>
      <c r="U689" s="13"/>
      <c r="V689" s="12" t="s">
        <v>92</v>
      </c>
      <c r="W689" s="12" t="s">
        <v>92</v>
      </c>
      <c r="X689" s="12" t="s">
        <v>93</v>
      </c>
      <c r="Y689" s="13"/>
      <c r="Z689" s="75"/>
      <c r="AA689" s="24"/>
      <c r="AC689" s="24"/>
      <c r="AD689" s="24"/>
      <c r="AE689" s="24"/>
      <c r="AF689" s="24"/>
      <c r="AG689" s="24"/>
      <c r="AH689" s="24"/>
      <c r="AI689" s="24"/>
    </row>
    <row r="690" spans="1:35" hidden="1" x14ac:dyDescent="0.3">
      <c r="A690" s="12" t="s">
        <v>85</v>
      </c>
      <c r="B690" s="12">
        <v>53460</v>
      </c>
      <c r="C690" s="11" t="s">
        <v>734</v>
      </c>
      <c r="D690" s="12" t="s">
        <v>1</v>
      </c>
      <c r="E690" s="12" t="s">
        <v>1185</v>
      </c>
      <c r="F690" s="12" t="s">
        <v>113</v>
      </c>
      <c r="G690" s="12" t="s">
        <v>113</v>
      </c>
      <c r="H690" s="12" t="s">
        <v>153</v>
      </c>
      <c r="I690" s="12" t="s">
        <v>115</v>
      </c>
      <c r="J690" s="11" t="s">
        <v>835</v>
      </c>
      <c r="K690" s="11" t="s">
        <v>835</v>
      </c>
      <c r="L690" s="11" t="s">
        <v>1209</v>
      </c>
      <c r="M690" s="11" t="s">
        <v>827</v>
      </c>
      <c r="N690" s="59">
        <v>0</v>
      </c>
      <c r="O690" s="59">
        <v>29.73</v>
      </c>
      <c r="P690" s="12"/>
      <c r="Q690" s="12" t="s">
        <v>12</v>
      </c>
      <c r="R690" s="12" t="s">
        <v>99</v>
      </c>
      <c r="S690" s="12" t="s">
        <v>99</v>
      </c>
      <c r="T690" s="12">
        <v>0</v>
      </c>
      <c r="U690" s="13"/>
      <c r="V690" s="12" t="s">
        <v>92</v>
      </c>
      <c r="W690" s="12" t="s">
        <v>92</v>
      </c>
      <c r="X690" s="12" t="s">
        <v>93</v>
      </c>
      <c r="Y690" s="13"/>
      <c r="Z690" s="75"/>
      <c r="AA690" s="24"/>
      <c r="AC690" s="24"/>
      <c r="AD690" s="24"/>
      <c r="AE690" s="24"/>
      <c r="AF690" s="24"/>
      <c r="AG690" s="24"/>
      <c r="AH690" s="24"/>
      <c r="AI690" s="24"/>
    </row>
    <row r="691" spans="1:35" hidden="1" x14ac:dyDescent="0.3">
      <c r="A691" s="12" t="s">
        <v>85</v>
      </c>
      <c r="B691" s="12">
        <v>53495</v>
      </c>
      <c r="C691" s="11" t="s">
        <v>734</v>
      </c>
      <c r="D691" s="12" t="s">
        <v>1</v>
      </c>
      <c r="E691" s="12" t="s">
        <v>1185</v>
      </c>
      <c r="F691" s="12" t="s">
        <v>113</v>
      </c>
      <c r="G691" s="12" t="s">
        <v>113</v>
      </c>
      <c r="H691" s="12" t="s">
        <v>153</v>
      </c>
      <c r="I691" s="12" t="s">
        <v>115</v>
      </c>
      <c r="J691" s="11" t="s">
        <v>836</v>
      </c>
      <c r="K691" s="11" t="s">
        <v>836</v>
      </c>
      <c r="L691" s="11" t="s">
        <v>1209</v>
      </c>
      <c r="M691" s="11" t="s">
        <v>827</v>
      </c>
      <c r="N691" s="59">
        <v>0</v>
      </c>
      <c r="O691" s="59">
        <v>34.83</v>
      </c>
      <c r="P691" s="12"/>
      <c r="Q691" s="12" t="s">
        <v>12</v>
      </c>
      <c r="R691" s="12" t="s">
        <v>99</v>
      </c>
      <c r="S691" s="12" t="s">
        <v>99</v>
      </c>
      <c r="T691" s="12">
        <v>0</v>
      </c>
      <c r="U691" s="13"/>
      <c r="V691" s="12" t="s">
        <v>92</v>
      </c>
      <c r="W691" s="12" t="s">
        <v>92</v>
      </c>
      <c r="X691" s="12" t="s">
        <v>93</v>
      </c>
      <c r="Y691" s="13"/>
      <c r="Z691" s="75"/>
      <c r="AA691" s="24"/>
      <c r="AC691" s="24"/>
      <c r="AD691" s="24"/>
      <c r="AE691" s="24"/>
      <c r="AF691" s="24"/>
      <c r="AG691" s="24"/>
      <c r="AH691" s="24"/>
      <c r="AI691" s="24"/>
    </row>
    <row r="692" spans="1:35" hidden="1" x14ac:dyDescent="0.3">
      <c r="A692" s="12" t="s">
        <v>85</v>
      </c>
      <c r="B692" s="12">
        <v>53496</v>
      </c>
      <c r="C692" s="11" t="s">
        <v>734</v>
      </c>
      <c r="D692" s="12" t="s">
        <v>1</v>
      </c>
      <c r="E692" s="12" t="s">
        <v>1185</v>
      </c>
      <c r="F692" s="12" t="s">
        <v>113</v>
      </c>
      <c r="G692" s="12" t="s">
        <v>113</v>
      </c>
      <c r="H692" s="12" t="s">
        <v>153</v>
      </c>
      <c r="I692" s="12" t="s">
        <v>115</v>
      </c>
      <c r="J692" s="11" t="s">
        <v>837</v>
      </c>
      <c r="K692" s="11" t="s">
        <v>837</v>
      </c>
      <c r="L692" s="11" t="s">
        <v>1209</v>
      </c>
      <c r="M692" s="11" t="s">
        <v>827</v>
      </c>
      <c r="N692" s="59">
        <v>0</v>
      </c>
      <c r="O692" s="59">
        <v>34.380000000000003</v>
      </c>
      <c r="P692" s="12"/>
      <c r="Q692" s="12" t="s">
        <v>12</v>
      </c>
      <c r="R692" s="12" t="s">
        <v>99</v>
      </c>
      <c r="S692" s="12" t="s">
        <v>99</v>
      </c>
      <c r="T692" s="12">
        <v>0</v>
      </c>
      <c r="U692" s="13"/>
      <c r="V692" s="12" t="s">
        <v>92</v>
      </c>
      <c r="W692" s="12" t="s">
        <v>92</v>
      </c>
      <c r="X692" s="12" t="s">
        <v>93</v>
      </c>
      <c r="Y692" s="13"/>
      <c r="Z692" s="75"/>
      <c r="AA692" s="24"/>
      <c r="AC692" s="24"/>
      <c r="AD692" s="24"/>
      <c r="AE692" s="24"/>
      <c r="AF692" s="24"/>
      <c r="AG692" s="24"/>
      <c r="AH692" s="24"/>
      <c r="AI692" s="24"/>
    </row>
    <row r="693" spans="1:35" hidden="1" x14ac:dyDescent="0.3">
      <c r="A693" s="12" t="s">
        <v>85</v>
      </c>
      <c r="B693" s="12">
        <v>53497</v>
      </c>
      <c r="C693" s="11" t="s">
        <v>734</v>
      </c>
      <c r="D693" s="12" t="s">
        <v>1</v>
      </c>
      <c r="E693" s="12" t="s">
        <v>1185</v>
      </c>
      <c r="F693" s="12" t="s">
        <v>113</v>
      </c>
      <c r="G693" s="12" t="s">
        <v>113</v>
      </c>
      <c r="H693" s="12" t="s">
        <v>153</v>
      </c>
      <c r="I693" s="12" t="s">
        <v>115</v>
      </c>
      <c r="J693" s="11" t="s">
        <v>838</v>
      </c>
      <c r="K693" s="11" t="s">
        <v>838</v>
      </c>
      <c r="L693" s="11" t="s">
        <v>1209</v>
      </c>
      <c r="M693" s="11" t="s">
        <v>827</v>
      </c>
      <c r="N693" s="59">
        <v>0</v>
      </c>
      <c r="O693" s="59">
        <v>32.39</v>
      </c>
      <c r="P693" s="12"/>
      <c r="Q693" s="12" t="s">
        <v>12</v>
      </c>
      <c r="R693" s="12" t="s">
        <v>99</v>
      </c>
      <c r="S693" s="12" t="s">
        <v>99</v>
      </c>
      <c r="T693" s="12">
        <v>0</v>
      </c>
      <c r="U693" s="13"/>
      <c r="V693" s="12" t="s">
        <v>92</v>
      </c>
      <c r="W693" s="12" t="s">
        <v>92</v>
      </c>
      <c r="X693" s="12" t="s">
        <v>93</v>
      </c>
      <c r="Y693" s="13"/>
      <c r="Z693" s="75"/>
      <c r="AA693" s="24"/>
      <c r="AC693" s="24"/>
      <c r="AD693" s="24"/>
      <c r="AE693" s="24"/>
      <c r="AF693" s="24"/>
      <c r="AG693" s="24"/>
      <c r="AH693" s="24"/>
      <c r="AI693" s="24"/>
    </row>
    <row r="694" spans="1:35" hidden="1" x14ac:dyDescent="0.3">
      <c r="A694" s="12" t="s">
        <v>85</v>
      </c>
      <c r="B694" s="12">
        <v>53498</v>
      </c>
      <c r="C694" s="11" t="s">
        <v>734</v>
      </c>
      <c r="D694" s="12" t="s">
        <v>1</v>
      </c>
      <c r="E694" s="12" t="s">
        <v>1185</v>
      </c>
      <c r="F694" s="12" t="s">
        <v>113</v>
      </c>
      <c r="G694" s="12" t="s">
        <v>113</v>
      </c>
      <c r="H694" s="12" t="s">
        <v>153</v>
      </c>
      <c r="I694" s="12" t="s">
        <v>115</v>
      </c>
      <c r="J694" s="11" t="s">
        <v>839</v>
      </c>
      <c r="K694" s="11" t="s">
        <v>839</v>
      </c>
      <c r="L694" s="11" t="s">
        <v>1209</v>
      </c>
      <c r="M694" s="11" t="s">
        <v>827</v>
      </c>
      <c r="N694" s="59">
        <v>0</v>
      </c>
      <c r="O694" s="58">
        <v>39.799999999999997</v>
      </c>
      <c r="P694" s="12"/>
      <c r="Q694" s="12" t="s">
        <v>12</v>
      </c>
      <c r="R694" s="12" t="s">
        <v>99</v>
      </c>
      <c r="S694" s="12" t="s">
        <v>99</v>
      </c>
      <c r="T694" s="12">
        <v>0</v>
      </c>
      <c r="U694" s="13"/>
      <c r="V694" s="12" t="s">
        <v>92</v>
      </c>
      <c r="W694" s="12" t="s">
        <v>92</v>
      </c>
      <c r="X694" s="12" t="s">
        <v>93</v>
      </c>
      <c r="Y694" s="13"/>
      <c r="Z694" s="75"/>
      <c r="AA694" s="24"/>
      <c r="AC694" s="24"/>
      <c r="AD694" s="24"/>
      <c r="AE694" s="24"/>
      <c r="AF694" s="24"/>
      <c r="AG694" s="24"/>
      <c r="AH694" s="24"/>
      <c r="AI694" s="24"/>
    </row>
    <row r="695" spans="1:35" hidden="1" x14ac:dyDescent="0.3">
      <c r="A695" s="12" t="s">
        <v>85</v>
      </c>
      <c r="B695" s="12">
        <v>53499</v>
      </c>
      <c r="C695" s="11" t="s">
        <v>734</v>
      </c>
      <c r="D695" s="12" t="s">
        <v>1</v>
      </c>
      <c r="E695" s="12" t="s">
        <v>1185</v>
      </c>
      <c r="F695" s="12" t="s">
        <v>113</v>
      </c>
      <c r="G695" s="12" t="s">
        <v>113</v>
      </c>
      <c r="H695" s="12" t="s">
        <v>153</v>
      </c>
      <c r="I695" s="12" t="s">
        <v>115</v>
      </c>
      <c r="J695" s="11" t="s">
        <v>840</v>
      </c>
      <c r="K695" s="11" t="s">
        <v>840</v>
      </c>
      <c r="L695" s="11" t="s">
        <v>1209</v>
      </c>
      <c r="M695" s="11" t="s">
        <v>827</v>
      </c>
      <c r="N695" s="59">
        <v>0</v>
      </c>
      <c r="O695" s="59">
        <v>41.48</v>
      </c>
      <c r="P695" s="12"/>
      <c r="Q695" s="12" t="s">
        <v>12</v>
      </c>
      <c r="R695" s="12" t="s">
        <v>99</v>
      </c>
      <c r="S695" s="12" t="s">
        <v>99</v>
      </c>
      <c r="T695" s="12">
        <v>0</v>
      </c>
      <c r="U695" s="13"/>
      <c r="V695" s="12" t="s">
        <v>92</v>
      </c>
      <c r="W695" s="12" t="s">
        <v>92</v>
      </c>
      <c r="X695" s="12" t="s">
        <v>93</v>
      </c>
      <c r="Y695" s="13"/>
      <c r="Z695" s="75"/>
      <c r="AA695" s="24"/>
      <c r="AC695" s="24"/>
      <c r="AD695" s="24"/>
      <c r="AE695" s="24"/>
      <c r="AF695" s="24"/>
      <c r="AG695" s="24"/>
      <c r="AH695" s="24"/>
      <c r="AI695" s="24"/>
    </row>
    <row r="696" spans="1:35" hidden="1" x14ac:dyDescent="0.3">
      <c r="A696" s="12" t="s">
        <v>85</v>
      </c>
      <c r="B696" s="12">
        <v>53500</v>
      </c>
      <c r="C696" s="11" t="s">
        <v>734</v>
      </c>
      <c r="D696" s="12" t="s">
        <v>1</v>
      </c>
      <c r="E696" s="12" t="s">
        <v>1185</v>
      </c>
      <c r="F696" s="12" t="s">
        <v>113</v>
      </c>
      <c r="G696" s="12" t="s">
        <v>113</v>
      </c>
      <c r="H696" s="12" t="s">
        <v>153</v>
      </c>
      <c r="I696" s="12" t="s">
        <v>115</v>
      </c>
      <c r="J696" s="11" t="s">
        <v>841</v>
      </c>
      <c r="K696" s="11" t="s">
        <v>841</v>
      </c>
      <c r="L696" s="11" t="s">
        <v>1209</v>
      </c>
      <c r="M696" s="11" t="s">
        <v>827</v>
      </c>
      <c r="N696" s="59">
        <v>0</v>
      </c>
      <c r="O696" s="59">
        <v>37.57</v>
      </c>
      <c r="P696" s="12"/>
      <c r="Q696" s="12" t="s">
        <v>12</v>
      </c>
      <c r="R696" s="12" t="s">
        <v>99</v>
      </c>
      <c r="S696" s="12" t="s">
        <v>99</v>
      </c>
      <c r="T696" s="12">
        <v>0</v>
      </c>
      <c r="U696" s="13"/>
      <c r="V696" s="12" t="s">
        <v>92</v>
      </c>
      <c r="W696" s="12" t="s">
        <v>92</v>
      </c>
      <c r="X696" s="12" t="s">
        <v>93</v>
      </c>
      <c r="Y696" s="13"/>
      <c r="Z696" s="75"/>
      <c r="AA696" s="24"/>
      <c r="AC696" s="24"/>
      <c r="AD696" s="24"/>
      <c r="AE696" s="24"/>
      <c r="AF696" s="24"/>
      <c r="AG696" s="24"/>
      <c r="AH696" s="24"/>
      <c r="AI696" s="24"/>
    </row>
    <row r="697" spans="1:35" hidden="1" x14ac:dyDescent="0.3">
      <c r="A697" s="12" t="s">
        <v>85</v>
      </c>
      <c r="B697" s="12">
        <v>53501</v>
      </c>
      <c r="C697" s="11" t="s">
        <v>734</v>
      </c>
      <c r="D697" s="12" t="s">
        <v>1</v>
      </c>
      <c r="E697" s="12" t="s">
        <v>1185</v>
      </c>
      <c r="F697" s="12" t="s">
        <v>113</v>
      </c>
      <c r="G697" s="12" t="s">
        <v>113</v>
      </c>
      <c r="H697" s="12" t="s">
        <v>153</v>
      </c>
      <c r="I697" s="12" t="s">
        <v>115</v>
      </c>
      <c r="J697" s="11" t="s">
        <v>842</v>
      </c>
      <c r="K697" s="11" t="s">
        <v>842</v>
      </c>
      <c r="L697" s="11" t="s">
        <v>1209</v>
      </c>
      <c r="M697" s="11" t="s">
        <v>827</v>
      </c>
      <c r="N697" s="59">
        <v>0</v>
      </c>
      <c r="O697" s="59">
        <v>39.68</v>
      </c>
      <c r="P697" s="12"/>
      <c r="Q697" s="12" t="s">
        <v>12</v>
      </c>
      <c r="R697" s="12" t="s">
        <v>99</v>
      </c>
      <c r="S697" s="12" t="s">
        <v>99</v>
      </c>
      <c r="T697" s="12">
        <v>0</v>
      </c>
      <c r="U697" s="13"/>
      <c r="V697" s="12" t="s">
        <v>92</v>
      </c>
      <c r="W697" s="12" t="s">
        <v>92</v>
      </c>
      <c r="X697" s="12" t="s">
        <v>93</v>
      </c>
      <c r="Y697" s="13"/>
      <c r="Z697" s="75"/>
      <c r="AA697" s="24"/>
      <c r="AC697" s="24"/>
      <c r="AD697" s="24"/>
      <c r="AE697" s="24"/>
      <c r="AF697" s="24"/>
      <c r="AG697" s="24"/>
      <c r="AH697" s="24"/>
      <c r="AI697" s="24"/>
    </row>
    <row r="698" spans="1:35" hidden="1" x14ac:dyDescent="0.3">
      <c r="A698" s="12" t="s">
        <v>85</v>
      </c>
      <c r="B698" s="12">
        <v>53502</v>
      </c>
      <c r="C698" s="11" t="s">
        <v>734</v>
      </c>
      <c r="D698" s="12" t="s">
        <v>1</v>
      </c>
      <c r="E698" s="12" t="s">
        <v>1185</v>
      </c>
      <c r="F698" s="12" t="s">
        <v>113</v>
      </c>
      <c r="G698" s="12" t="s">
        <v>113</v>
      </c>
      <c r="H698" s="12" t="s">
        <v>153</v>
      </c>
      <c r="I698" s="12" t="s">
        <v>115</v>
      </c>
      <c r="J698" s="11" t="s">
        <v>843</v>
      </c>
      <c r="K698" s="11" t="s">
        <v>843</v>
      </c>
      <c r="L698" s="11" t="s">
        <v>1209</v>
      </c>
      <c r="M698" s="11" t="s">
        <v>827</v>
      </c>
      <c r="N698" s="59">
        <v>0</v>
      </c>
      <c r="O698" s="59">
        <v>33.33</v>
      </c>
      <c r="P698" s="12"/>
      <c r="Q698" s="12" t="s">
        <v>12</v>
      </c>
      <c r="R698" s="12" t="s">
        <v>99</v>
      </c>
      <c r="S698" s="12" t="s">
        <v>99</v>
      </c>
      <c r="T698" s="12">
        <v>0</v>
      </c>
      <c r="U698" s="13"/>
      <c r="V698" s="12" t="s">
        <v>92</v>
      </c>
      <c r="W698" s="12" t="s">
        <v>92</v>
      </c>
      <c r="X698" s="12" t="s">
        <v>93</v>
      </c>
      <c r="Y698" s="13"/>
      <c r="Z698" s="75"/>
      <c r="AA698" s="24"/>
      <c r="AC698" s="24"/>
      <c r="AD698" s="24"/>
      <c r="AE698" s="24"/>
      <c r="AF698" s="24"/>
      <c r="AG698" s="24"/>
      <c r="AH698" s="24"/>
      <c r="AI698" s="24"/>
    </row>
    <row r="699" spans="1:35" hidden="1" x14ac:dyDescent="0.3">
      <c r="A699" s="12" t="s">
        <v>85</v>
      </c>
      <c r="B699" s="12">
        <v>53503</v>
      </c>
      <c r="C699" s="11" t="s">
        <v>734</v>
      </c>
      <c r="D699" s="12" t="s">
        <v>1</v>
      </c>
      <c r="E699" s="12" t="s">
        <v>1185</v>
      </c>
      <c r="F699" s="12" t="s">
        <v>113</v>
      </c>
      <c r="G699" s="12" t="s">
        <v>113</v>
      </c>
      <c r="H699" s="12" t="s">
        <v>153</v>
      </c>
      <c r="I699" s="12" t="s">
        <v>115</v>
      </c>
      <c r="J699" s="11" t="s">
        <v>844</v>
      </c>
      <c r="K699" s="11" t="s">
        <v>844</v>
      </c>
      <c r="L699" s="11" t="s">
        <v>1209</v>
      </c>
      <c r="M699" s="11" t="s">
        <v>827</v>
      </c>
      <c r="N699" s="59">
        <v>0</v>
      </c>
      <c r="O699" s="59">
        <v>34.83</v>
      </c>
      <c r="P699" s="12"/>
      <c r="Q699" s="12" t="s">
        <v>12</v>
      </c>
      <c r="R699" s="12" t="s">
        <v>99</v>
      </c>
      <c r="S699" s="12" t="s">
        <v>99</v>
      </c>
      <c r="T699" s="12">
        <v>0</v>
      </c>
      <c r="U699" s="13"/>
      <c r="V699" s="12" t="s">
        <v>92</v>
      </c>
      <c r="W699" s="12" t="s">
        <v>92</v>
      </c>
      <c r="X699" s="12" t="s">
        <v>93</v>
      </c>
      <c r="Y699" s="13"/>
      <c r="Z699" s="75"/>
      <c r="AA699" s="24"/>
      <c r="AC699" s="24"/>
      <c r="AD699" s="24"/>
      <c r="AE699" s="24"/>
      <c r="AF699" s="24"/>
      <c r="AG699" s="24"/>
      <c r="AH699" s="24"/>
      <c r="AI699" s="24"/>
    </row>
    <row r="700" spans="1:35" hidden="1" x14ac:dyDescent="0.3">
      <c r="A700" s="12" t="s">
        <v>85</v>
      </c>
      <c r="B700" s="12">
        <v>53504</v>
      </c>
      <c r="C700" s="11" t="s">
        <v>734</v>
      </c>
      <c r="D700" s="12" t="s">
        <v>1</v>
      </c>
      <c r="E700" s="12" t="s">
        <v>1185</v>
      </c>
      <c r="F700" s="12" t="s">
        <v>113</v>
      </c>
      <c r="G700" s="12" t="s">
        <v>113</v>
      </c>
      <c r="H700" s="12" t="s">
        <v>153</v>
      </c>
      <c r="I700" s="12" t="s">
        <v>115</v>
      </c>
      <c r="J700" s="11" t="s">
        <v>845</v>
      </c>
      <c r="K700" s="11" t="s">
        <v>845</v>
      </c>
      <c r="L700" s="11" t="s">
        <v>1209</v>
      </c>
      <c r="M700" s="11" t="s">
        <v>827</v>
      </c>
      <c r="N700" s="59">
        <v>0</v>
      </c>
      <c r="O700" s="59">
        <v>34.83</v>
      </c>
      <c r="P700" s="12"/>
      <c r="Q700" s="12" t="s">
        <v>12</v>
      </c>
      <c r="R700" s="12" t="s">
        <v>99</v>
      </c>
      <c r="S700" s="12" t="s">
        <v>99</v>
      </c>
      <c r="T700" s="12">
        <v>0</v>
      </c>
      <c r="U700" s="13"/>
      <c r="V700" s="12" t="s">
        <v>92</v>
      </c>
      <c r="W700" s="12" t="s">
        <v>92</v>
      </c>
      <c r="X700" s="12" t="s">
        <v>93</v>
      </c>
      <c r="Y700" s="13"/>
      <c r="Z700" s="75"/>
      <c r="AA700" s="24"/>
      <c r="AC700" s="24"/>
      <c r="AD700" s="24"/>
      <c r="AE700" s="24"/>
      <c r="AF700" s="24"/>
      <c r="AG700" s="24"/>
      <c r="AH700" s="24"/>
      <c r="AI700" s="24"/>
    </row>
    <row r="701" spans="1:35" hidden="1" x14ac:dyDescent="0.3">
      <c r="A701" s="12" t="s">
        <v>85</v>
      </c>
      <c r="B701" s="12">
        <v>53505</v>
      </c>
      <c r="C701" s="11" t="s">
        <v>734</v>
      </c>
      <c r="D701" s="12" t="s">
        <v>1</v>
      </c>
      <c r="E701" s="12" t="s">
        <v>1185</v>
      </c>
      <c r="F701" s="12" t="s">
        <v>113</v>
      </c>
      <c r="G701" s="12" t="s">
        <v>113</v>
      </c>
      <c r="H701" s="12" t="s">
        <v>153</v>
      </c>
      <c r="I701" s="12" t="s">
        <v>115</v>
      </c>
      <c r="J701" s="11" t="s">
        <v>846</v>
      </c>
      <c r="K701" s="11" t="s">
        <v>846</v>
      </c>
      <c r="L701" s="11" t="s">
        <v>1209</v>
      </c>
      <c r="M701" s="11" t="s">
        <v>827</v>
      </c>
      <c r="N701" s="59">
        <v>0</v>
      </c>
      <c r="O701" s="59">
        <v>32.39</v>
      </c>
      <c r="P701" s="12"/>
      <c r="Q701" s="12" t="s">
        <v>12</v>
      </c>
      <c r="R701" s="12" t="s">
        <v>99</v>
      </c>
      <c r="S701" s="12" t="s">
        <v>99</v>
      </c>
      <c r="T701" s="12">
        <v>0</v>
      </c>
      <c r="U701" s="13"/>
      <c r="V701" s="12" t="s">
        <v>92</v>
      </c>
      <c r="W701" s="12" t="s">
        <v>92</v>
      </c>
      <c r="X701" s="12" t="s">
        <v>93</v>
      </c>
      <c r="Y701" s="13"/>
      <c r="Z701" s="75"/>
      <c r="AA701" s="24"/>
      <c r="AC701" s="24"/>
      <c r="AD701" s="24"/>
      <c r="AE701" s="24"/>
      <c r="AF701" s="24"/>
      <c r="AG701" s="24"/>
      <c r="AH701" s="24"/>
      <c r="AI701" s="24"/>
    </row>
    <row r="702" spans="1:35" hidden="1" x14ac:dyDescent="0.3">
      <c r="A702" s="12" t="s">
        <v>85</v>
      </c>
      <c r="B702" s="12">
        <v>53506</v>
      </c>
      <c r="C702" s="11" t="s">
        <v>734</v>
      </c>
      <c r="D702" s="12" t="s">
        <v>1</v>
      </c>
      <c r="E702" s="12" t="s">
        <v>1185</v>
      </c>
      <c r="F702" s="12" t="s">
        <v>113</v>
      </c>
      <c r="G702" s="12" t="s">
        <v>113</v>
      </c>
      <c r="H702" s="12" t="s">
        <v>153</v>
      </c>
      <c r="I702" s="12" t="s">
        <v>115</v>
      </c>
      <c r="J702" s="11" t="s">
        <v>847</v>
      </c>
      <c r="K702" s="11" t="s">
        <v>847</v>
      </c>
      <c r="L702" s="11" t="s">
        <v>1209</v>
      </c>
      <c r="M702" s="11" t="s">
        <v>827</v>
      </c>
      <c r="N702" s="59">
        <v>0</v>
      </c>
      <c r="O702" s="58">
        <v>39.799999999999997</v>
      </c>
      <c r="P702" s="12"/>
      <c r="Q702" s="12" t="s">
        <v>12</v>
      </c>
      <c r="R702" s="12" t="s">
        <v>99</v>
      </c>
      <c r="S702" s="12" t="s">
        <v>99</v>
      </c>
      <c r="T702" s="12">
        <v>0</v>
      </c>
      <c r="U702" s="13"/>
      <c r="V702" s="12" t="s">
        <v>92</v>
      </c>
      <c r="W702" s="12" t="s">
        <v>92</v>
      </c>
      <c r="X702" s="12" t="s">
        <v>93</v>
      </c>
      <c r="Y702" s="13"/>
      <c r="Z702" s="75"/>
      <c r="AA702" s="24"/>
      <c r="AC702" s="24"/>
      <c r="AD702" s="24"/>
      <c r="AE702" s="24"/>
      <c r="AF702" s="24"/>
      <c r="AG702" s="24"/>
      <c r="AH702" s="24"/>
      <c r="AI702" s="24"/>
    </row>
    <row r="703" spans="1:35" hidden="1" x14ac:dyDescent="0.3">
      <c r="A703" s="12" t="s">
        <v>85</v>
      </c>
      <c r="B703" s="12">
        <v>53507</v>
      </c>
      <c r="C703" s="11" t="s">
        <v>734</v>
      </c>
      <c r="D703" s="12" t="s">
        <v>1</v>
      </c>
      <c r="E703" s="12" t="s">
        <v>1185</v>
      </c>
      <c r="F703" s="12" t="s">
        <v>113</v>
      </c>
      <c r="G703" s="12" t="s">
        <v>113</v>
      </c>
      <c r="H703" s="12" t="s">
        <v>153</v>
      </c>
      <c r="I703" s="12" t="s">
        <v>115</v>
      </c>
      <c r="J703" s="11" t="s">
        <v>848</v>
      </c>
      <c r="K703" s="11" t="s">
        <v>848</v>
      </c>
      <c r="L703" s="11" t="s">
        <v>1209</v>
      </c>
      <c r="M703" s="11" t="s">
        <v>827</v>
      </c>
      <c r="N703" s="59">
        <v>0</v>
      </c>
      <c r="O703" s="59">
        <v>41.48</v>
      </c>
      <c r="P703" s="12"/>
      <c r="Q703" s="12" t="s">
        <v>12</v>
      </c>
      <c r="R703" s="12" t="s">
        <v>99</v>
      </c>
      <c r="S703" s="12" t="s">
        <v>99</v>
      </c>
      <c r="T703" s="12">
        <v>0</v>
      </c>
      <c r="U703" s="13"/>
      <c r="V703" s="12" t="s">
        <v>92</v>
      </c>
      <c r="W703" s="12" t="s">
        <v>92</v>
      </c>
      <c r="X703" s="12" t="s">
        <v>93</v>
      </c>
      <c r="Y703" s="13"/>
      <c r="Z703" s="75"/>
      <c r="AA703" s="24"/>
      <c r="AC703" s="24"/>
      <c r="AD703" s="24"/>
      <c r="AE703" s="24"/>
      <c r="AF703" s="24"/>
      <c r="AG703" s="24"/>
      <c r="AH703" s="24"/>
      <c r="AI703" s="24"/>
    </row>
    <row r="704" spans="1:35" hidden="1" x14ac:dyDescent="0.3">
      <c r="A704" s="12" t="s">
        <v>85</v>
      </c>
      <c r="B704" s="12">
        <v>53508</v>
      </c>
      <c r="C704" s="11" t="s">
        <v>734</v>
      </c>
      <c r="D704" s="12" t="s">
        <v>1</v>
      </c>
      <c r="E704" s="12" t="s">
        <v>1185</v>
      </c>
      <c r="F704" s="12" t="s">
        <v>113</v>
      </c>
      <c r="G704" s="12" t="s">
        <v>113</v>
      </c>
      <c r="H704" s="12" t="s">
        <v>153</v>
      </c>
      <c r="I704" s="12" t="s">
        <v>115</v>
      </c>
      <c r="J704" s="11" t="s">
        <v>849</v>
      </c>
      <c r="K704" s="11" t="s">
        <v>849</v>
      </c>
      <c r="L704" s="11" t="s">
        <v>1209</v>
      </c>
      <c r="M704" s="11" t="s">
        <v>827</v>
      </c>
      <c r="N704" s="59">
        <v>0</v>
      </c>
      <c r="O704" s="59">
        <v>37.57</v>
      </c>
      <c r="P704" s="12"/>
      <c r="Q704" s="12" t="s">
        <v>12</v>
      </c>
      <c r="R704" s="12" t="s">
        <v>99</v>
      </c>
      <c r="S704" s="12" t="s">
        <v>99</v>
      </c>
      <c r="T704" s="12">
        <v>0</v>
      </c>
      <c r="U704" s="13"/>
      <c r="V704" s="12" t="s">
        <v>92</v>
      </c>
      <c r="W704" s="12" t="s">
        <v>92</v>
      </c>
      <c r="X704" s="12" t="s">
        <v>93</v>
      </c>
      <c r="Y704" s="13"/>
      <c r="Z704" s="75"/>
      <c r="AA704" s="24"/>
      <c r="AC704" s="24"/>
      <c r="AD704" s="24"/>
      <c r="AE704" s="24"/>
      <c r="AF704" s="24"/>
      <c r="AG704" s="24"/>
      <c r="AH704" s="24"/>
      <c r="AI704" s="24"/>
    </row>
    <row r="705" spans="1:35" hidden="1" x14ac:dyDescent="0.3">
      <c r="A705" s="12" t="s">
        <v>85</v>
      </c>
      <c r="B705" s="12">
        <v>53509</v>
      </c>
      <c r="C705" s="11" t="s">
        <v>734</v>
      </c>
      <c r="D705" s="12" t="s">
        <v>1</v>
      </c>
      <c r="E705" s="12" t="s">
        <v>1185</v>
      </c>
      <c r="F705" s="12" t="s">
        <v>113</v>
      </c>
      <c r="G705" s="12" t="s">
        <v>113</v>
      </c>
      <c r="H705" s="12" t="s">
        <v>153</v>
      </c>
      <c r="I705" s="12" t="s">
        <v>115</v>
      </c>
      <c r="J705" s="11" t="s">
        <v>850</v>
      </c>
      <c r="K705" s="11" t="s">
        <v>850</v>
      </c>
      <c r="L705" s="11" t="s">
        <v>1209</v>
      </c>
      <c r="M705" s="11" t="s">
        <v>827</v>
      </c>
      <c r="N705" s="59">
        <v>0</v>
      </c>
      <c r="O705" s="59">
        <v>39.68</v>
      </c>
      <c r="P705" s="12"/>
      <c r="Q705" s="12" t="s">
        <v>12</v>
      </c>
      <c r="R705" s="12" t="s">
        <v>99</v>
      </c>
      <c r="S705" s="12" t="s">
        <v>99</v>
      </c>
      <c r="T705" s="12">
        <v>0</v>
      </c>
      <c r="U705" s="13"/>
      <c r="V705" s="12" t="s">
        <v>92</v>
      </c>
      <c r="W705" s="12" t="s">
        <v>92</v>
      </c>
      <c r="X705" s="12" t="s">
        <v>93</v>
      </c>
      <c r="Y705" s="13"/>
      <c r="Z705" s="75"/>
      <c r="AA705" s="24"/>
      <c r="AC705" s="24"/>
      <c r="AD705" s="24"/>
      <c r="AE705" s="24"/>
      <c r="AF705" s="24"/>
      <c r="AG705" s="24"/>
      <c r="AH705" s="24"/>
      <c r="AI705" s="24"/>
    </row>
    <row r="706" spans="1:35" hidden="1" x14ac:dyDescent="0.3">
      <c r="A706" s="12" t="s">
        <v>85</v>
      </c>
      <c r="B706" s="12">
        <v>53510</v>
      </c>
      <c r="C706" s="11" t="s">
        <v>734</v>
      </c>
      <c r="D706" s="12" t="s">
        <v>1</v>
      </c>
      <c r="E706" s="12" t="s">
        <v>1185</v>
      </c>
      <c r="F706" s="12" t="s">
        <v>113</v>
      </c>
      <c r="G706" s="12" t="s">
        <v>113</v>
      </c>
      <c r="H706" s="12" t="s">
        <v>153</v>
      </c>
      <c r="I706" s="12" t="s">
        <v>115</v>
      </c>
      <c r="J706" s="11" t="s">
        <v>851</v>
      </c>
      <c r="K706" s="11" t="s">
        <v>851</v>
      </c>
      <c r="L706" s="11" t="s">
        <v>1209</v>
      </c>
      <c r="M706" s="11" t="s">
        <v>827</v>
      </c>
      <c r="N706" s="59">
        <v>0</v>
      </c>
      <c r="O706" s="59">
        <v>33.33</v>
      </c>
      <c r="P706" s="12"/>
      <c r="Q706" s="12" t="s">
        <v>12</v>
      </c>
      <c r="R706" s="12" t="s">
        <v>99</v>
      </c>
      <c r="S706" s="12" t="s">
        <v>99</v>
      </c>
      <c r="T706" s="12">
        <v>0</v>
      </c>
      <c r="U706" s="13"/>
      <c r="V706" s="12" t="s">
        <v>92</v>
      </c>
      <c r="W706" s="12" t="s">
        <v>92</v>
      </c>
      <c r="X706" s="12" t="s">
        <v>93</v>
      </c>
      <c r="Y706" s="13"/>
      <c r="Z706" s="75"/>
      <c r="AA706" s="24"/>
      <c r="AC706" s="24"/>
      <c r="AD706" s="24"/>
      <c r="AE706" s="24"/>
      <c r="AF706" s="24"/>
      <c r="AG706" s="24"/>
      <c r="AH706" s="24"/>
      <c r="AI706" s="24"/>
    </row>
    <row r="707" spans="1:35" hidden="1" x14ac:dyDescent="0.3">
      <c r="A707" s="12" t="s">
        <v>85</v>
      </c>
      <c r="B707" s="12">
        <v>53511</v>
      </c>
      <c r="C707" s="11" t="s">
        <v>734</v>
      </c>
      <c r="D707" s="12" t="s">
        <v>1</v>
      </c>
      <c r="E707" s="12" t="s">
        <v>1185</v>
      </c>
      <c r="F707" s="12" t="s">
        <v>113</v>
      </c>
      <c r="G707" s="12" t="s">
        <v>113</v>
      </c>
      <c r="H707" s="12" t="s">
        <v>153</v>
      </c>
      <c r="I707" s="12" t="s">
        <v>115</v>
      </c>
      <c r="J707" s="11" t="s">
        <v>852</v>
      </c>
      <c r="K707" s="11" t="s">
        <v>852</v>
      </c>
      <c r="L707" s="11" t="s">
        <v>1209</v>
      </c>
      <c r="M707" s="11" t="s">
        <v>827</v>
      </c>
      <c r="N707" s="59">
        <v>0</v>
      </c>
      <c r="O707" s="59">
        <v>34.83</v>
      </c>
      <c r="P707" s="12"/>
      <c r="Q707" s="12" t="s">
        <v>12</v>
      </c>
      <c r="R707" s="12" t="s">
        <v>99</v>
      </c>
      <c r="S707" s="12" t="s">
        <v>99</v>
      </c>
      <c r="T707" s="12">
        <v>0</v>
      </c>
      <c r="U707" s="13"/>
      <c r="V707" s="12" t="s">
        <v>92</v>
      </c>
      <c r="W707" s="12" t="s">
        <v>92</v>
      </c>
      <c r="X707" s="12" t="s">
        <v>93</v>
      </c>
      <c r="Y707" s="13"/>
      <c r="Z707" s="75"/>
      <c r="AA707" s="24"/>
      <c r="AC707" s="24"/>
      <c r="AD707" s="24"/>
      <c r="AE707" s="24"/>
      <c r="AF707" s="24"/>
      <c r="AG707" s="24"/>
      <c r="AH707" s="24"/>
      <c r="AI707" s="24"/>
    </row>
    <row r="708" spans="1:35" hidden="1" x14ac:dyDescent="0.3">
      <c r="A708" s="12" t="s">
        <v>85</v>
      </c>
      <c r="B708" s="12">
        <v>53512</v>
      </c>
      <c r="C708" s="11" t="s">
        <v>734</v>
      </c>
      <c r="D708" s="12" t="s">
        <v>1</v>
      </c>
      <c r="E708" s="12" t="s">
        <v>1185</v>
      </c>
      <c r="F708" s="12" t="s">
        <v>113</v>
      </c>
      <c r="G708" s="12" t="s">
        <v>113</v>
      </c>
      <c r="H708" s="12" t="s">
        <v>153</v>
      </c>
      <c r="I708" s="12" t="s">
        <v>115</v>
      </c>
      <c r="J708" s="11" t="s">
        <v>853</v>
      </c>
      <c r="K708" s="11" t="s">
        <v>853</v>
      </c>
      <c r="L708" s="11" t="s">
        <v>1209</v>
      </c>
      <c r="M708" s="11" t="s">
        <v>827</v>
      </c>
      <c r="N708" s="59">
        <v>0</v>
      </c>
      <c r="O708" s="59">
        <v>34.380000000000003</v>
      </c>
      <c r="P708" s="12"/>
      <c r="Q708" s="12" t="s">
        <v>12</v>
      </c>
      <c r="R708" s="12" t="s">
        <v>99</v>
      </c>
      <c r="S708" s="12" t="s">
        <v>99</v>
      </c>
      <c r="T708" s="12">
        <v>0</v>
      </c>
      <c r="U708" s="13"/>
      <c r="V708" s="12" t="s">
        <v>92</v>
      </c>
      <c r="W708" s="12" t="s">
        <v>92</v>
      </c>
      <c r="X708" s="12" t="s">
        <v>93</v>
      </c>
      <c r="Y708" s="13"/>
      <c r="Z708" s="75"/>
      <c r="AA708" s="24"/>
      <c r="AC708" s="24"/>
      <c r="AD708" s="24"/>
      <c r="AE708" s="24"/>
      <c r="AF708" s="24"/>
      <c r="AG708" s="24"/>
      <c r="AH708" s="24"/>
      <c r="AI708" s="24"/>
    </row>
    <row r="709" spans="1:35" hidden="1" x14ac:dyDescent="0.3">
      <c r="A709" s="12" t="s">
        <v>85</v>
      </c>
      <c r="B709" s="12">
        <v>53513</v>
      </c>
      <c r="C709" s="11" t="s">
        <v>734</v>
      </c>
      <c r="D709" s="12" t="s">
        <v>1</v>
      </c>
      <c r="E709" s="12" t="s">
        <v>1185</v>
      </c>
      <c r="F709" s="12" t="s">
        <v>113</v>
      </c>
      <c r="G709" s="12" t="s">
        <v>113</v>
      </c>
      <c r="H709" s="12" t="s">
        <v>153</v>
      </c>
      <c r="I709" s="12" t="s">
        <v>115</v>
      </c>
      <c r="J709" s="11" t="s">
        <v>854</v>
      </c>
      <c r="K709" s="11" t="s">
        <v>854</v>
      </c>
      <c r="L709" s="11" t="s">
        <v>1209</v>
      </c>
      <c r="M709" s="11" t="s">
        <v>827</v>
      </c>
      <c r="N709" s="59">
        <v>0</v>
      </c>
      <c r="O709" s="59">
        <v>32.39</v>
      </c>
      <c r="P709" s="12"/>
      <c r="Q709" s="12" t="s">
        <v>12</v>
      </c>
      <c r="R709" s="12" t="s">
        <v>99</v>
      </c>
      <c r="S709" s="12" t="s">
        <v>99</v>
      </c>
      <c r="T709" s="12">
        <v>0</v>
      </c>
      <c r="U709" s="13"/>
      <c r="V709" s="12" t="s">
        <v>92</v>
      </c>
      <c r="W709" s="12" t="s">
        <v>92</v>
      </c>
      <c r="X709" s="12" t="s">
        <v>93</v>
      </c>
      <c r="Y709" s="13"/>
      <c r="Z709" s="75"/>
      <c r="AA709" s="24"/>
      <c r="AC709" s="24"/>
      <c r="AD709" s="24"/>
      <c r="AE709" s="24"/>
      <c r="AF709" s="24"/>
      <c r="AG709" s="24"/>
      <c r="AH709" s="24"/>
      <c r="AI709" s="24"/>
    </row>
    <row r="710" spans="1:35" hidden="1" x14ac:dyDescent="0.3">
      <c r="A710" s="12" t="s">
        <v>85</v>
      </c>
      <c r="B710" s="12">
        <v>53514</v>
      </c>
      <c r="C710" s="11" t="s">
        <v>734</v>
      </c>
      <c r="D710" s="12" t="s">
        <v>1</v>
      </c>
      <c r="E710" s="12" t="s">
        <v>1185</v>
      </c>
      <c r="F710" s="12" t="s">
        <v>113</v>
      </c>
      <c r="G710" s="12" t="s">
        <v>113</v>
      </c>
      <c r="H710" s="12" t="s">
        <v>153</v>
      </c>
      <c r="I710" s="12" t="s">
        <v>115</v>
      </c>
      <c r="J710" s="11" t="s">
        <v>855</v>
      </c>
      <c r="K710" s="11" t="s">
        <v>855</v>
      </c>
      <c r="L710" s="11" t="s">
        <v>1209</v>
      </c>
      <c r="M710" s="11" t="s">
        <v>827</v>
      </c>
      <c r="N710" s="59">
        <v>0</v>
      </c>
      <c r="O710" s="59">
        <v>39.68</v>
      </c>
      <c r="P710" s="12"/>
      <c r="Q710" s="12" t="s">
        <v>12</v>
      </c>
      <c r="R710" s="12" t="s">
        <v>99</v>
      </c>
      <c r="S710" s="12" t="s">
        <v>99</v>
      </c>
      <c r="T710" s="12">
        <v>0</v>
      </c>
      <c r="U710" s="13"/>
      <c r="V710" s="12" t="s">
        <v>92</v>
      </c>
      <c r="W710" s="12" t="s">
        <v>92</v>
      </c>
      <c r="X710" s="12" t="s">
        <v>93</v>
      </c>
      <c r="Y710" s="13"/>
      <c r="Z710" s="75"/>
      <c r="AA710" s="24"/>
      <c r="AC710" s="24"/>
      <c r="AD710" s="24"/>
      <c r="AE710" s="24"/>
      <c r="AF710" s="24"/>
      <c r="AG710" s="24"/>
      <c r="AH710" s="24"/>
      <c r="AI710" s="24"/>
    </row>
    <row r="711" spans="1:35" hidden="1" x14ac:dyDescent="0.3">
      <c r="A711" s="12" t="s">
        <v>85</v>
      </c>
      <c r="B711" s="12">
        <v>53515</v>
      </c>
      <c r="C711" s="11" t="s">
        <v>734</v>
      </c>
      <c r="D711" s="12" t="s">
        <v>1</v>
      </c>
      <c r="E711" s="12" t="s">
        <v>1185</v>
      </c>
      <c r="F711" s="12" t="s">
        <v>113</v>
      </c>
      <c r="G711" s="12" t="s">
        <v>113</v>
      </c>
      <c r="H711" s="12" t="s">
        <v>153</v>
      </c>
      <c r="I711" s="12" t="s">
        <v>115</v>
      </c>
      <c r="J711" s="11" t="s">
        <v>856</v>
      </c>
      <c r="K711" s="11" t="s">
        <v>856</v>
      </c>
      <c r="L711" s="11" t="s">
        <v>1209</v>
      </c>
      <c r="M711" s="11" t="s">
        <v>827</v>
      </c>
      <c r="N711" s="59">
        <v>0</v>
      </c>
      <c r="O711" s="59">
        <v>41.48</v>
      </c>
      <c r="P711" s="12"/>
      <c r="Q711" s="12" t="s">
        <v>12</v>
      </c>
      <c r="R711" s="12" t="s">
        <v>99</v>
      </c>
      <c r="S711" s="12" t="s">
        <v>99</v>
      </c>
      <c r="T711" s="12">
        <v>0</v>
      </c>
      <c r="U711" s="13"/>
      <c r="V711" s="12" t="s">
        <v>92</v>
      </c>
      <c r="W711" s="12" t="s">
        <v>92</v>
      </c>
      <c r="X711" s="12" t="s">
        <v>93</v>
      </c>
      <c r="Y711" s="13"/>
      <c r="Z711" s="75"/>
      <c r="AA711" s="24"/>
      <c r="AC711" s="24"/>
      <c r="AD711" s="24"/>
      <c r="AE711" s="24"/>
      <c r="AF711" s="24"/>
      <c r="AG711" s="24"/>
      <c r="AH711" s="24"/>
      <c r="AI711" s="24"/>
    </row>
    <row r="712" spans="1:35" hidden="1" x14ac:dyDescent="0.3">
      <c r="A712" s="12" t="s">
        <v>85</v>
      </c>
      <c r="B712" s="12">
        <v>53516</v>
      </c>
      <c r="C712" s="11" t="s">
        <v>734</v>
      </c>
      <c r="D712" s="12" t="s">
        <v>1</v>
      </c>
      <c r="E712" s="12" t="s">
        <v>1185</v>
      </c>
      <c r="F712" s="12" t="s">
        <v>113</v>
      </c>
      <c r="G712" s="12" t="s">
        <v>113</v>
      </c>
      <c r="H712" s="12" t="s">
        <v>153</v>
      </c>
      <c r="I712" s="12" t="s">
        <v>115</v>
      </c>
      <c r="J712" s="11" t="s">
        <v>857</v>
      </c>
      <c r="K712" s="11" t="s">
        <v>857</v>
      </c>
      <c r="L712" s="11" t="s">
        <v>1209</v>
      </c>
      <c r="M712" s="11" t="s">
        <v>827</v>
      </c>
      <c r="N712" s="59">
        <v>0</v>
      </c>
      <c r="O712" s="59">
        <v>37.57</v>
      </c>
      <c r="P712" s="12"/>
      <c r="Q712" s="12" t="s">
        <v>12</v>
      </c>
      <c r="R712" s="12" t="s">
        <v>99</v>
      </c>
      <c r="S712" s="12" t="s">
        <v>99</v>
      </c>
      <c r="T712" s="12">
        <v>0</v>
      </c>
      <c r="U712" s="13"/>
      <c r="V712" s="12" t="s">
        <v>92</v>
      </c>
      <c r="W712" s="12" t="s">
        <v>92</v>
      </c>
      <c r="X712" s="12" t="s">
        <v>93</v>
      </c>
      <c r="Y712" s="13"/>
      <c r="Z712" s="75"/>
      <c r="AA712" s="24"/>
      <c r="AC712" s="24"/>
      <c r="AD712" s="24"/>
      <c r="AE712" s="24"/>
      <c r="AF712" s="24"/>
      <c r="AG712" s="24"/>
      <c r="AH712" s="24"/>
      <c r="AI712" s="24"/>
    </row>
    <row r="713" spans="1:35" hidden="1" x14ac:dyDescent="0.3">
      <c r="A713" s="12" t="s">
        <v>85</v>
      </c>
      <c r="B713" s="12">
        <v>53517</v>
      </c>
      <c r="C713" s="11" t="s">
        <v>734</v>
      </c>
      <c r="D713" s="12" t="s">
        <v>1</v>
      </c>
      <c r="E713" s="12" t="s">
        <v>1185</v>
      </c>
      <c r="F713" s="12" t="s">
        <v>113</v>
      </c>
      <c r="G713" s="12" t="s">
        <v>113</v>
      </c>
      <c r="H713" s="12" t="s">
        <v>153</v>
      </c>
      <c r="I713" s="12" t="s">
        <v>115</v>
      </c>
      <c r="J713" s="11" t="s">
        <v>858</v>
      </c>
      <c r="K713" s="11" t="s">
        <v>858</v>
      </c>
      <c r="L713" s="11" t="s">
        <v>1209</v>
      </c>
      <c r="M713" s="11" t="s">
        <v>827</v>
      </c>
      <c r="N713" s="59">
        <v>0</v>
      </c>
      <c r="O713" s="59">
        <v>39.68</v>
      </c>
      <c r="P713" s="12"/>
      <c r="Q713" s="12" t="s">
        <v>12</v>
      </c>
      <c r="R713" s="12" t="s">
        <v>99</v>
      </c>
      <c r="S713" s="12" t="s">
        <v>99</v>
      </c>
      <c r="T713" s="12">
        <v>0</v>
      </c>
      <c r="U713" s="13"/>
      <c r="V713" s="12" t="s">
        <v>92</v>
      </c>
      <c r="W713" s="12" t="s">
        <v>92</v>
      </c>
      <c r="X713" s="12" t="s">
        <v>93</v>
      </c>
      <c r="Y713" s="13"/>
      <c r="Z713" s="75"/>
      <c r="AA713" s="24"/>
      <c r="AC713" s="24"/>
      <c r="AD713" s="24"/>
      <c r="AE713" s="24"/>
      <c r="AF713" s="24"/>
      <c r="AG713" s="24"/>
      <c r="AH713" s="24"/>
      <c r="AI713" s="24"/>
    </row>
    <row r="714" spans="1:35" hidden="1" x14ac:dyDescent="0.3">
      <c r="A714" s="12" t="s">
        <v>85</v>
      </c>
      <c r="B714" s="12">
        <v>53518</v>
      </c>
      <c r="C714" s="11" t="s">
        <v>734</v>
      </c>
      <c r="D714" s="12" t="s">
        <v>1</v>
      </c>
      <c r="E714" s="12" t="s">
        <v>1185</v>
      </c>
      <c r="F714" s="12" t="s">
        <v>113</v>
      </c>
      <c r="G714" s="12" t="s">
        <v>113</v>
      </c>
      <c r="H714" s="12" t="s">
        <v>153</v>
      </c>
      <c r="I714" s="12" t="s">
        <v>115</v>
      </c>
      <c r="J714" s="11" t="s">
        <v>859</v>
      </c>
      <c r="K714" s="11" t="s">
        <v>859</v>
      </c>
      <c r="L714" s="11" t="s">
        <v>1209</v>
      </c>
      <c r="M714" s="11" t="s">
        <v>827</v>
      </c>
      <c r="N714" s="59">
        <v>0</v>
      </c>
      <c r="O714" s="59">
        <v>33.33</v>
      </c>
      <c r="P714" s="12"/>
      <c r="Q714" s="12" t="s">
        <v>12</v>
      </c>
      <c r="R714" s="12" t="s">
        <v>99</v>
      </c>
      <c r="S714" s="12" t="s">
        <v>99</v>
      </c>
      <c r="T714" s="12">
        <v>0</v>
      </c>
      <c r="U714" s="13"/>
      <c r="V714" s="12" t="s">
        <v>92</v>
      </c>
      <c r="W714" s="12" t="s">
        <v>92</v>
      </c>
      <c r="X714" s="12" t="s">
        <v>93</v>
      </c>
      <c r="Y714" s="13"/>
      <c r="Z714" s="75"/>
      <c r="AA714" s="24"/>
      <c r="AC714" s="24"/>
      <c r="AD714" s="24"/>
      <c r="AE714" s="24"/>
      <c r="AF714" s="24"/>
      <c r="AG714" s="24"/>
      <c r="AH714" s="24"/>
      <c r="AI714" s="24"/>
    </row>
    <row r="715" spans="1:35" hidden="1" x14ac:dyDescent="0.3">
      <c r="A715" s="12" t="s">
        <v>85</v>
      </c>
      <c r="B715" s="12">
        <v>54581</v>
      </c>
      <c r="C715" s="11" t="s">
        <v>376</v>
      </c>
      <c r="D715" s="12" t="s">
        <v>417</v>
      </c>
      <c r="E715" s="12" t="s">
        <v>1182</v>
      </c>
      <c r="F715" s="12" t="s">
        <v>132</v>
      </c>
      <c r="G715" s="12" t="s">
        <v>113</v>
      </c>
      <c r="H715" s="12" t="s">
        <v>334</v>
      </c>
      <c r="I715" s="12" t="s">
        <v>89</v>
      </c>
      <c r="J715" s="11" t="s">
        <v>860</v>
      </c>
      <c r="K715" s="11" t="s">
        <v>860</v>
      </c>
      <c r="L715" s="11"/>
      <c r="M715" s="11" t="s">
        <v>861</v>
      </c>
      <c r="N715" s="59">
        <v>0</v>
      </c>
      <c r="O715" s="60">
        <v>85.8</v>
      </c>
      <c r="P715" s="12" t="s">
        <v>862</v>
      </c>
      <c r="Q715" s="12" t="s">
        <v>4</v>
      </c>
      <c r="R715" s="12" t="s">
        <v>15</v>
      </c>
      <c r="S715" s="12" t="s">
        <v>25</v>
      </c>
      <c r="T715" s="12">
        <v>1</v>
      </c>
      <c r="U715" s="13">
        <v>44294</v>
      </c>
      <c r="V715" s="12" t="s">
        <v>546</v>
      </c>
      <c r="W715" s="12" t="s">
        <v>92</v>
      </c>
      <c r="X715" s="12" t="s">
        <v>105</v>
      </c>
      <c r="Y715" s="13"/>
      <c r="Z715" s="75"/>
      <c r="AA715" s="24"/>
      <c r="AC715" s="24"/>
      <c r="AD715" s="24"/>
      <c r="AE715" s="24"/>
      <c r="AF715" s="24"/>
      <c r="AG715" s="24"/>
      <c r="AH715" s="24"/>
      <c r="AI715" s="24"/>
    </row>
    <row r="716" spans="1:35" hidden="1" x14ac:dyDescent="0.3">
      <c r="A716" s="12" t="s">
        <v>85</v>
      </c>
      <c r="B716" s="12">
        <v>55045</v>
      </c>
      <c r="C716" s="11" t="s">
        <v>136</v>
      </c>
      <c r="D716" s="12" t="s">
        <v>1</v>
      </c>
      <c r="E716" s="12" t="s">
        <v>1185</v>
      </c>
      <c r="F716" s="12" t="s">
        <v>132</v>
      </c>
      <c r="G716" s="12" t="s">
        <v>132</v>
      </c>
      <c r="H716" s="12" t="s">
        <v>609</v>
      </c>
      <c r="I716" s="12" t="s">
        <v>89</v>
      </c>
      <c r="J716" s="11" t="s">
        <v>863</v>
      </c>
      <c r="K716" s="11" t="s">
        <v>863</v>
      </c>
      <c r="L716" s="11" t="s">
        <v>1214</v>
      </c>
      <c r="M716" s="11" t="s">
        <v>864</v>
      </c>
      <c r="N716" s="57">
        <v>64693.88</v>
      </c>
      <c r="O716" s="59"/>
      <c r="P716" s="12" t="s">
        <v>865</v>
      </c>
      <c r="Q716" s="12" t="s">
        <v>4</v>
      </c>
      <c r="R716" s="12" t="s">
        <v>15</v>
      </c>
      <c r="S716" s="12" t="s">
        <v>62</v>
      </c>
      <c r="T716" s="12">
        <v>1</v>
      </c>
      <c r="U716" s="13">
        <v>43787</v>
      </c>
      <c r="V716" s="12" t="s">
        <v>866</v>
      </c>
      <c r="W716" s="12" t="s">
        <v>92</v>
      </c>
      <c r="X716" s="12" t="s">
        <v>93</v>
      </c>
      <c r="Y716" s="13"/>
      <c r="Z716" s="75"/>
      <c r="AA716" s="24"/>
      <c r="AC716" s="24"/>
      <c r="AD716" s="24"/>
      <c r="AE716" s="24"/>
      <c r="AF716" s="24"/>
      <c r="AG716" s="24"/>
      <c r="AH716" s="24"/>
      <c r="AI716" s="24"/>
    </row>
    <row r="717" spans="1:35" hidden="1" x14ac:dyDescent="0.3">
      <c r="A717" s="12" t="s">
        <v>85</v>
      </c>
      <c r="B717" s="12">
        <v>56292</v>
      </c>
      <c r="C717" s="11" t="s">
        <v>333</v>
      </c>
      <c r="D717" s="12" t="s">
        <v>1</v>
      </c>
      <c r="E717" s="12" t="s">
        <v>1185</v>
      </c>
      <c r="F717" s="12" t="s">
        <v>132</v>
      </c>
      <c r="G717" s="12" t="s">
        <v>132</v>
      </c>
      <c r="H717" s="12" t="s">
        <v>334</v>
      </c>
      <c r="I717" s="12" t="s">
        <v>89</v>
      </c>
      <c r="J717" s="11" t="s">
        <v>1275</v>
      </c>
      <c r="K717" s="11" t="s">
        <v>867</v>
      </c>
      <c r="L717" s="11" t="s">
        <v>1194</v>
      </c>
      <c r="M717" s="11" t="s">
        <v>868</v>
      </c>
      <c r="N717" s="57">
        <v>319688.57</v>
      </c>
      <c r="O717" s="59"/>
      <c r="P717" s="12" t="s">
        <v>869</v>
      </c>
      <c r="Q717" s="12" t="s">
        <v>12</v>
      </c>
      <c r="R717" s="12" t="s">
        <v>99</v>
      </c>
      <c r="S717" s="12" t="s">
        <v>99</v>
      </c>
      <c r="T717" s="12">
        <v>0</v>
      </c>
      <c r="U717" s="13"/>
      <c r="V717" s="12" t="s">
        <v>92</v>
      </c>
      <c r="W717" s="12" t="s">
        <v>92</v>
      </c>
      <c r="X717" s="12" t="s">
        <v>135</v>
      </c>
      <c r="Y717" s="13"/>
      <c r="Z717" s="75"/>
      <c r="AA717" s="24"/>
      <c r="AC717" s="24"/>
      <c r="AD717" s="24"/>
      <c r="AE717" s="24"/>
      <c r="AF717" s="24"/>
      <c r="AG717" s="24"/>
      <c r="AH717" s="24"/>
      <c r="AI717" s="24"/>
    </row>
    <row r="718" spans="1:35" hidden="1" x14ac:dyDescent="0.3">
      <c r="A718" s="12" t="s">
        <v>85</v>
      </c>
      <c r="B718" s="12">
        <v>56645</v>
      </c>
      <c r="C718" s="11" t="s">
        <v>152</v>
      </c>
      <c r="D718" s="12" t="s">
        <v>1</v>
      </c>
      <c r="E718" s="12" t="s">
        <v>1185</v>
      </c>
      <c r="F718" s="12" t="s">
        <v>113</v>
      </c>
      <c r="G718" s="12" t="s">
        <v>113</v>
      </c>
      <c r="H718" s="12" t="s">
        <v>153</v>
      </c>
      <c r="I718" s="12" t="s">
        <v>115</v>
      </c>
      <c r="J718" s="11" t="s">
        <v>870</v>
      </c>
      <c r="K718" s="11" t="s">
        <v>870</v>
      </c>
      <c r="L718" s="11" t="s">
        <v>1195</v>
      </c>
      <c r="M718" s="11" t="s">
        <v>871</v>
      </c>
      <c r="N718" s="57">
        <v>8272.16</v>
      </c>
      <c r="O718" s="59"/>
      <c r="P718" s="12"/>
      <c r="Q718" s="12" t="s">
        <v>12</v>
      </c>
      <c r="R718" s="12" t="s">
        <v>99</v>
      </c>
      <c r="S718" s="12" t="s">
        <v>99</v>
      </c>
      <c r="T718" s="12">
        <v>0</v>
      </c>
      <c r="U718" s="13"/>
      <c r="V718" s="12" t="s">
        <v>92</v>
      </c>
      <c r="W718" s="12" t="s">
        <v>92</v>
      </c>
      <c r="X718" s="12" t="s">
        <v>93</v>
      </c>
      <c r="Y718" s="13">
        <v>43525</v>
      </c>
      <c r="Z718" s="75"/>
      <c r="AA718" s="24"/>
      <c r="AC718" s="24"/>
      <c r="AD718" s="24"/>
      <c r="AE718" s="24"/>
      <c r="AF718" s="24"/>
      <c r="AG718" s="24"/>
      <c r="AH718" s="24"/>
      <c r="AI718" s="24"/>
    </row>
    <row r="719" spans="1:35" hidden="1" x14ac:dyDescent="0.3">
      <c r="A719" s="12" t="s">
        <v>85</v>
      </c>
      <c r="B719" s="12">
        <v>56646</v>
      </c>
      <c r="C719" s="11" t="s">
        <v>152</v>
      </c>
      <c r="D719" s="12" t="s">
        <v>1</v>
      </c>
      <c r="E719" s="12" t="s">
        <v>1185</v>
      </c>
      <c r="F719" s="12" t="s">
        <v>113</v>
      </c>
      <c r="G719" s="12" t="s">
        <v>87</v>
      </c>
      <c r="H719" s="12" t="s">
        <v>153</v>
      </c>
      <c r="I719" s="12" t="s">
        <v>115</v>
      </c>
      <c r="J719" s="11" t="s">
        <v>872</v>
      </c>
      <c r="K719" s="11" t="s">
        <v>872</v>
      </c>
      <c r="L719" s="11" t="s">
        <v>1195</v>
      </c>
      <c r="M719" s="11" t="s">
        <v>824</v>
      </c>
      <c r="N719" s="59">
        <v>365.19</v>
      </c>
      <c r="O719" s="59"/>
      <c r="P719" s="12"/>
      <c r="Q719" s="12" t="s">
        <v>4</v>
      </c>
      <c r="R719" s="12" t="s">
        <v>15</v>
      </c>
      <c r="S719" s="12" t="s">
        <v>92</v>
      </c>
      <c r="T719" s="12">
        <v>1</v>
      </c>
      <c r="U719" s="13"/>
      <c r="V719" s="12" t="s">
        <v>873</v>
      </c>
      <c r="W719" s="12" t="s">
        <v>92</v>
      </c>
      <c r="X719" s="12" t="s">
        <v>93</v>
      </c>
      <c r="Y719" s="13">
        <v>43525</v>
      </c>
      <c r="Z719" s="75"/>
      <c r="AA719" s="24"/>
      <c r="AC719" s="24"/>
      <c r="AD719" s="24"/>
      <c r="AE719" s="24"/>
      <c r="AF719" s="24"/>
      <c r="AG719" s="24"/>
      <c r="AH719" s="24"/>
      <c r="AI719" s="24"/>
    </row>
    <row r="720" spans="1:35" hidden="1" x14ac:dyDescent="0.3">
      <c r="A720" s="12" t="s">
        <v>85</v>
      </c>
      <c r="B720" s="12">
        <v>56646</v>
      </c>
      <c r="C720" s="11" t="s">
        <v>152</v>
      </c>
      <c r="D720" s="12" t="s">
        <v>1</v>
      </c>
      <c r="E720" s="12" t="s">
        <v>1185</v>
      </c>
      <c r="F720" s="12" t="s">
        <v>113</v>
      </c>
      <c r="G720" s="12" t="s">
        <v>87</v>
      </c>
      <c r="H720" s="12" t="s">
        <v>153</v>
      </c>
      <c r="I720" s="12" t="s">
        <v>115</v>
      </c>
      <c r="J720" s="11" t="s">
        <v>872</v>
      </c>
      <c r="K720" s="11" t="s">
        <v>872</v>
      </c>
      <c r="L720" s="11" t="s">
        <v>1195</v>
      </c>
      <c r="M720" s="11" t="s">
        <v>824</v>
      </c>
      <c r="N720" s="59">
        <v>365.19</v>
      </c>
      <c r="O720" s="59"/>
      <c r="P720" s="12"/>
      <c r="Q720" s="12" t="s">
        <v>4</v>
      </c>
      <c r="R720" s="12" t="s">
        <v>21</v>
      </c>
      <c r="S720" s="12" t="s">
        <v>25</v>
      </c>
      <c r="T720" s="12">
        <v>1</v>
      </c>
      <c r="U720" s="13">
        <v>43895</v>
      </c>
      <c r="V720" s="12" t="s">
        <v>156</v>
      </c>
      <c r="W720" s="12" t="s">
        <v>92</v>
      </c>
      <c r="X720" s="12" t="s">
        <v>105</v>
      </c>
      <c r="Y720" s="13"/>
      <c r="Z720" s="75"/>
      <c r="AA720" s="24"/>
      <c r="AC720" s="24"/>
      <c r="AD720" s="24"/>
      <c r="AE720" s="24"/>
      <c r="AF720" s="24"/>
      <c r="AG720" s="24"/>
      <c r="AH720" s="24"/>
      <c r="AI720" s="24"/>
    </row>
    <row r="721" spans="1:35" hidden="1" x14ac:dyDescent="0.3">
      <c r="A721" s="12" t="s">
        <v>85</v>
      </c>
      <c r="B721" s="12">
        <v>56646</v>
      </c>
      <c r="C721" s="11" t="s">
        <v>152</v>
      </c>
      <c r="D721" s="12" t="s">
        <v>1</v>
      </c>
      <c r="E721" s="12" t="s">
        <v>1185</v>
      </c>
      <c r="F721" s="12" t="s">
        <v>113</v>
      </c>
      <c r="G721" s="12" t="s">
        <v>87</v>
      </c>
      <c r="H721" s="12" t="s">
        <v>153</v>
      </c>
      <c r="I721" s="12" t="s">
        <v>115</v>
      </c>
      <c r="J721" s="11" t="s">
        <v>872</v>
      </c>
      <c r="K721" s="11" t="s">
        <v>872</v>
      </c>
      <c r="L721" s="11" t="s">
        <v>1195</v>
      </c>
      <c r="M721" s="11" t="s">
        <v>824</v>
      </c>
      <c r="N721" s="59">
        <v>365.19</v>
      </c>
      <c r="O721" s="59"/>
      <c r="P721" s="12"/>
      <c r="Q721" s="12" t="s">
        <v>4</v>
      </c>
      <c r="R721" s="12" t="s">
        <v>21</v>
      </c>
      <c r="S721" s="12" t="s">
        <v>25</v>
      </c>
      <c r="T721" s="12">
        <v>1</v>
      </c>
      <c r="U721" s="13">
        <v>43902</v>
      </c>
      <c r="V721" s="12" t="s">
        <v>157</v>
      </c>
      <c r="W721" s="12" t="s">
        <v>92</v>
      </c>
      <c r="X721" s="12" t="s">
        <v>105</v>
      </c>
      <c r="Y721" s="13"/>
      <c r="Z721" s="75"/>
      <c r="AA721" s="24"/>
      <c r="AC721" s="24"/>
      <c r="AD721" s="24"/>
      <c r="AE721" s="24"/>
      <c r="AF721" s="24"/>
      <c r="AG721" s="24"/>
      <c r="AH721" s="24"/>
      <c r="AI721" s="24"/>
    </row>
    <row r="722" spans="1:35" hidden="1" x14ac:dyDescent="0.3">
      <c r="A722" s="12" t="s">
        <v>85</v>
      </c>
      <c r="B722" s="12">
        <v>56646</v>
      </c>
      <c r="C722" s="11" t="s">
        <v>152</v>
      </c>
      <c r="D722" s="12" t="s">
        <v>1</v>
      </c>
      <c r="E722" s="12" t="s">
        <v>1185</v>
      </c>
      <c r="F722" s="12" t="s">
        <v>113</v>
      </c>
      <c r="G722" s="12" t="s">
        <v>87</v>
      </c>
      <c r="H722" s="12" t="s">
        <v>153</v>
      </c>
      <c r="I722" s="12" t="s">
        <v>115</v>
      </c>
      <c r="J722" s="11" t="s">
        <v>872</v>
      </c>
      <c r="K722" s="11" t="s">
        <v>872</v>
      </c>
      <c r="L722" s="11" t="s">
        <v>1195</v>
      </c>
      <c r="M722" s="11" t="s">
        <v>824</v>
      </c>
      <c r="N722" s="59">
        <v>365.19</v>
      </c>
      <c r="O722" s="59"/>
      <c r="P722" s="12"/>
      <c r="Q722" s="12" t="s">
        <v>4</v>
      </c>
      <c r="R722" s="12" t="s">
        <v>21</v>
      </c>
      <c r="S722" s="12" t="s">
        <v>25</v>
      </c>
      <c r="T722" s="12">
        <v>1</v>
      </c>
      <c r="U722" s="13">
        <v>43992</v>
      </c>
      <c r="V722" s="12" t="s">
        <v>158</v>
      </c>
      <c r="W722" s="12" t="s">
        <v>92</v>
      </c>
      <c r="X722" s="12" t="s">
        <v>105</v>
      </c>
      <c r="Y722" s="13"/>
      <c r="Z722" s="75"/>
      <c r="AA722" s="24"/>
      <c r="AC722" s="24"/>
      <c r="AD722" s="24"/>
      <c r="AE722" s="24"/>
      <c r="AF722" s="24"/>
      <c r="AG722" s="24"/>
      <c r="AH722" s="24"/>
      <c r="AI722" s="24"/>
    </row>
    <row r="723" spans="1:35" hidden="1" x14ac:dyDescent="0.3">
      <c r="A723" s="12" t="s">
        <v>85</v>
      </c>
      <c r="B723" s="18">
        <v>56646</v>
      </c>
      <c r="C723" s="16" t="s">
        <v>152</v>
      </c>
      <c r="D723" s="12" t="s">
        <v>1</v>
      </c>
      <c r="E723" s="12" t="s">
        <v>1185</v>
      </c>
      <c r="F723" s="12" t="s">
        <v>113</v>
      </c>
      <c r="G723" s="12" t="s">
        <v>87</v>
      </c>
      <c r="H723" s="12" t="s">
        <v>153</v>
      </c>
      <c r="I723" s="12" t="s">
        <v>115</v>
      </c>
      <c r="J723" s="11" t="s">
        <v>872</v>
      </c>
      <c r="K723" s="11" t="s">
        <v>872</v>
      </c>
      <c r="L723" s="11" t="s">
        <v>1195</v>
      </c>
      <c r="M723" s="11" t="s">
        <v>824</v>
      </c>
      <c r="N723" s="59">
        <v>365.19</v>
      </c>
      <c r="O723" s="59"/>
      <c r="P723" s="12"/>
      <c r="Q723" s="12" t="s">
        <v>4</v>
      </c>
      <c r="R723" s="12" t="s">
        <v>21</v>
      </c>
      <c r="S723" s="12" t="s">
        <v>25</v>
      </c>
      <c r="T723" s="12">
        <v>1</v>
      </c>
      <c r="U723" s="13">
        <v>43997</v>
      </c>
      <c r="V723" s="12" t="s">
        <v>159</v>
      </c>
      <c r="W723" s="12" t="s">
        <v>92</v>
      </c>
      <c r="X723" s="12" t="s">
        <v>105</v>
      </c>
      <c r="Y723" s="17"/>
      <c r="Z723" s="75"/>
      <c r="AA723" s="24"/>
      <c r="AC723" s="24"/>
      <c r="AD723" s="24"/>
      <c r="AE723" s="24"/>
      <c r="AF723" s="24"/>
      <c r="AG723" s="24"/>
      <c r="AH723" s="24"/>
      <c r="AI723" s="24"/>
    </row>
    <row r="724" spans="1:35" hidden="1" x14ac:dyDescent="0.3">
      <c r="A724" s="12" t="s">
        <v>85</v>
      </c>
      <c r="B724" s="18">
        <v>56646</v>
      </c>
      <c r="C724" s="16" t="s">
        <v>152</v>
      </c>
      <c r="D724" s="18" t="s">
        <v>1</v>
      </c>
      <c r="E724" s="12" t="s">
        <v>1185</v>
      </c>
      <c r="F724" s="18" t="s">
        <v>113</v>
      </c>
      <c r="G724" s="12" t="s">
        <v>87</v>
      </c>
      <c r="H724" s="18" t="s">
        <v>153</v>
      </c>
      <c r="I724" s="18" t="s">
        <v>115</v>
      </c>
      <c r="J724" s="11" t="s">
        <v>872</v>
      </c>
      <c r="K724" s="16" t="s">
        <v>872</v>
      </c>
      <c r="L724" s="11" t="s">
        <v>1195</v>
      </c>
      <c r="M724" s="16" t="s">
        <v>824</v>
      </c>
      <c r="N724" s="59">
        <v>365.19</v>
      </c>
      <c r="O724" s="59"/>
      <c r="P724" s="18"/>
      <c r="Q724" s="18" t="s">
        <v>4</v>
      </c>
      <c r="R724" s="12" t="s">
        <v>21</v>
      </c>
      <c r="S724" s="12" t="s">
        <v>25</v>
      </c>
      <c r="T724" s="12">
        <v>1</v>
      </c>
      <c r="U724" s="13">
        <v>43999</v>
      </c>
      <c r="V724" s="18" t="s">
        <v>160</v>
      </c>
      <c r="W724" s="12" t="s">
        <v>92</v>
      </c>
      <c r="X724" s="12" t="s">
        <v>105</v>
      </c>
      <c r="Y724" s="17"/>
      <c r="Z724" s="75"/>
      <c r="AA724" s="24"/>
      <c r="AC724" s="24"/>
      <c r="AD724" s="24"/>
      <c r="AE724" s="24"/>
      <c r="AF724" s="24"/>
      <c r="AG724" s="24"/>
      <c r="AH724" s="24"/>
      <c r="AI724" s="24"/>
    </row>
    <row r="725" spans="1:35" hidden="1" x14ac:dyDescent="0.3">
      <c r="A725" s="12" t="s">
        <v>85</v>
      </c>
      <c r="B725" s="18">
        <v>56646</v>
      </c>
      <c r="C725" s="16" t="s">
        <v>152</v>
      </c>
      <c r="D725" s="18" t="s">
        <v>1</v>
      </c>
      <c r="E725" s="12" t="s">
        <v>1185</v>
      </c>
      <c r="F725" s="18" t="s">
        <v>113</v>
      </c>
      <c r="G725" s="12" t="s">
        <v>87</v>
      </c>
      <c r="H725" s="18" t="s">
        <v>153</v>
      </c>
      <c r="I725" s="18" t="s">
        <v>115</v>
      </c>
      <c r="J725" s="11" t="s">
        <v>872</v>
      </c>
      <c r="K725" s="16" t="s">
        <v>872</v>
      </c>
      <c r="L725" s="11" t="s">
        <v>1195</v>
      </c>
      <c r="M725" s="16" t="s">
        <v>824</v>
      </c>
      <c r="N725" s="59">
        <v>365.19</v>
      </c>
      <c r="O725" s="59"/>
      <c r="P725" s="18"/>
      <c r="Q725" s="18" t="s">
        <v>4</v>
      </c>
      <c r="R725" s="12" t="s">
        <v>21</v>
      </c>
      <c r="S725" s="12" t="s">
        <v>25</v>
      </c>
      <c r="T725" s="12">
        <v>1</v>
      </c>
      <c r="U725" s="13">
        <v>44014</v>
      </c>
      <c r="V725" s="18" t="s">
        <v>161</v>
      </c>
      <c r="W725" s="12" t="s">
        <v>92</v>
      </c>
      <c r="X725" s="34" t="s">
        <v>105</v>
      </c>
      <c r="Y725" s="17"/>
      <c r="Z725" s="75"/>
      <c r="AA725" s="24"/>
      <c r="AC725" s="24"/>
      <c r="AD725" s="24"/>
      <c r="AE725" s="24"/>
      <c r="AF725" s="24"/>
      <c r="AG725" s="24"/>
      <c r="AH725" s="24"/>
      <c r="AI725" s="24"/>
    </row>
    <row r="726" spans="1:35" hidden="1" x14ac:dyDescent="0.3">
      <c r="A726" s="12" t="s">
        <v>85</v>
      </c>
      <c r="B726" s="18">
        <v>56647</v>
      </c>
      <c r="C726" s="16" t="s">
        <v>152</v>
      </c>
      <c r="D726" s="18" t="s">
        <v>1</v>
      </c>
      <c r="E726" s="12" t="s">
        <v>1185</v>
      </c>
      <c r="F726" s="18" t="s">
        <v>113</v>
      </c>
      <c r="G726" s="12" t="s">
        <v>87</v>
      </c>
      <c r="H726" s="18" t="s">
        <v>153</v>
      </c>
      <c r="I726" s="18" t="s">
        <v>115</v>
      </c>
      <c r="J726" s="11" t="s">
        <v>872</v>
      </c>
      <c r="K726" s="16" t="s">
        <v>872</v>
      </c>
      <c r="L726" s="11" t="s">
        <v>1195</v>
      </c>
      <c r="M726" s="16" t="s">
        <v>824</v>
      </c>
      <c r="N726" s="63">
        <v>365.19</v>
      </c>
      <c r="O726" s="63"/>
      <c r="P726" s="18"/>
      <c r="Q726" s="12" t="s">
        <v>4</v>
      </c>
      <c r="R726" s="12" t="s">
        <v>15</v>
      </c>
      <c r="S726" s="12" t="s">
        <v>92</v>
      </c>
      <c r="T726" s="12">
        <v>1</v>
      </c>
      <c r="U726" s="13"/>
      <c r="V726" s="18" t="s">
        <v>873</v>
      </c>
      <c r="W726" s="18" t="s">
        <v>92</v>
      </c>
      <c r="X726" s="12" t="s">
        <v>93</v>
      </c>
      <c r="Y726" s="17">
        <v>43525</v>
      </c>
      <c r="Z726" s="75"/>
      <c r="AA726" s="24"/>
      <c r="AC726" s="24"/>
      <c r="AD726" s="24"/>
      <c r="AE726" s="24"/>
      <c r="AF726" s="24"/>
      <c r="AG726" s="24"/>
      <c r="AH726" s="24"/>
      <c r="AI726" s="24"/>
    </row>
    <row r="727" spans="1:35" hidden="1" x14ac:dyDescent="0.3">
      <c r="A727" s="12" t="s">
        <v>85</v>
      </c>
      <c r="B727" s="18">
        <v>56647</v>
      </c>
      <c r="C727" s="16" t="s">
        <v>152</v>
      </c>
      <c r="D727" s="18" t="s">
        <v>1</v>
      </c>
      <c r="E727" s="12" t="s">
        <v>1185</v>
      </c>
      <c r="F727" s="18" t="s">
        <v>113</v>
      </c>
      <c r="G727" s="12" t="s">
        <v>87</v>
      </c>
      <c r="H727" s="18" t="s">
        <v>153</v>
      </c>
      <c r="I727" s="18" t="s">
        <v>115</v>
      </c>
      <c r="J727" s="11" t="s">
        <v>872</v>
      </c>
      <c r="K727" s="16" t="s">
        <v>872</v>
      </c>
      <c r="L727" s="11" t="s">
        <v>1195</v>
      </c>
      <c r="M727" s="16" t="s">
        <v>824</v>
      </c>
      <c r="N727" s="63">
        <v>365.19</v>
      </c>
      <c r="O727" s="63"/>
      <c r="P727" s="18"/>
      <c r="Q727" s="18" t="s">
        <v>4</v>
      </c>
      <c r="R727" s="12" t="s">
        <v>21</v>
      </c>
      <c r="S727" s="12" t="s">
        <v>25</v>
      </c>
      <c r="T727" s="12">
        <v>1</v>
      </c>
      <c r="U727" s="13">
        <v>43895</v>
      </c>
      <c r="V727" s="18" t="s">
        <v>156</v>
      </c>
      <c r="W727" s="12" t="s">
        <v>92</v>
      </c>
      <c r="X727" s="12" t="s">
        <v>93</v>
      </c>
      <c r="Y727" s="17"/>
      <c r="Z727" s="75"/>
      <c r="AA727" s="24"/>
      <c r="AC727" s="24"/>
      <c r="AD727" s="24"/>
      <c r="AE727" s="24"/>
      <c r="AF727" s="24"/>
      <c r="AG727" s="24"/>
      <c r="AH727" s="24"/>
      <c r="AI727" s="24"/>
    </row>
    <row r="728" spans="1:35" hidden="1" x14ac:dyDescent="0.3">
      <c r="A728" s="12" t="s">
        <v>85</v>
      </c>
      <c r="B728" s="18">
        <v>56647</v>
      </c>
      <c r="C728" s="16" t="s">
        <v>152</v>
      </c>
      <c r="D728" s="18" t="s">
        <v>1</v>
      </c>
      <c r="E728" s="12" t="s">
        <v>1185</v>
      </c>
      <c r="F728" s="18" t="s">
        <v>113</v>
      </c>
      <c r="G728" s="12" t="s">
        <v>87</v>
      </c>
      <c r="H728" s="18" t="s">
        <v>153</v>
      </c>
      <c r="I728" s="18" t="s">
        <v>115</v>
      </c>
      <c r="J728" s="11" t="s">
        <v>872</v>
      </c>
      <c r="K728" s="16" t="s">
        <v>872</v>
      </c>
      <c r="L728" s="11" t="s">
        <v>1195</v>
      </c>
      <c r="M728" s="16" t="s">
        <v>824</v>
      </c>
      <c r="N728" s="63">
        <v>365.19</v>
      </c>
      <c r="O728" s="63"/>
      <c r="P728" s="18"/>
      <c r="Q728" s="18" t="s">
        <v>4</v>
      </c>
      <c r="R728" s="12" t="s">
        <v>21</v>
      </c>
      <c r="S728" s="12" t="s">
        <v>25</v>
      </c>
      <c r="T728" s="12">
        <v>1</v>
      </c>
      <c r="U728" s="13">
        <v>43902</v>
      </c>
      <c r="V728" s="18" t="s">
        <v>157</v>
      </c>
      <c r="W728" s="12" t="s">
        <v>92</v>
      </c>
      <c r="X728" s="12" t="s">
        <v>93</v>
      </c>
      <c r="Y728" s="17"/>
      <c r="Z728" s="75"/>
      <c r="AA728" s="24"/>
      <c r="AC728" s="24"/>
      <c r="AD728" s="24"/>
      <c r="AE728" s="24"/>
      <c r="AF728" s="24"/>
      <c r="AG728" s="24"/>
      <c r="AH728" s="24"/>
      <c r="AI728" s="24"/>
    </row>
    <row r="729" spans="1:35" hidden="1" x14ac:dyDescent="0.3">
      <c r="A729" s="12" t="s">
        <v>85</v>
      </c>
      <c r="B729" s="18">
        <v>56647</v>
      </c>
      <c r="C729" s="16" t="s">
        <v>152</v>
      </c>
      <c r="D729" s="18" t="s">
        <v>1</v>
      </c>
      <c r="E729" s="12" t="s">
        <v>1185</v>
      </c>
      <c r="F729" s="18" t="s">
        <v>113</v>
      </c>
      <c r="G729" s="12" t="s">
        <v>87</v>
      </c>
      <c r="H729" s="18" t="s">
        <v>153</v>
      </c>
      <c r="I729" s="18" t="s">
        <v>115</v>
      </c>
      <c r="J729" s="11" t="s">
        <v>872</v>
      </c>
      <c r="K729" s="16" t="s">
        <v>872</v>
      </c>
      <c r="L729" s="11" t="s">
        <v>1195</v>
      </c>
      <c r="M729" s="16" t="s">
        <v>824</v>
      </c>
      <c r="N729" s="63">
        <v>365.19</v>
      </c>
      <c r="O729" s="63"/>
      <c r="P729" s="18"/>
      <c r="Q729" s="18" t="s">
        <v>4</v>
      </c>
      <c r="R729" s="12" t="s">
        <v>21</v>
      </c>
      <c r="S729" s="12" t="s">
        <v>25</v>
      </c>
      <c r="T729" s="12">
        <v>1</v>
      </c>
      <c r="U729" s="13">
        <v>43992</v>
      </c>
      <c r="V729" s="18" t="s">
        <v>158</v>
      </c>
      <c r="W729" s="12" t="s">
        <v>92</v>
      </c>
      <c r="X729" s="12" t="s">
        <v>93</v>
      </c>
      <c r="Y729" s="17"/>
      <c r="Z729" s="75"/>
      <c r="AA729" s="24"/>
      <c r="AC729" s="24"/>
      <c r="AD729" s="24"/>
      <c r="AE729" s="24"/>
      <c r="AF729" s="24"/>
      <c r="AG729" s="24"/>
      <c r="AH729" s="24"/>
      <c r="AI729" s="24"/>
    </row>
    <row r="730" spans="1:35" hidden="1" x14ac:dyDescent="0.3">
      <c r="A730" s="12" t="s">
        <v>85</v>
      </c>
      <c r="B730" s="18">
        <v>56647</v>
      </c>
      <c r="C730" s="16" t="s">
        <v>152</v>
      </c>
      <c r="D730" s="18" t="s">
        <v>1</v>
      </c>
      <c r="E730" s="12" t="s">
        <v>1185</v>
      </c>
      <c r="F730" s="18" t="s">
        <v>113</v>
      </c>
      <c r="G730" s="12" t="s">
        <v>87</v>
      </c>
      <c r="H730" s="18" t="s">
        <v>153</v>
      </c>
      <c r="I730" s="18" t="s">
        <v>115</v>
      </c>
      <c r="J730" s="11" t="s">
        <v>872</v>
      </c>
      <c r="K730" s="16" t="s">
        <v>872</v>
      </c>
      <c r="L730" s="11" t="s">
        <v>1195</v>
      </c>
      <c r="M730" s="16" t="s">
        <v>824</v>
      </c>
      <c r="N730" s="63">
        <v>365.19</v>
      </c>
      <c r="O730" s="63"/>
      <c r="P730" s="18"/>
      <c r="Q730" s="18" t="s">
        <v>4</v>
      </c>
      <c r="R730" s="12" t="s">
        <v>21</v>
      </c>
      <c r="S730" s="12" t="s">
        <v>25</v>
      </c>
      <c r="T730" s="12">
        <v>1</v>
      </c>
      <c r="U730" s="13">
        <v>43997</v>
      </c>
      <c r="V730" s="18" t="s">
        <v>159</v>
      </c>
      <c r="W730" s="12" t="s">
        <v>92</v>
      </c>
      <c r="X730" s="12" t="s">
        <v>93</v>
      </c>
      <c r="Y730" s="17"/>
      <c r="Z730" s="75"/>
      <c r="AA730" s="24"/>
      <c r="AC730" s="24"/>
      <c r="AD730" s="24"/>
      <c r="AE730" s="24"/>
      <c r="AF730" s="24"/>
      <c r="AG730" s="24"/>
      <c r="AH730" s="24"/>
      <c r="AI730" s="24"/>
    </row>
    <row r="731" spans="1:35" hidden="1" x14ac:dyDescent="0.3">
      <c r="A731" s="12" t="s">
        <v>85</v>
      </c>
      <c r="B731" s="18">
        <v>56647</v>
      </c>
      <c r="C731" s="16" t="s">
        <v>152</v>
      </c>
      <c r="D731" s="18" t="s">
        <v>1</v>
      </c>
      <c r="E731" s="12" t="s">
        <v>1185</v>
      </c>
      <c r="F731" s="18" t="s">
        <v>113</v>
      </c>
      <c r="G731" s="12" t="s">
        <v>87</v>
      </c>
      <c r="H731" s="18" t="s">
        <v>153</v>
      </c>
      <c r="I731" s="18" t="s">
        <v>115</v>
      </c>
      <c r="J731" s="11" t="s">
        <v>872</v>
      </c>
      <c r="K731" s="16" t="s">
        <v>872</v>
      </c>
      <c r="L731" s="11" t="s">
        <v>1195</v>
      </c>
      <c r="M731" s="16" t="s">
        <v>824</v>
      </c>
      <c r="N731" s="63">
        <v>365.19</v>
      </c>
      <c r="O731" s="63"/>
      <c r="P731" s="18"/>
      <c r="Q731" s="18" t="s">
        <v>4</v>
      </c>
      <c r="R731" s="12" t="s">
        <v>21</v>
      </c>
      <c r="S731" s="12" t="s">
        <v>25</v>
      </c>
      <c r="T731" s="12">
        <v>1</v>
      </c>
      <c r="U731" s="13">
        <v>43999</v>
      </c>
      <c r="V731" s="12" t="s">
        <v>160</v>
      </c>
      <c r="W731" s="12" t="s">
        <v>92</v>
      </c>
      <c r="X731" s="12" t="s">
        <v>93</v>
      </c>
      <c r="Y731" s="17"/>
      <c r="Z731" s="75"/>
      <c r="AA731" s="24"/>
      <c r="AC731" s="24"/>
      <c r="AD731" s="24"/>
      <c r="AE731" s="24"/>
      <c r="AF731" s="24"/>
      <c r="AG731" s="24"/>
      <c r="AH731" s="24"/>
      <c r="AI731" s="24"/>
    </row>
    <row r="732" spans="1:35" hidden="1" x14ac:dyDescent="0.3">
      <c r="A732" s="12" t="s">
        <v>85</v>
      </c>
      <c r="B732" s="18">
        <v>56647</v>
      </c>
      <c r="C732" s="16" t="s">
        <v>152</v>
      </c>
      <c r="D732" s="18" t="s">
        <v>1</v>
      </c>
      <c r="E732" s="12" t="s">
        <v>1185</v>
      </c>
      <c r="F732" s="18" t="s">
        <v>113</v>
      </c>
      <c r="G732" s="12" t="s">
        <v>87</v>
      </c>
      <c r="H732" s="18" t="s">
        <v>153</v>
      </c>
      <c r="I732" s="18" t="s">
        <v>115</v>
      </c>
      <c r="J732" s="11" t="s">
        <v>872</v>
      </c>
      <c r="K732" s="16" t="s">
        <v>872</v>
      </c>
      <c r="L732" s="11" t="s">
        <v>1195</v>
      </c>
      <c r="M732" s="16" t="s">
        <v>824</v>
      </c>
      <c r="N732" s="63">
        <v>365.19</v>
      </c>
      <c r="O732" s="63"/>
      <c r="P732" s="18"/>
      <c r="Q732" s="18" t="s">
        <v>4</v>
      </c>
      <c r="R732" s="18" t="s">
        <v>21</v>
      </c>
      <c r="S732" s="18" t="s">
        <v>25</v>
      </c>
      <c r="T732" s="12">
        <v>1</v>
      </c>
      <c r="U732" s="13">
        <v>44014</v>
      </c>
      <c r="V732" s="18" t="s">
        <v>161</v>
      </c>
      <c r="W732" s="12" t="s">
        <v>92</v>
      </c>
      <c r="X732" s="12" t="s">
        <v>93</v>
      </c>
      <c r="Y732" s="17"/>
      <c r="Z732" s="75"/>
      <c r="AA732" s="24"/>
      <c r="AC732" s="24"/>
      <c r="AD732" s="24"/>
      <c r="AE732" s="24"/>
      <c r="AF732" s="24"/>
      <c r="AG732" s="24"/>
      <c r="AH732" s="24"/>
      <c r="AI732" s="24"/>
    </row>
    <row r="733" spans="1:35" hidden="1" x14ac:dyDescent="0.3">
      <c r="A733" s="12" t="s">
        <v>85</v>
      </c>
      <c r="B733" s="18">
        <v>56648</v>
      </c>
      <c r="C733" s="16" t="s">
        <v>152</v>
      </c>
      <c r="D733" s="18" t="s">
        <v>1</v>
      </c>
      <c r="E733" s="12" t="s">
        <v>1185</v>
      </c>
      <c r="F733" s="18" t="s">
        <v>113</v>
      </c>
      <c r="G733" s="12" t="s">
        <v>87</v>
      </c>
      <c r="H733" s="18" t="s">
        <v>153</v>
      </c>
      <c r="I733" s="18" t="s">
        <v>115</v>
      </c>
      <c r="J733" s="11" t="s">
        <v>872</v>
      </c>
      <c r="K733" s="16" t="s">
        <v>872</v>
      </c>
      <c r="L733" s="11" t="s">
        <v>1195</v>
      </c>
      <c r="M733" s="16" t="s">
        <v>824</v>
      </c>
      <c r="N733" s="63">
        <v>0</v>
      </c>
      <c r="O733" s="63">
        <v>365.19</v>
      </c>
      <c r="P733" s="18"/>
      <c r="Q733" s="12" t="s">
        <v>4</v>
      </c>
      <c r="R733" s="12" t="s">
        <v>15</v>
      </c>
      <c r="S733" s="12" t="s">
        <v>92</v>
      </c>
      <c r="T733" s="12">
        <v>1</v>
      </c>
      <c r="U733" s="13"/>
      <c r="V733" s="18" t="s">
        <v>873</v>
      </c>
      <c r="W733" s="18" t="s">
        <v>92</v>
      </c>
      <c r="X733" s="12" t="s">
        <v>93</v>
      </c>
      <c r="Y733" s="17">
        <v>43525</v>
      </c>
      <c r="Z733" s="75"/>
      <c r="AA733" s="24"/>
      <c r="AC733" s="24"/>
      <c r="AD733" s="24"/>
      <c r="AE733" s="24"/>
      <c r="AF733" s="24"/>
      <c r="AG733" s="24"/>
      <c r="AH733" s="24"/>
      <c r="AI733" s="24"/>
    </row>
    <row r="734" spans="1:35" hidden="1" x14ac:dyDescent="0.3">
      <c r="A734" s="12" t="s">
        <v>85</v>
      </c>
      <c r="B734" s="18">
        <v>56648</v>
      </c>
      <c r="C734" s="16" t="s">
        <v>152</v>
      </c>
      <c r="D734" s="18" t="s">
        <v>1</v>
      </c>
      <c r="E734" s="12" t="s">
        <v>1185</v>
      </c>
      <c r="F734" s="18" t="s">
        <v>113</v>
      </c>
      <c r="G734" s="12" t="s">
        <v>113</v>
      </c>
      <c r="H734" s="18" t="s">
        <v>153</v>
      </c>
      <c r="I734" s="18" t="s">
        <v>115</v>
      </c>
      <c r="J734" s="11" t="s">
        <v>872</v>
      </c>
      <c r="K734" s="16" t="s">
        <v>872</v>
      </c>
      <c r="L734" s="16" t="s">
        <v>1195</v>
      </c>
      <c r="M734" s="16" t="s">
        <v>824</v>
      </c>
      <c r="N734" s="63">
        <v>0</v>
      </c>
      <c r="O734" s="63">
        <v>365.19</v>
      </c>
      <c r="P734" s="18"/>
      <c r="Q734" s="18" t="s">
        <v>4</v>
      </c>
      <c r="R734" s="18" t="s">
        <v>21</v>
      </c>
      <c r="S734" s="18" t="s">
        <v>25</v>
      </c>
      <c r="T734" s="12">
        <v>1</v>
      </c>
      <c r="U734" s="13">
        <v>43895</v>
      </c>
      <c r="V734" s="18" t="s">
        <v>156</v>
      </c>
      <c r="W734" s="12" t="s">
        <v>92</v>
      </c>
      <c r="X734" s="12" t="s">
        <v>93</v>
      </c>
      <c r="Y734" s="17"/>
      <c r="Z734" s="75"/>
      <c r="AA734" s="24"/>
      <c r="AC734" s="24"/>
      <c r="AD734" s="24"/>
      <c r="AE734" s="24"/>
      <c r="AF734" s="24"/>
      <c r="AG734" s="24"/>
      <c r="AH734" s="24"/>
      <c r="AI734" s="24"/>
    </row>
    <row r="735" spans="1:35" hidden="1" x14ac:dyDescent="0.3">
      <c r="A735" s="12" t="s">
        <v>85</v>
      </c>
      <c r="B735" s="18">
        <v>56648</v>
      </c>
      <c r="C735" s="16" t="s">
        <v>152</v>
      </c>
      <c r="D735" s="18" t="s">
        <v>1</v>
      </c>
      <c r="E735" s="12" t="s">
        <v>1185</v>
      </c>
      <c r="F735" s="18" t="s">
        <v>113</v>
      </c>
      <c r="G735" s="12" t="s">
        <v>113</v>
      </c>
      <c r="H735" s="18" t="s">
        <v>153</v>
      </c>
      <c r="I735" s="18" t="s">
        <v>115</v>
      </c>
      <c r="J735" s="11" t="s">
        <v>872</v>
      </c>
      <c r="K735" s="16" t="s">
        <v>872</v>
      </c>
      <c r="L735" s="16" t="s">
        <v>1195</v>
      </c>
      <c r="M735" s="16" t="s">
        <v>824</v>
      </c>
      <c r="N735" s="63">
        <v>0</v>
      </c>
      <c r="O735" s="63">
        <v>365.19</v>
      </c>
      <c r="P735" s="18"/>
      <c r="Q735" s="18" t="s">
        <v>4</v>
      </c>
      <c r="R735" s="18" t="s">
        <v>21</v>
      </c>
      <c r="S735" s="18" t="s">
        <v>25</v>
      </c>
      <c r="T735" s="12">
        <v>1</v>
      </c>
      <c r="U735" s="13">
        <v>43902</v>
      </c>
      <c r="V735" s="18" t="s">
        <v>157</v>
      </c>
      <c r="W735" s="12" t="s">
        <v>92</v>
      </c>
      <c r="X735" s="12" t="s">
        <v>93</v>
      </c>
      <c r="Y735" s="17"/>
      <c r="Z735" s="75"/>
      <c r="AA735" s="24"/>
      <c r="AC735" s="24"/>
      <c r="AD735" s="24"/>
      <c r="AE735" s="24"/>
      <c r="AF735" s="24"/>
      <c r="AG735" s="24"/>
      <c r="AH735" s="24"/>
      <c r="AI735" s="24"/>
    </row>
    <row r="736" spans="1:35" hidden="1" x14ac:dyDescent="0.3">
      <c r="A736" s="12" t="s">
        <v>85</v>
      </c>
      <c r="B736" s="18">
        <v>56648</v>
      </c>
      <c r="C736" s="16" t="s">
        <v>152</v>
      </c>
      <c r="D736" s="18" t="s">
        <v>1</v>
      </c>
      <c r="E736" s="12" t="s">
        <v>1185</v>
      </c>
      <c r="F736" s="18" t="s">
        <v>113</v>
      </c>
      <c r="G736" s="12" t="s">
        <v>113</v>
      </c>
      <c r="H736" s="18" t="s">
        <v>153</v>
      </c>
      <c r="I736" s="18" t="s">
        <v>115</v>
      </c>
      <c r="J736" s="11" t="s">
        <v>872</v>
      </c>
      <c r="K736" s="16" t="s">
        <v>872</v>
      </c>
      <c r="L736" s="16" t="s">
        <v>1195</v>
      </c>
      <c r="M736" s="16" t="s">
        <v>824</v>
      </c>
      <c r="N736" s="63">
        <v>0</v>
      </c>
      <c r="O736" s="63">
        <v>365.19</v>
      </c>
      <c r="P736" s="18"/>
      <c r="Q736" s="18" t="s">
        <v>4</v>
      </c>
      <c r="R736" s="18" t="s">
        <v>21</v>
      </c>
      <c r="S736" s="18" t="s">
        <v>25</v>
      </c>
      <c r="T736" s="12">
        <v>1</v>
      </c>
      <c r="U736" s="13">
        <v>43992</v>
      </c>
      <c r="V736" s="18" t="s">
        <v>158</v>
      </c>
      <c r="W736" s="12" t="s">
        <v>92</v>
      </c>
      <c r="X736" s="12" t="s">
        <v>93</v>
      </c>
      <c r="Y736" s="17"/>
      <c r="Z736" s="75"/>
      <c r="AA736" s="24"/>
      <c r="AC736" s="24"/>
      <c r="AD736" s="24"/>
      <c r="AE736" s="24"/>
      <c r="AF736" s="24"/>
      <c r="AG736" s="24"/>
      <c r="AH736" s="24"/>
      <c r="AI736" s="24"/>
    </row>
    <row r="737" spans="1:35" hidden="1" x14ac:dyDescent="0.3">
      <c r="A737" s="12" t="s">
        <v>85</v>
      </c>
      <c r="B737" s="18">
        <v>56648</v>
      </c>
      <c r="C737" s="16" t="s">
        <v>152</v>
      </c>
      <c r="D737" s="18" t="s">
        <v>1</v>
      </c>
      <c r="E737" s="12" t="s">
        <v>1185</v>
      </c>
      <c r="F737" s="18" t="s">
        <v>113</v>
      </c>
      <c r="G737" s="12" t="s">
        <v>113</v>
      </c>
      <c r="H737" s="18" t="s">
        <v>153</v>
      </c>
      <c r="I737" s="18" t="s">
        <v>115</v>
      </c>
      <c r="J737" s="11" t="s">
        <v>872</v>
      </c>
      <c r="K737" s="16" t="s">
        <v>872</v>
      </c>
      <c r="L737" s="16" t="s">
        <v>1195</v>
      </c>
      <c r="M737" s="16" t="s">
        <v>824</v>
      </c>
      <c r="N737" s="63">
        <v>0</v>
      </c>
      <c r="O737" s="63">
        <v>365.19</v>
      </c>
      <c r="P737" s="18"/>
      <c r="Q737" s="18" t="s">
        <v>4</v>
      </c>
      <c r="R737" s="18" t="s">
        <v>21</v>
      </c>
      <c r="S737" s="18" t="s">
        <v>25</v>
      </c>
      <c r="T737" s="12">
        <v>1</v>
      </c>
      <c r="U737" s="13">
        <v>43997</v>
      </c>
      <c r="V737" s="18" t="s">
        <v>159</v>
      </c>
      <c r="W737" s="12" t="s">
        <v>92</v>
      </c>
      <c r="X737" s="12" t="s">
        <v>93</v>
      </c>
      <c r="Y737" s="17"/>
      <c r="Z737" s="75"/>
      <c r="AA737" s="24"/>
      <c r="AC737" s="24"/>
      <c r="AD737" s="24"/>
      <c r="AE737" s="24"/>
      <c r="AF737" s="24"/>
      <c r="AG737" s="24"/>
      <c r="AH737" s="24"/>
      <c r="AI737" s="24"/>
    </row>
    <row r="738" spans="1:35" hidden="1" x14ac:dyDescent="0.3">
      <c r="A738" s="12" t="s">
        <v>85</v>
      </c>
      <c r="B738" s="18">
        <v>56648</v>
      </c>
      <c r="C738" s="16" t="s">
        <v>152</v>
      </c>
      <c r="D738" s="18" t="s">
        <v>1</v>
      </c>
      <c r="E738" s="12" t="s">
        <v>1185</v>
      </c>
      <c r="F738" s="18" t="s">
        <v>113</v>
      </c>
      <c r="G738" s="12" t="s">
        <v>113</v>
      </c>
      <c r="H738" s="18" t="s">
        <v>153</v>
      </c>
      <c r="I738" s="18" t="s">
        <v>115</v>
      </c>
      <c r="J738" s="11" t="s">
        <v>872</v>
      </c>
      <c r="K738" s="16" t="s">
        <v>872</v>
      </c>
      <c r="L738" s="16" t="s">
        <v>1195</v>
      </c>
      <c r="M738" s="16" t="s">
        <v>824</v>
      </c>
      <c r="N738" s="63">
        <v>0</v>
      </c>
      <c r="O738" s="63">
        <v>365.19</v>
      </c>
      <c r="P738" s="18"/>
      <c r="Q738" s="18" t="s">
        <v>4</v>
      </c>
      <c r="R738" s="18" t="s">
        <v>21</v>
      </c>
      <c r="S738" s="18" t="s">
        <v>25</v>
      </c>
      <c r="T738" s="12">
        <v>1</v>
      </c>
      <c r="U738" s="13">
        <v>43999</v>
      </c>
      <c r="V738" s="18" t="s">
        <v>160</v>
      </c>
      <c r="W738" s="12" t="s">
        <v>92</v>
      </c>
      <c r="X738" s="12" t="s">
        <v>93</v>
      </c>
      <c r="Y738" s="17"/>
      <c r="Z738" s="75"/>
      <c r="AA738" s="24"/>
      <c r="AC738" s="24"/>
      <c r="AD738" s="24"/>
      <c r="AE738" s="24"/>
      <c r="AF738" s="24"/>
      <c r="AG738" s="24"/>
      <c r="AH738" s="24"/>
      <c r="AI738" s="24"/>
    </row>
    <row r="739" spans="1:35" hidden="1" x14ac:dyDescent="0.3">
      <c r="A739" s="12" t="s">
        <v>85</v>
      </c>
      <c r="B739" s="18">
        <v>56648</v>
      </c>
      <c r="C739" s="16" t="s">
        <v>152</v>
      </c>
      <c r="D739" s="18" t="s">
        <v>1</v>
      </c>
      <c r="E739" s="12" t="s">
        <v>1185</v>
      </c>
      <c r="F739" s="18" t="s">
        <v>113</v>
      </c>
      <c r="G739" s="12" t="s">
        <v>113</v>
      </c>
      <c r="H739" s="18" t="s">
        <v>153</v>
      </c>
      <c r="I739" s="18" t="s">
        <v>115</v>
      </c>
      <c r="J739" s="11" t="s">
        <v>872</v>
      </c>
      <c r="K739" s="16" t="s">
        <v>872</v>
      </c>
      <c r="L739" s="16" t="s">
        <v>1195</v>
      </c>
      <c r="M739" s="16" t="s">
        <v>824</v>
      </c>
      <c r="N739" s="63">
        <v>0</v>
      </c>
      <c r="O739" s="63">
        <v>365.19</v>
      </c>
      <c r="P739" s="18"/>
      <c r="Q739" s="18" t="s">
        <v>4</v>
      </c>
      <c r="R739" s="18" t="s">
        <v>21</v>
      </c>
      <c r="S739" s="18" t="s">
        <v>25</v>
      </c>
      <c r="T739" s="12">
        <v>1</v>
      </c>
      <c r="U739" s="13">
        <v>44014</v>
      </c>
      <c r="V739" s="18" t="s">
        <v>161</v>
      </c>
      <c r="W739" s="12" t="s">
        <v>92</v>
      </c>
      <c r="X739" s="12" t="s">
        <v>93</v>
      </c>
      <c r="Y739" s="17"/>
      <c r="Z739" s="75"/>
      <c r="AA739" s="24"/>
      <c r="AC739" s="24"/>
      <c r="AD739" s="24"/>
      <c r="AE739" s="24"/>
      <c r="AF739" s="24"/>
      <c r="AG739" s="24"/>
      <c r="AH739" s="24"/>
      <c r="AI739" s="24"/>
    </row>
    <row r="740" spans="1:35" hidden="1" x14ac:dyDescent="0.3">
      <c r="A740" s="12" t="s">
        <v>85</v>
      </c>
      <c r="B740" s="18">
        <v>56649</v>
      </c>
      <c r="C740" s="16" t="s">
        <v>152</v>
      </c>
      <c r="D740" s="18" t="s">
        <v>1</v>
      </c>
      <c r="E740" s="12" t="s">
        <v>1185</v>
      </c>
      <c r="F740" s="18" t="s">
        <v>113</v>
      </c>
      <c r="G740" s="12" t="s">
        <v>113</v>
      </c>
      <c r="H740" s="18" t="s">
        <v>153</v>
      </c>
      <c r="I740" s="18" t="s">
        <v>115</v>
      </c>
      <c r="J740" s="11" t="s">
        <v>872</v>
      </c>
      <c r="K740" s="16" t="s">
        <v>872</v>
      </c>
      <c r="L740" s="16" t="s">
        <v>1195</v>
      </c>
      <c r="M740" s="16" t="s">
        <v>824</v>
      </c>
      <c r="N740" s="64">
        <v>432.41</v>
      </c>
      <c r="O740" s="64"/>
      <c r="P740" s="18"/>
      <c r="Q740" s="12" t="s">
        <v>4</v>
      </c>
      <c r="R740" s="12" t="s">
        <v>15</v>
      </c>
      <c r="S740" s="12" t="s">
        <v>92</v>
      </c>
      <c r="T740" s="12">
        <v>0</v>
      </c>
      <c r="U740" s="13"/>
      <c r="V740" s="18" t="s">
        <v>92</v>
      </c>
      <c r="W740" s="18" t="s">
        <v>92</v>
      </c>
      <c r="X740" s="12" t="s">
        <v>93</v>
      </c>
      <c r="Y740" s="17">
        <v>43525</v>
      </c>
      <c r="Z740" s="75"/>
      <c r="AA740" s="24"/>
      <c r="AC740" s="24"/>
      <c r="AD740" s="24"/>
      <c r="AE740" s="24"/>
      <c r="AF740" s="24"/>
      <c r="AG740" s="24"/>
      <c r="AH740" s="24"/>
      <c r="AI740" s="24"/>
    </row>
    <row r="741" spans="1:35" hidden="1" x14ac:dyDescent="0.3">
      <c r="A741" s="12" t="s">
        <v>85</v>
      </c>
      <c r="B741" s="18">
        <v>56649</v>
      </c>
      <c r="C741" s="16" t="s">
        <v>152</v>
      </c>
      <c r="D741" s="18" t="s">
        <v>1</v>
      </c>
      <c r="E741" s="12" t="s">
        <v>1185</v>
      </c>
      <c r="F741" s="18" t="s">
        <v>113</v>
      </c>
      <c r="G741" s="12" t="s">
        <v>113</v>
      </c>
      <c r="H741" s="18" t="s">
        <v>153</v>
      </c>
      <c r="I741" s="18" t="s">
        <v>115</v>
      </c>
      <c r="J741" s="11" t="s">
        <v>872</v>
      </c>
      <c r="K741" s="16" t="s">
        <v>872</v>
      </c>
      <c r="L741" s="16" t="s">
        <v>1195</v>
      </c>
      <c r="M741" s="16" t="s">
        <v>824</v>
      </c>
      <c r="N741" s="64">
        <v>432.41</v>
      </c>
      <c r="O741" s="64"/>
      <c r="P741" s="18"/>
      <c r="Q741" s="18" t="s">
        <v>4</v>
      </c>
      <c r="R741" s="18" t="s">
        <v>21</v>
      </c>
      <c r="S741" s="12" t="s">
        <v>25</v>
      </c>
      <c r="T741" s="12">
        <v>1</v>
      </c>
      <c r="U741" s="13">
        <v>43895</v>
      </c>
      <c r="V741" s="18" t="s">
        <v>156</v>
      </c>
      <c r="W741" s="12" t="s">
        <v>92</v>
      </c>
      <c r="X741" s="12" t="s">
        <v>93</v>
      </c>
      <c r="Y741" s="17"/>
      <c r="Z741" s="75"/>
      <c r="AA741" s="24"/>
      <c r="AC741" s="24"/>
      <c r="AD741" s="24"/>
      <c r="AE741" s="24"/>
      <c r="AF741" s="24"/>
      <c r="AG741" s="24"/>
      <c r="AH741" s="24"/>
      <c r="AI741" s="24"/>
    </row>
    <row r="742" spans="1:35" hidden="1" x14ac:dyDescent="0.3">
      <c r="A742" s="12" t="s">
        <v>85</v>
      </c>
      <c r="B742" s="18">
        <v>56649</v>
      </c>
      <c r="C742" s="16" t="s">
        <v>152</v>
      </c>
      <c r="D742" s="18" t="s">
        <v>1</v>
      </c>
      <c r="E742" s="12" t="s">
        <v>1185</v>
      </c>
      <c r="F742" s="18" t="s">
        <v>113</v>
      </c>
      <c r="G742" s="12" t="s">
        <v>113</v>
      </c>
      <c r="H742" s="18" t="s">
        <v>153</v>
      </c>
      <c r="I742" s="18" t="s">
        <v>115</v>
      </c>
      <c r="J742" s="11" t="s">
        <v>872</v>
      </c>
      <c r="K742" s="16" t="s">
        <v>872</v>
      </c>
      <c r="L742" s="16" t="s">
        <v>1195</v>
      </c>
      <c r="M742" s="16" t="s">
        <v>824</v>
      </c>
      <c r="N742" s="64">
        <v>432.41</v>
      </c>
      <c r="O742" s="64"/>
      <c r="P742" s="18"/>
      <c r="Q742" s="18" t="s">
        <v>4</v>
      </c>
      <c r="R742" s="18" t="s">
        <v>21</v>
      </c>
      <c r="S742" s="12" t="s">
        <v>25</v>
      </c>
      <c r="T742" s="12">
        <v>1</v>
      </c>
      <c r="U742" s="13">
        <v>43902</v>
      </c>
      <c r="V742" s="18" t="s">
        <v>157</v>
      </c>
      <c r="W742" s="12" t="s">
        <v>92</v>
      </c>
      <c r="X742" s="12" t="s">
        <v>93</v>
      </c>
      <c r="Y742" s="17"/>
      <c r="Z742" s="75"/>
      <c r="AA742" s="24"/>
      <c r="AC742" s="24"/>
      <c r="AD742" s="24"/>
      <c r="AE742" s="24"/>
      <c r="AF742" s="24"/>
      <c r="AG742" s="24"/>
      <c r="AH742" s="24"/>
      <c r="AI742" s="24"/>
    </row>
    <row r="743" spans="1:35" hidden="1" x14ac:dyDescent="0.3">
      <c r="A743" s="12" t="s">
        <v>85</v>
      </c>
      <c r="B743" s="18">
        <v>56649</v>
      </c>
      <c r="C743" s="16" t="s">
        <v>152</v>
      </c>
      <c r="D743" s="18" t="s">
        <v>1</v>
      </c>
      <c r="E743" s="12" t="s">
        <v>1185</v>
      </c>
      <c r="F743" s="18" t="s">
        <v>113</v>
      </c>
      <c r="G743" s="12" t="s">
        <v>113</v>
      </c>
      <c r="H743" s="18" t="s">
        <v>153</v>
      </c>
      <c r="I743" s="18" t="s">
        <v>115</v>
      </c>
      <c r="J743" s="11" t="s">
        <v>872</v>
      </c>
      <c r="K743" s="16" t="s">
        <v>872</v>
      </c>
      <c r="L743" s="16" t="s">
        <v>1195</v>
      </c>
      <c r="M743" s="16" t="s">
        <v>824</v>
      </c>
      <c r="N743" s="64">
        <v>432.41</v>
      </c>
      <c r="O743" s="64"/>
      <c r="P743" s="18"/>
      <c r="Q743" s="18" t="s">
        <v>4</v>
      </c>
      <c r="R743" s="18" t="s">
        <v>21</v>
      </c>
      <c r="S743" s="12" t="s">
        <v>25</v>
      </c>
      <c r="T743" s="12">
        <v>1</v>
      </c>
      <c r="U743" s="13">
        <v>43992</v>
      </c>
      <c r="V743" s="18" t="s">
        <v>158</v>
      </c>
      <c r="W743" s="12" t="s">
        <v>92</v>
      </c>
      <c r="X743" s="12" t="s">
        <v>93</v>
      </c>
      <c r="Y743" s="17"/>
      <c r="Z743" s="75"/>
      <c r="AA743" s="24"/>
      <c r="AC743" s="24"/>
      <c r="AD743" s="24"/>
      <c r="AE743" s="24"/>
      <c r="AF743" s="24"/>
      <c r="AG743" s="24"/>
      <c r="AH743" s="24"/>
      <c r="AI743" s="24"/>
    </row>
    <row r="744" spans="1:35" hidden="1" x14ac:dyDescent="0.3">
      <c r="A744" s="12" t="s">
        <v>85</v>
      </c>
      <c r="B744" s="18">
        <v>56649</v>
      </c>
      <c r="C744" s="16" t="s">
        <v>152</v>
      </c>
      <c r="D744" s="18" t="s">
        <v>1</v>
      </c>
      <c r="E744" s="12" t="s">
        <v>1185</v>
      </c>
      <c r="F744" s="18" t="s">
        <v>113</v>
      </c>
      <c r="G744" s="12" t="s">
        <v>113</v>
      </c>
      <c r="H744" s="18" t="s">
        <v>153</v>
      </c>
      <c r="I744" s="18" t="s">
        <v>115</v>
      </c>
      <c r="J744" s="11" t="s">
        <v>872</v>
      </c>
      <c r="K744" s="16" t="s">
        <v>872</v>
      </c>
      <c r="L744" s="16" t="s">
        <v>1195</v>
      </c>
      <c r="M744" s="16" t="s">
        <v>824</v>
      </c>
      <c r="N744" s="64">
        <v>432.41</v>
      </c>
      <c r="O744" s="64"/>
      <c r="P744" s="18"/>
      <c r="Q744" s="18" t="s">
        <v>4</v>
      </c>
      <c r="R744" s="18" t="s">
        <v>21</v>
      </c>
      <c r="S744" s="12" t="s">
        <v>25</v>
      </c>
      <c r="T744" s="12">
        <v>1</v>
      </c>
      <c r="U744" s="13">
        <v>43997</v>
      </c>
      <c r="V744" s="18" t="s">
        <v>159</v>
      </c>
      <c r="W744" s="12" t="s">
        <v>92</v>
      </c>
      <c r="X744" s="12" t="s">
        <v>93</v>
      </c>
      <c r="Y744" s="17"/>
      <c r="Z744" s="75"/>
      <c r="AA744" s="24"/>
      <c r="AC744" s="24"/>
      <c r="AD744" s="24"/>
      <c r="AE744" s="24"/>
      <c r="AF744" s="24"/>
      <c r="AG744" s="24"/>
      <c r="AH744" s="24"/>
      <c r="AI744" s="24"/>
    </row>
    <row r="745" spans="1:35" hidden="1" x14ac:dyDescent="0.3">
      <c r="A745" s="12" t="s">
        <v>85</v>
      </c>
      <c r="B745" s="18">
        <v>56649</v>
      </c>
      <c r="C745" s="16" t="s">
        <v>152</v>
      </c>
      <c r="D745" s="18" t="s">
        <v>1</v>
      </c>
      <c r="E745" s="12" t="s">
        <v>1185</v>
      </c>
      <c r="F745" s="18" t="s">
        <v>113</v>
      </c>
      <c r="G745" s="12" t="s">
        <v>113</v>
      </c>
      <c r="H745" s="18" t="s">
        <v>153</v>
      </c>
      <c r="I745" s="18" t="s">
        <v>115</v>
      </c>
      <c r="J745" s="11" t="s">
        <v>872</v>
      </c>
      <c r="K745" s="16" t="s">
        <v>872</v>
      </c>
      <c r="L745" s="16" t="s">
        <v>1195</v>
      </c>
      <c r="M745" s="16" t="s">
        <v>824</v>
      </c>
      <c r="N745" s="64">
        <v>432.41</v>
      </c>
      <c r="O745" s="64"/>
      <c r="P745" s="18"/>
      <c r="Q745" s="18" t="s">
        <v>4</v>
      </c>
      <c r="R745" s="18" t="s">
        <v>21</v>
      </c>
      <c r="S745" s="18" t="s">
        <v>25</v>
      </c>
      <c r="T745" s="12">
        <v>1</v>
      </c>
      <c r="U745" s="13">
        <v>43999</v>
      </c>
      <c r="V745" s="18" t="s">
        <v>160</v>
      </c>
      <c r="W745" s="12" t="s">
        <v>92</v>
      </c>
      <c r="X745" s="12" t="s">
        <v>93</v>
      </c>
      <c r="Y745" s="17"/>
      <c r="Z745" s="75"/>
      <c r="AA745" s="24"/>
      <c r="AC745" s="24"/>
      <c r="AD745" s="24"/>
      <c r="AE745" s="24"/>
      <c r="AF745" s="24"/>
      <c r="AG745" s="24"/>
      <c r="AH745" s="24"/>
      <c r="AI745" s="24"/>
    </row>
    <row r="746" spans="1:35" hidden="1" x14ac:dyDescent="0.3">
      <c r="A746" s="12" t="s">
        <v>85</v>
      </c>
      <c r="B746" s="18">
        <v>56649</v>
      </c>
      <c r="C746" s="16" t="s">
        <v>152</v>
      </c>
      <c r="D746" s="18" t="s">
        <v>1</v>
      </c>
      <c r="E746" s="12" t="s">
        <v>1185</v>
      </c>
      <c r="F746" s="18" t="s">
        <v>113</v>
      </c>
      <c r="G746" s="12" t="s">
        <v>113</v>
      </c>
      <c r="H746" s="18" t="s">
        <v>153</v>
      </c>
      <c r="I746" s="18" t="s">
        <v>115</v>
      </c>
      <c r="J746" s="11" t="s">
        <v>872</v>
      </c>
      <c r="K746" s="16" t="s">
        <v>872</v>
      </c>
      <c r="L746" s="16" t="s">
        <v>1195</v>
      </c>
      <c r="M746" s="16" t="s">
        <v>824</v>
      </c>
      <c r="N746" s="64">
        <v>432.41</v>
      </c>
      <c r="O746" s="64"/>
      <c r="P746" s="18"/>
      <c r="Q746" s="18" t="s">
        <v>4</v>
      </c>
      <c r="R746" s="18" t="s">
        <v>21</v>
      </c>
      <c r="S746" s="12" t="s">
        <v>25</v>
      </c>
      <c r="T746" s="12">
        <v>1</v>
      </c>
      <c r="U746" s="13">
        <v>44014</v>
      </c>
      <c r="V746" s="18" t="s">
        <v>161</v>
      </c>
      <c r="W746" s="12" t="s">
        <v>92</v>
      </c>
      <c r="X746" s="12" t="s">
        <v>93</v>
      </c>
      <c r="Y746" s="17"/>
      <c r="Z746" s="75"/>
      <c r="AA746" s="24"/>
      <c r="AC746" s="24"/>
      <c r="AD746" s="24"/>
      <c r="AE746" s="24"/>
      <c r="AF746" s="24"/>
      <c r="AG746" s="24"/>
      <c r="AH746" s="24"/>
      <c r="AI746" s="24"/>
    </row>
    <row r="747" spans="1:35" hidden="1" x14ac:dyDescent="0.3">
      <c r="A747" s="12" t="s">
        <v>85</v>
      </c>
      <c r="B747" s="18">
        <v>56650</v>
      </c>
      <c r="C747" s="16" t="s">
        <v>152</v>
      </c>
      <c r="D747" s="18" t="s">
        <v>1</v>
      </c>
      <c r="E747" s="12" t="s">
        <v>1185</v>
      </c>
      <c r="F747" s="18" t="s">
        <v>113</v>
      </c>
      <c r="G747" s="12" t="s">
        <v>113</v>
      </c>
      <c r="H747" s="18" t="s">
        <v>153</v>
      </c>
      <c r="I747" s="18" t="s">
        <v>115</v>
      </c>
      <c r="J747" s="16" t="s">
        <v>870</v>
      </c>
      <c r="K747" s="16" t="s">
        <v>870</v>
      </c>
      <c r="L747" s="11" t="s">
        <v>1195</v>
      </c>
      <c r="M747" s="16" t="s">
        <v>874</v>
      </c>
      <c r="N747" s="63">
        <v>465.65</v>
      </c>
      <c r="O747" s="63"/>
      <c r="P747" s="18"/>
      <c r="Q747" s="18" t="s">
        <v>4</v>
      </c>
      <c r="R747" s="12" t="s">
        <v>15</v>
      </c>
      <c r="S747" s="12" t="s">
        <v>92</v>
      </c>
      <c r="T747" s="12">
        <v>0</v>
      </c>
      <c r="U747" s="13"/>
      <c r="V747" s="18" t="s">
        <v>92</v>
      </c>
      <c r="W747" s="18" t="s">
        <v>92</v>
      </c>
      <c r="X747" s="12" t="s">
        <v>93</v>
      </c>
      <c r="Y747" s="17">
        <v>43525</v>
      </c>
      <c r="Z747" s="75"/>
      <c r="AA747" s="24"/>
      <c r="AC747" s="24"/>
      <c r="AD747" s="24"/>
      <c r="AE747" s="24"/>
      <c r="AF747" s="24"/>
      <c r="AG747" s="24"/>
      <c r="AH747" s="24"/>
      <c r="AI747" s="24"/>
    </row>
    <row r="748" spans="1:35" hidden="1" x14ac:dyDescent="0.3">
      <c r="A748" s="12" t="s">
        <v>85</v>
      </c>
      <c r="B748" s="18">
        <v>56650</v>
      </c>
      <c r="C748" s="16" t="s">
        <v>152</v>
      </c>
      <c r="D748" s="18" t="s">
        <v>1</v>
      </c>
      <c r="E748" s="12" t="s">
        <v>1185</v>
      </c>
      <c r="F748" s="18" t="s">
        <v>113</v>
      </c>
      <c r="G748" s="12" t="s">
        <v>113</v>
      </c>
      <c r="H748" s="18" t="s">
        <v>153</v>
      </c>
      <c r="I748" s="18" t="s">
        <v>115</v>
      </c>
      <c r="J748" s="16" t="s">
        <v>870</v>
      </c>
      <c r="K748" s="16" t="s">
        <v>870</v>
      </c>
      <c r="L748" s="11" t="s">
        <v>1195</v>
      </c>
      <c r="M748" s="16" t="s">
        <v>874</v>
      </c>
      <c r="N748" s="63">
        <v>465.65</v>
      </c>
      <c r="O748" s="63"/>
      <c r="P748" s="18"/>
      <c r="Q748" s="18" t="s">
        <v>4</v>
      </c>
      <c r="R748" s="18" t="s">
        <v>21</v>
      </c>
      <c r="S748" s="12" t="s">
        <v>25</v>
      </c>
      <c r="T748" s="12">
        <v>1</v>
      </c>
      <c r="U748" s="13">
        <v>43895</v>
      </c>
      <c r="V748" s="18" t="s">
        <v>156</v>
      </c>
      <c r="W748" s="12" t="s">
        <v>92</v>
      </c>
      <c r="X748" s="12" t="s">
        <v>93</v>
      </c>
      <c r="Y748" s="17"/>
      <c r="Z748" s="75"/>
      <c r="AA748" s="24"/>
      <c r="AC748" s="24"/>
      <c r="AD748" s="24"/>
      <c r="AE748" s="24"/>
      <c r="AF748" s="24"/>
      <c r="AG748" s="24"/>
      <c r="AH748" s="24"/>
      <c r="AI748" s="24"/>
    </row>
    <row r="749" spans="1:35" hidden="1" x14ac:dyDescent="0.3">
      <c r="A749" s="12" t="s">
        <v>85</v>
      </c>
      <c r="B749" s="18">
        <v>56650</v>
      </c>
      <c r="C749" s="16" t="s">
        <v>152</v>
      </c>
      <c r="D749" s="18" t="s">
        <v>1</v>
      </c>
      <c r="E749" s="12" t="s">
        <v>1185</v>
      </c>
      <c r="F749" s="18" t="s">
        <v>113</v>
      </c>
      <c r="G749" s="12" t="s">
        <v>113</v>
      </c>
      <c r="H749" s="18" t="s">
        <v>153</v>
      </c>
      <c r="I749" s="18" t="s">
        <v>115</v>
      </c>
      <c r="J749" s="16" t="s">
        <v>870</v>
      </c>
      <c r="K749" s="16" t="s">
        <v>870</v>
      </c>
      <c r="L749" s="11" t="s">
        <v>1195</v>
      </c>
      <c r="M749" s="16" t="s">
        <v>874</v>
      </c>
      <c r="N749" s="63">
        <v>465.65</v>
      </c>
      <c r="O749" s="63"/>
      <c r="P749" s="18"/>
      <c r="Q749" s="18" t="s">
        <v>4</v>
      </c>
      <c r="R749" s="18" t="s">
        <v>21</v>
      </c>
      <c r="S749" s="12" t="s">
        <v>25</v>
      </c>
      <c r="T749" s="12">
        <v>1</v>
      </c>
      <c r="U749" s="13">
        <v>43902</v>
      </c>
      <c r="V749" s="18" t="s">
        <v>157</v>
      </c>
      <c r="W749" s="12" t="s">
        <v>92</v>
      </c>
      <c r="X749" s="12" t="s">
        <v>93</v>
      </c>
      <c r="Y749" s="17"/>
      <c r="Z749" s="75"/>
      <c r="AA749" s="24"/>
      <c r="AC749" s="24"/>
      <c r="AD749" s="24"/>
      <c r="AE749" s="24"/>
      <c r="AF749" s="24"/>
      <c r="AG749" s="24"/>
      <c r="AH749" s="24"/>
      <c r="AI749" s="24"/>
    </row>
    <row r="750" spans="1:35" hidden="1" x14ac:dyDescent="0.3">
      <c r="A750" s="12" t="s">
        <v>85</v>
      </c>
      <c r="B750" s="18">
        <v>56650</v>
      </c>
      <c r="C750" s="16" t="s">
        <v>152</v>
      </c>
      <c r="D750" s="18" t="s">
        <v>1</v>
      </c>
      <c r="E750" s="12" t="s">
        <v>1185</v>
      </c>
      <c r="F750" s="18" t="s">
        <v>113</v>
      </c>
      <c r="G750" s="12" t="s">
        <v>113</v>
      </c>
      <c r="H750" s="18" t="s">
        <v>153</v>
      </c>
      <c r="I750" s="18" t="s">
        <v>115</v>
      </c>
      <c r="J750" s="16" t="s">
        <v>870</v>
      </c>
      <c r="K750" s="16" t="s">
        <v>870</v>
      </c>
      <c r="L750" s="11" t="s">
        <v>1195</v>
      </c>
      <c r="M750" s="16" t="s">
        <v>874</v>
      </c>
      <c r="N750" s="63">
        <v>465.65</v>
      </c>
      <c r="O750" s="63"/>
      <c r="P750" s="18"/>
      <c r="Q750" s="18" t="s">
        <v>4</v>
      </c>
      <c r="R750" s="18" t="s">
        <v>21</v>
      </c>
      <c r="S750" s="12" t="s">
        <v>25</v>
      </c>
      <c r="T750" s="12">
        <v>1</v>
      </c>
      <c r="U750" s="13">
        <v>43992</v>
      </c>
      <c r="V750" s="18" t="s">
        <v>158</v>
      </c>
      <c r="W750" s="12" t="s">
        <v>92</v>
      </c>
      <c r="X750" s="12" t="s">
        <v>93</v>
      </c>
      <c r="Y750" s="17"/>
      <c r="Z750" s="75"/>
      <c r="AA750" s="24"/>
      <c r="AC750" s="24"/>
      <c r="AD750" s="24"/>
      <c r="AE750" s="24"/>
      <c r="AF750" s="24"/>
      <c r="AG750" s="24"/>
      <c r="AH750" s="24"/>
      <c r="AI750" s="24"/>
    </row>
    <row r="751" spans="1:35" hidden="1" x14ac:dyDescent="0.3">
      <c r="A751" s="12" t="s">
        <v>85</v>
      </c>
      <c r="B751" s="18">
        <v>56650</v>
      </c>
      <c r="C751" s="16" t="s">
        <v>152</v>
      </c>
      <c r="D751" s="18" t="s">
        <v>1</v>
      </c>
      <c r="E751" s="12" t="s">
        <v>1185</v>
      </c>
      <c r="F751" s="18" t="s">
        <v>113</v>
      </c>
      <c r="G751" s="12" t="s">
        <v>113</v>
      </c>
      <c r="H751" s="18" t="s">
        <v>153</v>
      </c>
      <c r="I751" s="18" t="s">
        <v>115</v>
      </c>
      <c r="J751" s="16" t="s">
        <v>870</v>
      </c>
      <c r="K751" s="16" t="s">
        <v>870</v>
      </c>
      <c r="L751" s="11" t="s">
        <v>1195</v>
      </c>
      <c r="M751" s="16" t="s">
        <v>874</v>
      </c>
      <c r="N751" s="63">
        <v>465.65</v>
      </c>
      <c r="O751" s="63"/>
      <c r="P751" s="18"/>
      <c r="Q751" s="18" t="s">
        <v>4</v>
      </c>
      <c r="R751" s="18" t="s">
        <v>21</v>
      </c>
      <c r="S751" s="18" t="s">
        <v>25</v>
      </c>
      <c r="T751" s="12">
        <v>1</v>
      </c>
      <c r="U751" s="13">
        <v>43997</v>
      </c>
      <c r="V751" s="18" t="s">
        <v>159</v>
      </c>
      <c r="W751" s="12" t="s">
        <v>92</v>
      </c>
      <c r="X751" s="12" t="s">
        <v>93</v>
      </c>
      <c r="Y751" s="17"/>
      <c r="Z751" s="75"/>
      <c r="AA751" s="24"/>
      <c r="AC751" s="24"/>
      <c r="AD751" s="24"/>
      <c r="AE751" s="24"/>
      <c r="AF751" s="24"/>
      <c r="AG751" s="24"/>
      <c r="AH751" s="24"/>
      <c r="AI751" s="24"/>
    </row>
    <row r="752" spans="1:35" hidden="1" x14ac:dyDescent="0.3">
      <c r="A752" s="12" t="s">
        <v>85</v>
      </c>
      <c r="B752" s="18">
        <v>56650</v>
      </c>
      <c r="C752" s="16" t="s">
        <v>152</v>
      </c>
      <c r="D752" s="18" t="s">
        <v>1</v>
      </c>
      <c r="E752" s="12" t="s">
        <v>1185</v>
      </c>
      <c r="F752" s="18" t="s">
        <v>113</v>
      </c>
      <c r="G752" s="12" t="s">
        <v>113</v>
      </c>
      <c r="H752" s="18" t="s">
        <v>153</v>
      </c>
      <c r="I752" s="18" t="s">
        <v>115</v>
      </c>
      <c r="J752" s="16" t="s">
        <v>870</v>
      </c>
      <c r="K752" s="16" t="s">
        <v>870</v>
      </c>
      <c r="L752" s="11" t="s">
        <v>1195</v>
      </c>
      <c r="M752" s="16" t="s">
        <v>874</v>
      </c>
      <c r="N752" s="63">
        <v>465.65</v>
      </c>
      <c r="O752" s="63"/>
      <c r="P752" s="18"/>
      <c r="Q752" s="18" t="s">
        <v>4</v>
      </c>
      <c r="R752" s="18" t="s">
        <v>21</v>
      </c>
      <c r="S752" s="18" t="s">
        <v>25</v>
      </c>
      <c r="T752" s="12">
        <v>1</v>
      </c>
      <c r="U752" s="13">
        <v>43999</v>
      </c>
      <c r="V752" s="12" t="s">
        <v>160</v>
      </c>
      <c r="W752" s="12" t="s">
        <v>92</v>
      </c>
      <c r="X752" s="12" t="s">
        <v>93</v>
      </c>
      <c r="Y752" s="17"/>
      <c r="Z752" s="75"/>
      <c r="AA752" s="24"/>
      <c r="AC752" s="24"/>
      <c r="AD752" s="24"/>
      <c r="AE752" s="24"/>
      <c r="AF752" s="24"/>
      <c r="AG752" s="24"/>
      <c r="AH752" s="24"/>
      <c r="AI752" s="24"/>
    </row>
    <row r="753" spans="1:35" hidden="1" x14ac:dyDescent="0.3">
      <c r="A753" s="12" t="s">
        <v>85</v>
      </c>
      <c r="B753" s="18">
        <v>56650</v>
      </c>
      <c r="C753" s="16" t="s">
        <v>152</v>
      </c>
      <c r="D753" s="18" t="s">
        <v>1</v>
      </c>
      <c r="E753" s="12" t="s">
        <v>1185</v>
      </c>
      <c r="F753" s="18" t="s">
        <v>113</v>
      </c>
      <c r="G753" s="12" t="s">
        <v>113</v>
      </c>
      <c r="H753" s="18" t="s">
        <v>153</v>
      </c>
      <c r="I753" s="18" t="s">
        <v>115</v>
      </c>
      <c r="J753" s="16" t="s">
        <v>870</v>
      </c>
      <c r="K753" s="16" t="s">
        <v>870</v>
      </c>
      <c r="L753" s="11" t="s">
        <v>1195</v>
      </c>
      <c r="M753" s="16" t="s">
        <v>874</v>
      </c>
      <c r="N753" s="63">
        <v>465.65</v>
      </c>
      <c r="O753" s="63"/>
      <c r="P753" s="18"/>
      <c r="Q753" s="18" t="s">
        <v>4</v>
      </c>
      <c r="R753" s="18" t="s">
        <v>21</v>
      </c>
      <c r="S753" s="18" t="s">
        <v>25</v>
      </c>
      <c r="T753" s="12">
        <v>1</v>
      </c>
      <c r="U753" s="13">
        <v>44014</v>
      </c>
      <c r="V753" s="18" t="s">
        <v>161</v>
      </c>
      <c r="W753" s="12" t="s">
        <v>92</v>
      </c>
      <c r="X753" s="12" t="s">
        <v>93</v>
      </c>
      <c r="Y753" s="17"/>
      <c r="Z753" s="75"/>
      <c r="AA753" s="24"/>
      <c r="AC753" s="24"/>
      <c r="AD753" s="24"/>
      <c r="AE753" s="24"/>
      <c r="AF753" s="24"/>
      <c r="AG753" s="24"/>
      <c r="AH753" s="24"/>
      <c r="AI753" s="24"/>
    </row>
    <row r="754" spans="1:35" hidden="1" x14ac:dyDescent="0.3">
      <c r="A754" s="12" t="s">
        <v>85</v>
      </c>
      <c r="B754" s="18">
        <v>56667</v>
      </c>
      <c r="C754" s="16" t="s">
        <v>152</v>
      </c>
      <c r="D754" s="18" t="s">
        <v>1</v>
      </c>
      <c r="E754" s="12" t="s">
        <v>1185</v>
      </c>
      <c r="F754" s="18" t="s">
        <v>113</v>
      </c>
      <c r="G754" s="12" t="s">
        <v>113</v>
      </c>
      <c r="H754" s="18" t="s">
        <v>153</v>
      </c>
      <c r="I754" s="18" t="s">
        <v>115</v>
      </c>
      <c r="J754" s="16" t="s">
        <v>872</v>
      </c>
      <c r="K754" s="16" t="s">
        <v>872</v>
      </c>
      <c r="L754" s="16" t="s">
        <v>1195</v>
      </c>
      <c r="M754" s="16" t="s">
        <v>824</v>
      </c>
      <c r="N754" s="63">
        <v>0</v>
      </c>
      <c r="O754" s="63">
        <v>365.19</v>
      </c>
      <c r="P754" s="18"/>
      <c r="Q754" s="12" t="s">
        <v>4</v>
      </c>
      <c r="R754" s="12" t="s">
        <v>15</v>
      </c>
      <c r="S754" s="12" t="s">
        <v>92</v>
      </c>
      <c r="T754" s="12">
        <v>0</v>
      </c>
      <c r="U754" s="13"/>
      <c r="V754" s="18" t="s">
        <v>92</v>
      </c>
      <c r="W754" s="18" t="s">
        <v>92</v>
      </c>
      <c r="X754" s="12" t="s">
        <v>93</v>
      </c>
      <c r="Y754" s="17">
        <v>43525</v>
      </c>
      <c r="Z754" s="75"/>
      <c r="AA754" s="24"/>
      <c r="AC754" s="24"/>
      <c r="AD754" s="24"/>
      <c r="AE754" s="24"/>
      <c r="AF754" s="24"/>
      <c r="AG754" s="24"/>
      <c r="AH754" s="24"/>
      <c r="AI754" s="24"/>
    </row>
    <row r="755" spans="1:35" hidden="1" x14ac:dyDescent="0.3">
      <c r="A755" s="12" t="s">
        <v>85</v>
      </c>
      <c r="B755" s="18">
        <v>56667</v>
      </c>
      <c r="C755" s="16" t="s">
        <v>152</v>
      </c>
      <c r="D755" s="18" t="s">
        <v>1</v>
      </c>
      <c r="E755" s="12" t="s">
        <v>1185</v>
      </c>
      <c r="F755" s="18" t="s">
        <v>113</v>
      </c>
      <c r="G755" s="12" t="s">
        <v>113</v>
      </c>
      <c r="H755" s="18" t="s">
        <v>153</v>
      </c>
      <c r="I755" s="18" t="s">
        <v>115</v>
      </c>
      <c r="J755" s="16" t="s">
        <v>872</v>
      </c>
      <c r="K755" s="16" t="s">
        <v>872</v>
      </c>
      <c r="L755" s="16" t="s">
        <v>1195</v>
      </c>
      <c r="M755" s="16" t="s">
        <v>824</v>
      </c>
      <c r="N755" s="63">
        <v>0</v>
      </c>
      <c r="O755" s="63">
        <v>365.19</v>
      </c>
      <c r="P755" s="18"/>
      <c r="Q755" s="18" t="s">
        <v>4</v>
      </c>
      <c r="R755" s="18" t="s">
        <v>21</v>
      </c>
      <c r="S755" s="18" t="s">
        <v>25</v>
      </c>
      <c r="T755" s="12">
        <v>1</v>
      </c>
      <c r="U755" s="13">
        <v>43895</v>
      </c>
      <c r="V755" s="18" t="s">
        <v>156</v>
      </c>
      <c r="W755" s="12" t="s">
        <v>92</v>
      </c>
      <c r="X755" s="12" t="s">
        <v>93</v>
      </c>
      <c r="Y755" s="17"/>
      <c r="Z755" s="75"/>
      <c r="AA755" s="24"/>
      <c r="AC755" s="24"/>
      <c r="AD755" s="24"/>
      <c r="AE755" s="24"/>
      <c r="AF755" s="24"/>
      <c r="AG755" s="24"/>
      <c r="AH755" s="24"/>
      <c r="AI755" s="24"/>
    </row>
    <row r="756" spans="1:35" hidden="1" x14ac:dyDescent="0.3">
      <c r="A756" s="12" t="s">
        <v>85</v>
      </c>
      <c r="B756" s="18">
        <v>56667</v>
      </c>
      <c r="C756" s="16" t="s">
        <v>152</v>
      </c>
      <c r="D756" s="18" t="s">
        <v>1</v>
      </c>
      <c r="E756" s="12" t="s">
        <v>1185</v>
      </c>
      <c r="F756" s="18" t="s">
        <v>113</v>
      </c>
      <c r="G756" s="12" t="s">
        <v>113</v>
      </c>
      <c r="H756" s="18" t="s">
        <v>153</v>
      </c>
      <c r="I756" s="18" t="s">
        <v>115</v>
      </c>
      <c r="J756" s="16" t="s">
        <v>872</v>
      </c>
      <c r="K756" s="16" t="s">
        <v>872</v>
      </c>
      <c r="L756" s="16" t="s">
        <v>1195</v>
      </c>
      <c r="M756" s="16" t="s">
        <v>824</v>
      </c>
      <c r="N756" s="63">
        <v>0</v>
      </c>
      <c r="O756" s="63">
        <v>365.19</v>
      </c>
      <c r="P756" s="18"/>
      <c r="Q756" s="18" t="s">
        <v>4</v>
      </c>
      <c r="R756" s="18" t="s">
        <v>21</v>
      </c>
      <c r="S756" s="18" t="s">
        <v>25</v>
      </c>
      <c r="T756" s="12">
        <v>1</v>
      </c>
      <c r="U756" s="13">
        <v>43902</v>
      </c>
      <c r="V756" s="18" t="s">
        <v>157</v>
      </c>
      <c r="W756" s="12" t="s">
        <v>92</v>
      </c>
      <c r="X756" s="12" t="s">
        <v>93</v>
      </c>
      <c r="Y756" s="17"/>
      <c r="Z756" s="75"/>
      <c r="AA756" s="24"/>
      <c r="AC756" s="24"/>
      <c r="AD756" s="24"/>
      <c r="AE756" s="24"/>
      <c r="AF756" s="24"/>
      <c r="AG756" s="24"/>
      <c r="AH756" s="24"/>
      <c r="AI756" s="24"/>
    </row>
    <row r="757" spans="1:35" hidden="1" x14ac:dyDescent="0.3">
      <c r="A757" s="12" t="s">
        <v>85</v>
      </c>
      <c r="B757" s="18">
        <v>56667</v>
      </c>
      <c r="C757" s="16" t="s">
        <v>152</v>
      </c>
      <c r="D757" s="18" t="s">
        <v>1</v>
      </c>
      <c r="E757" s="12" t="s">
        <v>1185</v>
      </c>
      <c r="F757" s="18" t="s">
        <v>113</v>
      </c>
      <c r="G757" s="12" t="s">
        <v>113</v>
      </c>
      <c r="H757" s="18" t="s">
        <v>153</v>
      </c>
      <c r="I757" s="18" t="s">
        <v>115</v>
      </c>
      <c r="J757" s="16" t="s">
        <v>872</v>
      </c>
      <c r="K757" s="16" t="s">
        <v>872</v>
      </c>
      <c r="L757" s="16" t="s">
        <v>1195</v>
      </c>
      <c r="M757" s="16" t="s">
        <v>824</v>
      </c>
      <c r="N757" s="63">
        <v>0</v>
      </c>
      <c r="O757" s="63">
        <v>365.19</v>
      </c>
      <c r="P757" s="18"/>
      <c r="Q757" s="18" t="s">
        <v>4</v>
      </c>
      <c r="R757" s="18" t="s">
        <v>21</v>
      </c>
      <c r="S757" s="18" t="s">
        <v>25</v>
      </c>
      <c r="T757" s="12">
        <v>1</v>
      </c>
      <c r="U757" s="13">
        <v>43992</v>
      </c>
      <c r="V757" s="18" t="s">
        <v>158</v>
      </c>
      <c r="W757" s="12" t="s">
        <v>92</v>
      </c>
      <c r="X757" s="12" t="s">
        <v>93</v>
      </c>
      <c r="Y757" s="17"/>
      <c r="Z757" s="75"/>
      <c r="AA757" s="24"/>
      <c r="AC757" s="24"/>
      <c r="AD757" s="24"/>
      <c r="AE757" s="24"/>
      <c r="AF757" s="24"/>
      <c r="AG757" s="24"/>
      <c r="AH757" s="24"/>
      <c r="AI757" s="24"/>
    </row>
    <row r="758" spans="1:35" hidden="1" x14ac:dyDescent="0.3">
      <c r="A758" s="12" t="s">
        <v>85</v>
      </c>
      <c r="B758" s="18">
        <v>56667</v>
      </c>
      <c r="C758" s="16" t="s">
        <v>152</v>
      </c>
      <c r="D758" s="18" t="s">
        <v>1</v>
      </c>
      <c r="E758" s="12" t="s">
        <v>1185</v>
      </c>
      <c r="F758" s="18" t="s">
        <v>113</v>
      </c>
      <c r="G758" s="12" t="s">
        <v>113</v>
      </c>
      <c r="H758" s="18" t="s">
        <v>153</v>
      </c>
      <c r="I758" s="18" t="s">
        <v>115</v>
      </c>
      <c r="J758" s="16" t="s">
        <v>872</v>
      </c>
      <c r="K758" s="16" t="s">
        <v>872</v>
      </c>
      <c r="L758" s="16" t="s">
        <v>1195</v>
      </c>
      <c r="M758" s="16" t="s">
        <v>824</v>
      </c>
      <c r="N758" s="63">
        <v>0</v>
      </c>
      <c r="O758" s="63">
        <v>365.19</v>
      </c>
      <c r="P758" s="18"/>
      <c r="Q758" s="18" t="s">
        <v>4</v>
      </c>
      <c r="R758" s="12" t="s">
        <v>21</v>
      </c>
      <c r="S758" s="18" t="s">
        <v>25</v>
      </c>
      <c r="T758" s="12">
        <v>1</v>
      </c>
      <c r="U758" s="13">
        <v>43997</v>
      </c>
      <c r="V758" s="18" t="s">
        <v>159</v>
      </c>
      <c r="W758" s="12" t="s">
        <v>92</v>
      </c>
      <c r="X758" s="12" t="s">
        <v>93</v>
      </c>
      <c r="Y758" s="17"/>
      <c r="Z758" s="75"/>
      <c r="AA758" s="24"/>
      <c r="AC758" s="24"/>
      <c r="AD758" s="24"/>
      <c r="AE758" s="24"/>
      <c r="AF758" s="24"/>
      <c r="AG758" s="24"/>
      <c r="AH758" s="24"/>
      <c r="AI758" s="24"/>
    </row>
    <row r="759" spans="1:35" hidden="1" x14ac:dyDescent="0.3">
      <c r="A759" s="12" t="s">
        <v>85</v>
      </c>
      <c r="B759" s="18">
        <v>56667</v>
      </c>
      <c r="C759" s="16" t="s">
        <v>152</v>
      </c>
      <c r="D759" s="18" t="s">
        <v>1</v>
      </c>
      <c r="E759" s="12" t="s">
        <v>1185</v>
      </c>
      <c r="F759" s="18" t="s">
        <v>113</v>
      </c>
      <c r="G759" s="12" t="s">
        <v>113</v>
      </c>
      <c r="H759" s="18" t="s">
        <v>153</v>
      </c>
      <c r="I759" s="18" t="s">
        <v>115</v>
      </c>
      <c r="J759" s="16" t="s">
        <v>872</v>
      </c>
      <c r="K759" s="16" t="s">
        <v>872</v>
      </c>
      <c r="L759" s="16" t="s">
        <v>1195</v>
      </c>
      <c r="M759" s="16" t="s">
        <v>824</v>
      </c>
      <c r="N759" s="63">
        <v>0</v>
      </c>
      <c r="O759" s="63">
        <v>365.19</v>
      </c>
      <c r="P759" s="18"/>
      <c r="Q759" s="18" t="s">
        <v>4</v>
      </c>
      <c r="R759" s="12" t="s">
        <v>21</v>
      </c>
      <c r="S759" s="18" t="s">
        <v>25</v>
      </c>
      <c r="T759" s="12">
        <v>1</v>
      </c>
      <c r="U759" s="13">
        <v>43999</v>
      </c>
      <c r="V759" s="18" t="s">
        <v>160</v>
      </c>
      <c r="W759" s="12" t="s">
        <v>92</v>
      </c>
      <c r="X759" s="12" t="s">
        <v>93</v>
      </c>
      <c r="Y759" s="17"/>
      <c r="Z759" s="75"/>
      <c r="AA759" s="24"/>
      <c r="AC759" s="24"/>
      <c r="AD759" s="24"/>
      <c r="AE759" s="24"/>
      <c r="AF759" s="24"/>
      <c r="AG759" s="24"/>
      <c r="AH759" s="24"/>
      <c r="AI759" s="24"/>
    </row>
    <row r="760" spans="1:35" hidden="1" x14ac:dyDescent="0.3">
      <c r="A760" s="12" t="s">
        <v>85</v>
      </c>
      <c r="B760" s="18">
        <v>56667</v>
      </c>
      <c r="C760" s="16" t="s">
        <v>152</v>
      </c>
      <c r="D760" s="18" t="s">
        <v>1</v>
      </c>
      <c r="E760" s="12" t="s">
        <v>1185</v>
      </c>
      <c r="F760" s="18" t="s">
        <v>113</v>
      </c>
      <c r="G760" s="12" t="s">
        <v>113</v>
      </c>
      <c r="H760" s="18" t="s">
        <v>153</v>
      </c>
      <c r="I760" s="18" t="s">
        <v>115</v>
      </c>
      <c r="J760" s="16" t="s">
        <v>872</v>
      </c>
      <c r="K760" s="16" t="s">
        <v>872</v>
      </c>
      <c r="L760" s="16" t="s">
        <v>1195</v>
      </c>
      <c r="M760" s="16" t="s">
        <v>824</v>
      </c>
      <c r="N760" s="63">
        <v>0</v>
      </c>
      <c r="O760" s="63">
        <v>365.19</v>
      </c>
      <c r="P760" s="18"/>
      <c r="Q760" s="18" t="s">
        <v>4</v>
      </c>
      <c r="R760" s="18" t="s">
        <v>21</v>
      </c>
      <c r="S760" s="18" t="s">
        <v>25</v>
      </c>
      <c r="T760" s="12">
        <v>1</v>
      </c>
      <c r="U760" s="13">
        <v>44014</v>
      </c>
      <c r="V760" s="18" t="s">
        <v>161</v>
      </c>
      <c r="W760" s="12" t="s">
        <v>92</v>
      </c>
      <c r="X760" s="12" t="s">
        <v>93</v>
      </c>
      <c r="Y760" s="17"/>
      <c r="Z760" s="75"/>
      <c r="AA760" s="24"/>
      <c r="AC760" s="24"/>
      <c r="AD760" s="24"/>
      <c r="AE760" s="24"/>
      <c r="AF760" s="24"/>
      <c r="AG760" s="24"/>
      <c r="AH760" s="24"/>
      <c r="AI760" s="24"/>
    </row>
    <row r="761" spans="1:35" hidden="1" x14ac:dyDescent="0.3">
      <c r="A761" s="12" t="s">
        <v>85</v>
      </c>
      <c r="B761" s="18">
        <v>40125</v>
      </c>
      <c r="C761" s="16" t="s">
        <v>674</v>
      </c>
      <c r="D761" s="18" t="s">
        <v>1</v>
      </c>
      <c r="E761" s="12" t="s">
        <v>1185</v>
      </c>
      <c r="F761" s="18" t="s">
        <v>113</v>
      </c>
      <c r="G761" s="18" t="s">
        <v>87</v>
      </c>
      <c r="H761" s="18" t="s">
        <v>675</v>
      </c>
      <c r="I761" s="18" t="s">
        <v>115</v>
      </c>
      <c r="J761" s="14" t="s">
        <v>679</v>
      </c>
      <c r="K761" s="16" t="s">
        <v>679</v>
      </c>
      <c r="L761" s="11" t="s">
        <v>1195</v>
      </c>
      <c r="M761" s="16" t="s">
        <v>680</v>
      </c>
      <c r="N761" s="58">
        <v>36802.870000000003</v>
      </c>
      <c r="O761" s="59"/>
      <c r="P761" s="18" t="s">
        <v>91</v>
      </c>
      <c r="Q761" s="18" t="s">
        <v>4</v>
      </c>
      <c r="R761" s="12" t="s">
        <v>16</v>
      </c>
      <c r="S761" s="18" t="s">
        <v>30</v>
      </c>
      <c r="T761" s="12">
        <v>1</v>
      </c>
      <c r="U761" s="13">
        <v>44028</v>
      </c>
      <c r="V761" s="12" t="s">
        <v>875</v>
      </c>
      <c r="W761" s="18" t="s">
        <v>92</v>
      </c>
      <c r="X761" s="12" t="s">
        <v>93</v>
      </c>
      <c r="Y761" s="17"/>
      <c r="Z761" s="75"/>
      <c r="AA761" s="24"/>
      <c r="AC761" s="24"/>
      <c r="AD761" s="24"/>
      <c r="AE761" s="24"/>
      <c r="AF761" s="24"/>
      <c r="AG761" s="24"/>
      <c r="AH761" s="24"/>
      <c r="AI761" s="24"/>
    </row>
    <row r="762" spans="1:35" hidden="1" x14ac:dyDescent="0.3">
      <c r="A762" s="12" t="s">
        <v>85</v>
      </c>
      <c r="B762" s="18">
        <v>56956</v>
      </c>
      <c r="C762" s="16" t="s">
        <v>876</v>
      </c>
      <c r="D762" s="18" t="s">
        <v>1</v>
      </c>
      <c r="E762" s="12" t="s">
        <v>1185</v>
      </c>
      <c r="F762" s="18" t="s">
        <v>87</v>
      </c>
      <c r="G762" s="12" t="s">
        <v>113</v>
      </c>
      <c r="H762" s="18" t="s">
        <v>877</v>
      </c>
      <c r="I762" s="18" t="s">
        <v>878</v>
      </c>
      <c r="J762" s="16" t="s">
        <v>879</v>
      </c>
      <c r="K762" s="16" t="s">
        <v>879</v>
      </c>
      <c r="L762" s="16" t="s">
        <v>1204</v>
      </c>
      <c r="M762" s="16" t="s">
        <v>880</v>
      </c>
      <c r="N762" s="64">
        <v>3476</v>
      </c>
      <c r="O762" s="63"/>
      <c r="P762" s="18" t="s">
        <v>881</v>
      </c>
      <c r="Q762" s="18" t="s">
        <v>4</v>
      </c>
      <c r="R762" s="18" t="s">
        <v>13</v>
      </c>
      <c r="S762" s="18" t="s">
        <v>25</v>
      </c>
      <c r="T762" s="12">
        <v>1</v>
      </c>
      <c r="U762" s="13">
        <v>44028</v>
      </c>
      <c r="V762" s="18" t="s">
        <v>94</v>
      </c>
      <c r="W762" s="18" t="s">
        <v>92</v>
      </c>
      <c r="X762" s="12" t="s">
        <v>93</v>
      </c>
      <c r="Y762" s="17"/>
      <c r="Z762" s="75"/>
      <c r="AA762" s="24"/>
      <c r="AC762" s="24"/>
      <c r="AD762" s="24"/>
      <c r="AE762" s="24"/>
      <c r="AF762" s="24"/>
      <c r="AG762" s="24"/>
      <c r="AH762" s="24"/>
      <c r="AI762" s="24"/>
    </row>
    <row r="763" spans="1:35" hidden="1" x14ac:dyDescent="0.3">
      <c r="A763" s="12" t="s">
        <v>85</v>
      </c>
      <c r="B763" s="18">
        <v>56956</v>
      </c>
      <c r="C763" s="16" t="s">
        <v>876</v>
      </c>
      <c r="D763" s="18" t="s">
        <v>1</v>
      </c>
      <c r="E763" s="12" t="s">
        <v>1185</v>
      </c>
      <c r="F763" s="18" t="s">
        <v>87</v>
      </c>
      <c r="G763" s="12" t="s">
        <v>113</v>
      </c>
      <c r="H763" s="18" t="s">
        <v>877</v>
      </c>
      <c r="I763" s="18" t="s">
        <v>878</v>
      </c>
      <c r="J763" s="16" t="s">
        <v>879</v>
      </c>
      <c r="K763" s="16" t="s">
        <v>879</v>
      </c>
      <c r="L763" s="16" t="s">
        <v>1204</v>
      </c>
      <c r="M763" s="16" t="s">
        <v>880</v>
      </c>
      <c r="N763" s="64">
        <v>3476</v>
      </c>
      <c r="O763" s="63"/>
      <c r="P763" s="18" t="s">
        <v>881</v>
      </c>
      <c r="Q763" s="18" t="s">
        <v>4</v>
      </c>
      <c r="R763" s="12" t="s">
        <v>15</v>
      </c>
      <c r="S763" s="18" t="s">
        <v>63</v>
      </c>
      <c r="T763" s="12">
        <v>1</v>
      </c>
      <c r="U763" s="13"/>
      <c r="V763" s="18" t="s">
        <v>882</v>
      </c>
      <c r="W763" s="18" t="s">
        <v>92</v>
      </c>
      <c r="X763" s="12" t="s">
        <v>93</v>
      </c>
      <c r="Y763" s="17"/>
      <c r="Z763" s="75"/>
      <c r="AA763" s="24"/>
      <c r="AC763" s="24"/>
      <c r="AD763" s="24"/>
      <c r="AE763" s="24"/>
      <c r="AF763" s="24"/>
      <c r="AG763" s="24"/>
      <c r="AH763" s="24"/>
      <c r="AI763" s="24"/>
    </row>
    <row r="764" spans="1:35" hidden="1" x14ac:dyDescent="0.3">
      <c r="A764" s="12" t="s">
        <v>85</v>
      </c>
      <c r="B764" s="18">
        <v>56956</v>
      </c>
      <c r="C764" s="16" t="s">
        <v>876</v>
      </c>
      <c r="D764" s="18" t="s">
        <v>1</v>
      </c>
      <c r="E764" s="12" t="s">
        <v>1185</v>
      </c>
      <c r="F764" s="18" t="s">
        <v>87</v>
      </c>
      <c r="G764" s="12" t="s">
        <v>113</v>
      </c>
      <c r="H764" s="18" t="s">
        <v>877</v>
      </c>
      <c r="I764" s="18" t="s">
        <v>878</v>
      </c>
      <c r="J764" s="16" t="s">
        <v>879</v>
      </c>
      <c r="K764" s="16" t="s">
        <v>879</v>
      </c>
      <c r="L764" s="16" t="s">
        <v>1204</v>
      </c>
      <c r="M764" s="16" t="s">
        <v>880</v>
      </c>
      <c r="N764" s="64">
        <v>3476</v>
      </c>
      <c r="O764" s="63"/>
      <c r="P764" s="18" t="s">
        <v>881</v>
      </c>
      <c r="Q764" s="18" t="s">
        <v>4</v>
      </c>
      <c r="R764" s="12" t="s">
        <v>15</v>
      </c>
      <c r="S764" s="18" t="s">
        <v>63</v>
      </c>
      <c r="T764" s="12">
        <v>1</v>
      </c>
      <c r="U764" s="13">
        <v>43962</v>
      </c>
      <c r="V764" s="18" t="s">
        <v>883</v>
      </c>
      <c r="W764" s="12" t="s">
        <v>92</v>
      </c>
      <c r="X764" s="12" t="s">
        <v>93</v>
      </c>
      <c r="Y764" s="17"/>
      <c r="Z764" s="75"/>
      <c r="AA764" s="24"/>
      <c r="AC764" s="24"/>
      <c r="AD764" s="24"/>
      <c r="AE764" s="24"/>
      <c r="AF764" s="24"/>
      <c r="AG764" s="24"/>
      <c r="AH764" s="24"/>
      <c r="AI764" s="24"/>
    </row>
    <row r="765" spans="1:35" hidden="1" x14ac:dyDescent="0.3">
      <c r="A765" s="12" t="s">
        <v>85</v>
      </c>
      <c r="B765" s="18">
        <v>56956</v>
      </c>
      <c r="C765" s="16" t="s">
        <v>876</v>
      </c>
      <c r="D765" s="18" t="s">
        <v>1</v>
      </c>
      <c r="E765" s="12" t="s">
        <v>1185</v>
      </c>
      <c r="F765" s="18" t="s">
        <v>87</v>
      </c>
      <c r="G765" s="12" t="s">
        <v>113</v>
      </c>
      <c r="H765" s="18" t="s">
        <v>877</v>
      </c>
      <c r="I765" s="18" t="s">
        <v>878</v>
      </c>
      <c r="J765" s="16" t="s">
        <v>879</v>
      </c>
      <c r="K765" s="16" t="s">
        <v>879</v>
      </c>
      <c r="L765" s="16" t="s">
        <v>1204</v>
      </c>
      <c r="M765" s="16" t="s">
        <v>880</v>
      </c>
      <c r="N765" s="64">
        <v>3476</v>
      </c>
      <c r="O765" s="63"/>
      <c r="P765" s="18" t="s">
        <v>881</v>
      </c>
      <c r="Q765" s="18" t="s">
        <v>4</v>
      </c>
      <c r="R765" s="12" t="s">
        <v>15</v>
      </c>
      <c r="S765" s="18" t="s">
        <v>63</v>
      </c>
      <c r="T765" s="12">
        <v>1</v>
      </c>
      <c r="U765" s="13">
        <v>43998</v>
      </c>
      <c r="V765" s="18" t="s">
        <v>884</v>
      </c>
      <c r="W765" s="12" t="s">
        <v>92</v>
      </c>
      <c r="X765" s="12" t="s">
        <v>93</v>
      </c>
      <c r="Y765" s="17"/>
      <c r="Z765" s="75"/>
      <c r="AA765" s="24"/>
      <c r="AC765" s="24"/>
      <c r="AD765" s="24"/>
      <c r="AE765" s="24"/>
      <c r="AF765" s="24"/>
      <c r="AG765" s="24"/>
      <c r="AH765" s="24"/>
      <c r="AI765" s="24"/>
    </row>
    <row r="766" spans="1:35" hidden="1" x14ac:dyDescent="0.3">
      <c r="A766" s="12" t="s">
        <v>85</v>
      </c>
      <c r="B766" s="18">
        <v>56956</v>
      </c>
      <c r="C766" s="16" t="s">
        <v>876</v>
      </c>
      <c r="D766" s="18" t="s">
        <v>1</v>
      </c>
      <c r="E766" s="12" t="s">
        <v>1185</v>
      </c>
      <c r="F766" s="18" t="s">
        <v>87</v>
      </c>
      <c r="G766" s="12" t="s">
        <v>113</v>
      </c>
      <c r="H766" s="18" t="s">
        <v>877</v>
      </c>
      <c r="I766" s="18" t="s">
        <v>878</v>
      </c>
      <c r="J766" s="16" t="s">
        <v>879</v>
      </c>
      <c r="K766" s="16" t="s">
        <v>879</v>
      </c>
      <c r="L766" s="16" t="s">
        <v>1204</v>
      </c>
      <c r="M766" s="16" t="s">
        <v>880</v>
      </c>
      <c r="N766" s="64">
        <v>3476</v>
      </c>
      <c r="O766" s="63"/>
      <c r="P766" s="18" t="s">
        <v>881</v>
      </c>
      <c r="Q766" s="18" t="s">
        <v>4</v>
      </c>
      <c r="R766" s="18" t="s">
        <v>15</v>
      </c>
      <c r="S766" s="12" t="s">
        <v>63</v>
      </c>
      <c r="T766" s="12">
        <v>1</v>
      </c>
      <c r="U766" s="13">
        <v>44027</v>
      </c>
      <c r="V766" s="18" t="s">
        <v>885</v>
      </c>
      <c r="W766" s="12" t="s">
        <v>92</v>
      </c>
      <c r="X766" s="12" t="s">
        <v>93</v>
      </c>
      <c r="Y766" s="17"/>
      <c r="Z766" s="75"/>
      <c r="AA766" s="24"/>
      <c r="AC766" s="24"/>
      <c r="AD766" s="24"/>
      <c r="AE766" s="24"/>
      <c r="AF766" s="24"/>
      <c r="AG766" s="24"/>
      <c r="AH766" s="24"/>
      <c r="AI766" s="24"/>
    </row>
    <row r="767" spans="1:35" x14ac:dyDescent="0.3">
      <c r="A767" s="12" t="s">
        <v>85</v>
      </c>
      <c r="B767" s="18">
        <v>57056</v>
      </c>
      <c r="C767" s="16" t="s">
        <v>112</v>
      </c>
      <c r="D767" s="18" t="s">
        <v>1</v>
      </c>
      <c r="E767" s="12" t="s">
        <v>1185</v>
      </c>
      <c r="F767" s="18" t="s">
        <v>113</v>
      </c>
      <c r="G767" s="12" t="s">
        <v>113</v>
      </c>
      <c r="H767" s="18" t="s">
        <v>114</v>
      </c>
      <c r="I767" s="18" t="s">
        <v>115</v>
      </c>
      <c r="J767" s="16" t="s">
        <v>886</v>
      </c>
      <c r="K767" s="16" t="s">
        <v>886</v>
      </c>
      <c r="L767" s="16" t="s">
        <v>1195</v>
      </c>
      <c r="M767" s="11" t="s">
        <v>92</v>
      </c>
      <c r="N767" s="60">
        <v>378</v>
      </c>
      <c r="O767" s="59"/>
      <c r="P767" s="12" t="s">
        <v>91</v>
      </c>
      <c r="Q767" s="12" t="s">
        <v>12</v>
      </c>
      <c r="R767" s="12" t="s">
        <v>99</v>
      </c>
      <c r="S767" s="12" t="s">
        <v>99</v>
      </c>
      <c r="T767" s="12">
        <v>1</v>
      </c>
      <c r="U767" s="13">
        <v>38175</v>
      </c>
      <c r="V767" s="12" t="s">
        <v>887</v>
      </c>
      <c r="W767" s="12" t="s">
        <v>92</v>
      </c>
      <c r="X767" s="12" t="s">
        <v>105</v>
      </c>
      <c r="Y767" s="17"/>
      <c r="Z767" s="75"/>
      <c r="AA767" s="24"/>
      <c r="AC767" s="24"/>
      <c r="AD767" s="24"/>
      <c r="AE767" s="24"/>
      <c r="AF767" s="24"/>
      <c r="AG767" s="24"/>
      <c r="AH767" s="24"/>
      <c r="AI767" s="24"/>
    </row>
    <row r="768" spans="1:35" hidden="1" x14ac:dyDescent="0.3">
      <c r="A768" s="12" t="s">
        <v>85</v>
      </c>
      <c r="B768" s="18">
        <v>57547</v>
      </c>
      <c r="C768" s="16" t="s">
        <v>148</v>
      </c>
      <c r="D768" s="18" t="s">
        <v>1</v>
      </c>
      <c r="E768" s="12" t="s">
        <v>1185</v>
      </c>
      <c r="F768" s="18" t="s">
        <v>87</v>
      </c>
      <c r="G768" s="12" t="s">
        <v>113</v>
      </c>
      <c r="H768" s="18" t="s">
        <v>149</v>
      </c>
      <c r="I768" s="18" t="s">
        <v>125</v>
      </c>
      <c r="J768" s="11" t="s">
        <v>150</v>
      </c>
      <c r="K768" s="16" t="s">
        <v>150</v>
      </c>
      <c r="L768" s="11" t="s">
        <v>1197</v>
      </c>
      <c r="M768" s="16" t="s">
        <v>151</v>
      </c>
      <c r="N768" s="64">
        <v>4581.05</v>
      </c>
      <c r="O768" s="63"/>
      <c r="P768" s="18">
        <v>0</v>
      </c>
      <c r="Q768" s="18" t="s">
        <v>12</v>
      </c>
      <c r="R768" s="12" t="s">
        <v>99</v>
      </c>
      <c r="S768" s="12" t="s">
        <v>99</v>
      </c>
      <c r="T768" s="12">
        <v>0</v>
      </c>
      <c r="U768" s="13"/>
      <c r="V768" s="18"/>
      <c r="W768" s="18" t="s">
        <v>92</v>
      </c>
      <c r="X768" s="12" t="s">
        <v>93</v>
      </c>
      <c r="Y768" s="17">
        <v>44079</v>
      </c>
      <c r="Z768" s="75"/>
      <c r="AA768" s="24"/>
      <c r="AC768" s="24"/>
      <c r="AD768" s="24"/>
      <c r="AE768" s="24"/>
      <c r="AF768" s="24"/>
      <c r="AG768" s="24"/>
      <c r="AH768" s="24"/>
      <c r="AI768" s="24"/>
    </row>
    <row r="769" spans="1:35" hidden="1" x14ac:dyDescent="0.3">
      <c r="A769" s="12" t="s">
        <v>85</v>
      </c>
      <c r="B769" s="18">
        <v>57894</v>
      </c>
      <c r="C769" s="16" t="s">
        <v>148</v>
      </c>
      <c r="D769" s="18" t="s">
        <v>1</v>
      </c>
      <c r="E769" s="12" t="s">
        <v>1185</v>
      </c>
      <c r="F769" s="18" t="s">
        <v>87</v>
      </c>
      <c r="G769" s="12" t="s">
        <v>113</v>
      </c>
      <c r="H769" s="18" t="s">
        <v>149</v>
      </c>
      <c r="I769" s="18" t="s">
        <v>125</v>
      </c>
      <c r="J769" s="11" t="s">
        <v>150</v>
      </c>
      <c r="K769" s="16" t="s">
        <v>150</v>
      </c>
      <c r="L769" s="11" t="s">
        <v>1197</v>
      </c>
      <c r="M769" s="16" t="s">
        <v>151</v>
      </c>
      <c r="N769" s="64">
        <v>4571.38</v>
      </c>
      <c r="O769" s="63"/>
      <c r="P769" s="18">
        <v>0</v>
      </c>
      <c r="Q769" s="18" t="s">
        <v>12</v>
      </c>
      <c r="R769" s="12" t="s">
        <v>99</v>
      </c>
      <c r="S769" s="12" t="s">
        <v>99</v>
      </c>
      <c r="T769" s="12">
        <v>1</v>
      </c>
      <c r="U769" s="13">
        <v>44028</v>
      </c>
      <c r="V769" s="18" t="s">
        <v>94</v>
      </c>
      <c r="W769" s="18" t="s">
        <v>92</v>
      </c>
      <c r="X769" s="12" t="s">
        <v>93</v>
      </c>
      <c r="Y769" s="17">
        <v>44079</v>
      </c>
      <c r="Z769" s="75"/>
      <c r="AA769" s="24"/>
      <c r="AC769" s="24"/>
      <c r="AD769" s="24"/>
      <c r="AE769" s="24"/>
      <c r="AF769" s="24"/>
      <c r="AG769" s="24"/>
      <c r="AH769" s="24"/>
      <c r="AI769" s="24"/>
    </row>
    <row r="770" spans="1:35" hidden="1" x14ac:dyDescent="0.3">
      <c r="A770" s="12" t="s">
        <v>85</v>
      </c>
      <c r="B770" s="18">
        <v>58018</v>
      </c>
      <c r="C770" s="16" t="s">
        <v>608</v>
      </c>
      <c r="D770" s="18" t="s">
        <v>1</v>
      </c>
      <c r="E770" s="12" t="s">
        <v>1185</v>
      </c>
      <c r="F770" s="18" t="s">
        <v>87</v>
      </c>
      <c r="G770" s="12" t="s">
        <v>87</v>
      </c>
      <c r="H770" s="18" t="s">
        <v>609</v>
      </c>
      <c r="I770" s="18" t="s">
        <v>89</v>
      </c>
      <c r="J770" s="11" t="s">
        <v>1280</v>
      </c>
      <c r="K770" s="16" t="s">
        <v>610</v>
      </c>
      <c r="L770" s="16" t="s">
        <v>1195</v>
      </c>
      <c r="M770" s="16" t="s">
        <v>611</v>
      </c>
      <c r="N770" s="65">
        <v>172225.83</v>
      </c>
      <c r="O770" s="65">
        <v>12837.87</v>
      </c>
      <c r="P770" s="18" t="s">
        <v>888</v>
      </c>
      <c r="Q770" s="18" t="s">
        <v>4</v>
      </c>
      <c r="R770" s="18" t="s">
        <v>16</v>
      </c>
      <c r="S770" s="12" t="s">
        <v>26</v>
      </c>
      <c r="T770" s="12">
        <v>0</v>
      </c>
      <c r="U770" s="13"/>
      <c r="V770" s="12" t="s">
        <v>92</v>
      </c>
      <c r="W770" s="18" t="s">
        <v>92</v>
      </c>
      <c r="X770" s="12" t="s">
        <v>93</v>
      </c>
      <c r="Y770" s="17"/>
      <c r="Z770" s="75"/>
      <c r="AA770" s="24"/>
      <c r="AC770" s="24"/>
      <c r="AD770" s="24"/>
      <c r="AE770" s="24"/>
      <c r="AF770" s="24"/>
      <c r="AG770" s="24"/>
      <c r="AH770" s="24"/>
      <c r="AI770" s="24"/>
    </row>
    <row r="771" spans="1:35" hidden="1" x14ac:dyDescent="0.3">
      <c r="A771" s="12" t="s">
        <v>85</v>
      </c>
      <c r="B771" s="18">
        <v>58020</v>
      </c>
      <c r="C771" s="16" t="s">
        <v>136</v>
      </c>
      <c r="D771" s="18" t="s">
        <v>1</v>
      </c>
      <c r="E771" s="12" t="s">
        <v>1185</v>
      </c>
      <c r="F771" s="18" t="s">
        <v>132</v>
      </c>
      <c r="G771" s="12" t="s">
        <v>132</v>
      </c>
      <c r="H771" s="18" t="s">
        <v>609</v>
      </c>
      <c r="I771" s="18" t="s">
        <v>89</v>
      </c>
      <c r="J771" s="16" t="s">
        <v>889</v>
      </c>
      <c r="K771" s="16" t="s">
        <v>889</v>
      </c>
      <c r="L771" s="16" t="s">
        <v>1215</v>
      </c>
      <c r="M771" s="16" t="s">
        <v>890</v>
      </c>
      <c r="N771" s="64">
        <v>2734.13</v>
      </c>
      <c r="O771" s="63"/>
      <c r="P771" s="18" t="s">
        <v>891</v>
      </c>
      <c r="Q771" s="18" t="s">
        <v>12</v>
      </c>
      <c r="R771" s="12" t="s">
        <v>99</v>
      </c>
      <c r="S771" s="12" t="s">
        <v>99</v>
      </c>
      <c r="T771" s="12">
        <v>1</v>
      </c>
      <c r="U771" s="13">
        <v>43879</v>
      </c>
      <c r="V771" s="18" t="s">
        <v>892</v>
      </c>
      <c r="W771" s="12" t="s">
        <v>92</v>
      </c>
      <c r="X771" s="12" t="s">
        <v>135</v>
      </c>
      <c r="Y771" s="17">
        <v>43891</v>
      </c>
      <c r="Z771" s="75"/>
      <c r="AA771" s="24"/>
      <c r="AC771" s="24"/>
      <c r="AD771" s="24"/>
      <c r="AE771" s="24"/>
      <c r="AF771" s="24"/>
      <c r="AG771" s="24"/>
      <c r="AH771" s="24"/>
      <c r="AI771" s="24"/>
    </row>
    <row r="772" spans="1:35" hidden="1" x14ac:dyDescent="0.3">
      <c r="A772" s="12" t="s">
        <v>85</v>
      </c>
      <c r="B772" s="18">
        <v>58235</v>
      </c>
      <c r="C772" s="16" t="s">
        <v>726</v>
      </c>
      <c r="D772" s="18" t="s">
        <v>1</v>
      </c>
      <c r="E772" s="12" t="s">
        <v>1185</v>
      </c>
      <c r="F772" s="18" t="s">
        <v>87</v>
      </c>
      <c r="G772" s="12" t="s">
        <v>113</v>
      </c>
      <c r="H772" s="18" t="s">
        <v>533</v>
      </c>
      <c r="I772" s="18" t="s">
        <v>89</v>
      </c>
      <c r="J772" s="16" t="s">
        <v>893</v>
      </c>
      <c r="K772" s="16" t="s">
        <v>893</v>
      </c>
      <c r="L772" s="11" t="s">
        <v>1212</v>
      </c>
      <c r="M772" s="16" t="s">
        <v>894</v>
      </c>
      <c r="N772" s="65">
        <v>10571.39</v>
      </c>
      <c r="O772" s="63">
        <f>139.34+97.8+70.9+106+35+40</f>
        <v>489.03999999999996</v>
      </c>
      <c r="P772" s="18" t="s">
        <v>895</v>
      </c>
      <c r="Q772" s="18" t="s">
        <v>12</v>
      </c>
      <c r="R772" s="12" t="s">
        <v>99</v>
      </c>
      <c r="S772" s="12" t="s">
        <v>99</v>
      </c>
      <c r="T772" s="12">
        <v>0</v>
      </c>
      <c r="U772" s="13"/>
      <c r="V772" s="18" t="s">
        <v>92</v>
      </c>
      <c r="W772" s="18" t="s">
        <v>92</v>
      </c>
      <c r="X772" s="12" t="s">
        <v>93</v>
      </c>
      <c r="Y772" s="17">
        <v>43774</v>
      </c>
      <c r="Z772" s="75"/>
      <c r="AA772" s="24"/>
      <c r="AC772" s="24"/>
      <c r="AD772" s="24"/>
      <c r="AE772" s="24"/>
      <c r="AF772" s="24"/>
      <c r="AG772" s="24"/>
      <c r="AH772" s="24"/>
      <c r="AI772" s="24"/>
    </row>
    <row r="773" spans="1:35" hidden="1" x14ac:dyDescent="0.3">
      <c r="A773" s="12" t="s">
        <v>85</v>
      </c>
      <c r="B773" s="18">
        <v>58314</v>
      </c>
      <c r="C773" s="16" t="s">
        <v>820</v>
      </c>
      <c r="D773" s="18" t="s">
        <v>1</v>
      </c>
      <c r="E773" s="12" t="s">
        <v>1185</v>
      </c>
      <c r="F773" s="18" t="s">
        <v>113</v>
      </c>
      <c r="G773" s="12" t="s">
        <v>113</v>
      </c>
      <c r="H773" s="18" t="s">
        <v>153</v>
      </c>
      <c r="I773" s="18" t="s">
        <v>115</v>
      </c>
      <c r="J773" s="16" t="s">
        <v>896</v>
      </c>
      <c r="K773" s="16" t="s">
        <v>896</v>
      </c>
      <c r="L773" s="11" t="s">
        <v>1209</v>
      </c>
      <c r="M773" s="16" t="s">
        <v>897</v>
      </c>
      <c r="N773" s="63">
        <v>0</v>
      </c>
      <c r="O773" s="63">
        <v>77.98</v>
      </c>
      <c r="P773" s="18"/>
      <c r="Q773" s="18" t="s">
        <v>12</v>
      </c>
      <c r="R773" s="12" t="s">
        <v>99</v>
      </c>
      <c r="S773" s="12" t="s">
        <v>99</v>
      </c>
      <c r="T773" s="12">
        <v>0</v>
      </c>
      <c r="U773" s="13"/>
      <c r="V773" s="18" t="s">
        <v>92</v>
      </c>
      <c r="W773" s="18" t="s">
        <v>92</v>
      </c>
      <c r="X773" s="12" t="s">
        <v>93</v>
      </c>
      <c r="Y773" s="17"/>
      <c r="Z773" s="75"/>
      <c r="AA773" s="24"/>
      <c r="AC773" s="24"/>
      <c r="AD773" s="24"/>
      <c r="AE773" s="24"/>
      <c r="AF773" s="24"/>
      <c r="AG773" s="24"/>
      <c r="AH773" s="24"/>
      <c r="AI773" s="24"/>
    </row>
    <row r="774" spans="1:35" hidden="1" x14ac:dyDescent="0.3">
      <c r="A774" s="12" t="s">
        <v>85</v>
      </c>
      <c r="B774" s="18">
        <v>58315</v>
      </c>
      <c r="C774" s="16" t="s">
        <v>820</v>
      </c>
      <c r="D774" s="18" t="s">
        <v>1</v>
      </c>
      <c r="E774" s="12" t="s">
        <v>1185</v>
      </c>
      <c r="F774" s="18" t="s">
        <v>113</v>
      </c>
      <c r="G774" s="12" t="s">
        <v>113</v>
      </c>
      <c r="H774" s="18" t="s">
        <v>153</v>
      </c>
      <c r="I774" s="18" t="s">
        <v>115</v>
      </c>
      <c r="J774" s="16" t="s">
        <v>898</v>
      </c>
      <c r="K774" s="16" t="s">
        <v>898</v>
      </c>
      <c r="L774" s="11" t="s">
        <v>1209</v>
      </c>
      <c r="M774" s="16" t="s">
        <v>897</v>
      </c>
      <c r="N774" s="63">
        <v>0</v>
      </c>
      <c r="O774" s="63">
        <v>80.489999999999995</v>
      </c>
      <c r="P774" s="18"/>
      <c r="Q774" s="18" t="s">
        <v>12</v>
      </c>
      <c r="R774" s="12" t="s">
        <v>99</v>
      </c>
      <c r="S774" s="12" t="s">
        <v>99</v>
      </c>
      <c r="T774" s="12">
        <v>0</v>
      </c>
      <c r="U774" s="13"/>
      <c r="V774" s="18" t="s">
        <v>92</v>
      </c>
      <c r="W774" s="18" t="s">
        <v>92</v>
      </c>
      <c r="X774" s="12" t="s">
        <v>93</v>
      </c>
      <c r="Y774" s="17"/>
      <c r="Z774" s="75"/>
      <c r="AA774" s="24"/>
      <c r="AC774" s="24"/>
      <c r="AD774" s="24"/>
      <c r="AE774" s="24"/>
      <c r="AF774" s="24"/>
      <c r="AG774" s="24"/>
      <c r="AH774" s="24"/>
      <c r="AI774" s="24"/>
    </row>
    <row r="775" spans="1:35" hidden="1" x14ac:dyDescent="0.3">
      <c r="A775" s="12" t="s">
        <v>85</v>
      </c>
      <c r="B775" s="18">
        <v>58325</v>
      </c>
      <c r="C775" s="16" t="s">
        <v>820</v>
      </c>
      <c r="D775" s="18" t="s">
        <v>1</v>
      </c>
      <c r="E775" s="12" t="s">
        <v>1185</v>
      </c>
      <c r="F775" s="18" t="s">
        <v>113</v>
      </c>
      <c r="G775" s="12" t="s">
        <v>113</v>
      </c>
      <c r="H775" s="18" t="s">
        <v>153</v>
      </c>
      <c r="I775" s="18" t="s">
        <v>115</v>
      </c>
      <c r="J775" s="16" t="s">
        <v>899</v>
      </c>
      <c r="K775" s="16" t="s">
        <v>899</v>
      </c>
      <c r="L775" s="11" t="s">
        <v>1209</v>
      </c>
      <c r="M775" s="16" t="s">
        <v>897</v>
      </c>
      <c r="N775" s="63">
        <v>0</v>
      </c>
      <c r="O775" s="63">
        <v>75.05</v>
      </c>
      <c r="P775" s="18"/>
      <c r="Q775" s="18" t="s">
        <v>12</v>
      </c>
      <c r="R775" s="12" t="s">
        <v>99</v>
      </c>
      <c r="S775" s="12" t="s">
        <v>99</v>
      </c>
      <c r="T775" s="12">
        <v>0</v>
      </c>
      <c r="U775" s="13"/>
      <c r="V775" s="18" t="s">
        <v>92</v>
      </c>
      <c r="W775" s="18" t="s">
        <v>92</v>
      </c>
      <c r="X775" s="12" t="s">
        <v>93</v>
      </c>
      <c r="Y775" s="17"/>
      <c r="Z775" s="75"/>
      <c r="AA775" s="24"/>
      <c r="AC775" s="24"/>
      <c r="AD775" s="24"/>
      <c r="AE775" s="24"/>
      <c r="AF775" s="24"/>
      <c r="AG775" s="24"/>
      <c r="AH775" s="24"/>
      <c r="AI775" s="24"/>
    </row>
    <row r="776" spans="1:35" hidden="1" x14ac:dyDescent="0.3">
      <c r="A776" s="12" t="s">
        <v>85</v>
      </c>
      <c r="B776" s="18">
        <v>58326</v>
      </c>
      <c r="C776" s="16" t="s">
        <v>820</v>
      </c>
      <c r="D776" s="18" t="s">
        <v>1</v>
      </c>
      <c r="E776" s="12" t="s">
        <v>1185</v>
      </c>
      <c r="F776" s="18" t="s">
        <v>113</v>
      </c>
      <c r="G776" s="12" t="s">
        <v>113</v>
      </c>
      <c r="H776" s="18" t="s">
        <v>153</v>
      </c>
      <c r="I776" s="18" t="s">
        <v>115</v>
      </c>
      <c r="J776" s="16" t="s">
        <v>900</v>
      </c>
      <c r="K776" s="16" t="s">
        <v>900</v>
      </c>
      <c r="L776" s="11" t="s">
        <v>1209</v>
      </c>
      <c r="M776" s="16" t="s">
        <v>897</v>
      </c>
      <c r="N776" s="63">
        <v>0</v>
      </c>
      <c r="O776" s="63">
        <v>62.58</v>
      </c>
      <c r="P776" s="18"/>
      <c r="Q776" s="18" t="s">
        <v>12</v>
      </c>
      <c r="R776" s="12" t="s">
        <v>99</v>
      </c>
      <c r="S776" s="12" t="s">
        <v>99</v>
      </c>
      <c r="T776" s="12">
        <v>0</v>
      </c>
      <c r="U776" s="13"/>
      <c r="V776" s="18" t="s">
        <v>92</v>
      </c>
      <c r="W776" s="18" t="s">
        <v>92</v>
      </c>
      <c r="X776" s="12" t="s">
        <v>93</v>
      </c>
      <c r="Y776" s="17"/>
      <c r="Z776" s="75"/>
      <c r="AA776" s="24"/>
      <c r="AC776" s="24"/>
      <c r="AD776" s="24"/>
      <c r="AE776" s="24"/>
      <c r="AF776" s="24"/>
      <c r="AG776" s="24"/>
      <c r="AH776" s="24"/>
      <c r="AI776" s="24"/>
    </row>
    <row r="777" spans="1:35" hidden="1" x14ac:dyDescent="0.3">
      <c r="A777" s="12" t="s">
        <v>85</v>
      </c>
      <c r="B777" s="18">
        <v>58333</v>
      </c>
      <c r="C777" s="16" t="s">
        <v>820</v>
      </c>
      <c r="D777" s="18" t="s">
        <v>1</v>
      </c>
      <c r="E777" s="12" t="s">
        <v>1185</v>
      </c>
      <c r="F777" s="18" t="s">
        <v>113</v>
      </c>
      <c r="G777" s="12" t="s">
        <v>113</v>
      </c>
      <c r="H777" s="18" t="s">
        <v>153</v>
      </c>
      <c r="I777" s="18" t="s">
        <v>115</v>
      </c>
      <c r="J777" s="16" t="s">
        <v>901</v>
      </c>
      <c r="K777" s="16" t="s">
        <v>901</v>
      </c>
      <c r="L777" s="11" t="s">
        <v>1209</v>
      </c>
      <c r="M777" s="16" t="s">
        <v>897</v>
      </c>
      <c r="N777" s="63">
        <v>0</v>
      </c>
      <c r="O777" s="63">
        <v>54.05</v>
      </c>
      <c r="P777" s="18"/>
      <c r="Q777" s="18" t="s">
        <v>12</v>
      </c>
      <c r="R777" s="12" t="s">
        <v>99</v>
      </c>
      <c r="S777" s="12" t="s">
        <v>99</v>
      </c>
      <c r="T777" s="12">
        <v>0</v>
      </c>
      <c r="U777" s="13"/>
      <c r="V777" s="18" t="s">
        <v>92</v>
      </c>
      <c r="W777" s="18" t="s">
        <v>92</v>
      </c>
      <c r="X777" s="12" t="s">
        <v>93</v>
      </c>
      <c r="Y777" s="17"/>
      <c r="Z777" s="75"/>
      <c r="AA777" s="24"/>
      <c r="AC777" s="24"/>
      <c r="AD777" s="24"/>
      <c r="AE777" s="24"/>
      <c r="AF777" s="24"/>
      <c r="AG777" s="24"/>
      <c r="AH777" s="24"/>
      <c r="AI777" s="24"/>
    </row>
    <row r="778" spans="1:35" hidden="1" x14ac:dyDescent="0.3">
      <c r="A778" s="12" t="s">
        <v>85</v>
      </c>
      <c r="B778" s="12">
        <v>58334</v>
      </c>
      <c r="C778" s="11" t="s">
        <v>820</v>
      </c>
      <c r="D778" s="12" t="s">
        <v>1</v>
      </c>
      <c r="E778" s="12" t="s">
        <v>1185</v>
      </c>
      <c r="F778" s="12" t="s">
        <v>113</v>
      </c>
      <c r="G778" s="12" t="s">
        <v>113</v>
      </c>
      <c r="H778" s="12" t="s">
        <v>153</v>
      </c>
      <c r="I778" s="12" t="s">
        <v>115</v>
      </c>
      <c r="J778" s="11" t="s">
        <v>902</v>
      </c>
      <c r="K778" s="11" t="s">
        <v>902</v>
      </c>
      <c r="L778" s="11" t="s">
        <v>1209</v>
      </c>
      <c r="M778" s="11" t="s">
        <v>897</v>
      </c>
      <c r="N778" s="59">
        <v>0</v>
      </c>
      <c r="O778" s="59">
        <v>54.26</v>
      </c>
      <c r="P778" s="12"/>
      <c r="Q778" s="12" t="s">
        <v>12</v>
      </c>
      <c r="R778" s="12" t="s">
        <v>99</v>
      </c>
      <c r="S778" s="12" t="s">
        <v>99</v>
      </c>
      <c r="T778" s="12">
        <v>0</v>
      </c>
      <c r="U778" s="13"/>
      <c r="V778" s="12" t="s">
        <v>92</v>
      </c>
      <c r="W778" s="12" t="s">
        <v>92</v>
      </c>
      <c r="X778" s="12" t="s">
        <v>93</v>
      </c>
      <c r="Y778" s="13"/>
      <c r="Z778" s="75"/>
      <c r="AA778" s="24"/>
      <c r="AC778" s="24"/>
      <c r="AD778" s="24"/>
      <c r="AE778" s="24"/>
      <c r="AF778" s="24"/>
      <c r="AG778" s="24"/>
      <c r="AH778" s="24"/>
      <c r="AI778" s="24"/>
    </row>
    <row r="779" spans="1:35" hidden="1" x14ac:dyDescent="0.3">
      <c r="A779" s="12" t="s">
        <v>85</v>
      </c>
      <c r="B779" s="18">
        <v>58335</v>
      </c>
      <c r="C779" s="16" t="s">
        <v>820</v>
      </c>
      <c r="D779" s="18" t="s">
        <v>1</v>
      </c>
      <c r="E779" s="12" t="s">
        <v>1185</v>
      </c>
      <c r="F779" s="18" t="s">
        <v>113</v>
      </c>
      <c r="G779" s="12" t="s">
        <v>113</v>
      </c>
      <c r="H779" s="18" t="s">
        <v>153</v>
      </c>
      <c r="I779" s="18" t="s">
        <v>115</v>
      </c>
      <c r="J779" s="16" t="s">
        <v>903</v>
      </c>
      <c r="K779" s="16" t="s">
        <v>903</v>
      </c>
      <c r="L779" s="11" t="s">
        <v>1209</v>
      </c>
      <c r="M779" s="16" t="s">
        <v>897</v>
      </c>
      <c r="N779" s="63">
        <v>0</v>
      </c>
      <c r="O779" s="63">
        <v>50.06</v>
      </c>
      <c r="P779" s="18"/>
      <c r="Q779" s="18" t="s">
        <v>12</v>
      </c>
      <c r="R779" s="12" t="s">
        <v>99</v>
      </c>
      <c r="S779" s="12" t="s">
        <v>99</v>
      </c>
      <c r="T779" s="12">
        <v>0</v>
      </c>
      <c r="U779" s="13"/>
      <c r="V779" s="18" t="s">
        <v>92</v>
      </c>
      <c r="W779" s="18" t="s">
        <v>92</v>
      </c>
      <c r="X779" s="12" t="s">
        <v>93</v>
      </c>
      <c r="Y779" s="17"/>
      <c r="Z779" s="75"/>
      <c r="AA779" s="24"/>
      <c r="AC779" s="24"/>
      <c r="AD779" s="24"/>
      <c r="AE779" s="24"/>
      <c r="AF779" s="24"/>
      <c r="AG779" s="24"/>
      <c r="AH779" s="24"/>
      <c r="AI779" s="24"/>
    </row>
    <row r="780" spans="1:35" hidden="1" x14ac:dyDescent="0.3">
      <c r="A780" s="12" t="s">
        <v>85</v>
      </c>
      <c r="B780" s="18">
        <v>58342</v>
      </c>
      <c r="C780" s="16" t="s">
        <v>820</v>
      </c>
      <c r="D780" s="18" t="s">
        <v>1</v>
      </c>
      <c r="E780" s="12" t="s">
        <v>1185</v>
      </c>
      <c r="F780" s="18" t="s">
        <v>113</v>
      </c>
      <c r="G780" s="12" t="s">
        <v>113</v>
      </c>
      <c r="H780" s="18" t="s">
        <v>153</v>
      </c>
      <c r="I780" s="18" t="s">
        <v>115</v>
      </c>
      <c r="J780" s="16" t="s">
        <v>904</v>
      </c>
      <c r="K780" s="16" t="s">
        <v>904</v>
      </c>
      <c r="L780" s="11" t="s">
        <v>1209</v>
      </c>
      <c r="M780" s="16" t="s">
        <v>897</v>
      </c>
      <c r="N780" s="63">
        <v>0</v>
      </c>
      <c r="O780" s="63">
        <v>59.59</v>
      </c>
      <c r="P780" s="18"/>
      <c r="Q780" s="18" t="s">
        <v>12</v>
      </c>
      <c r="R780" s="12" t="s">
        <v>99</v>
      </c>
      <c r="S780" s="12" t="s">
        <v>99</v>
      </c>
      <c r="T780" s="12">
        <v>0</v>
      </c>
      <c r="U780" s="13"/>
      <c r="V780" s="18" t="s">
        <v>92</v>
      </c>
      <c r="W780" s="18" t="s">
        <v>92</v>
      </c>
      <c r="X780" s="12" t="s">
        <v>93</v>
      </c>
      <c r="Y780" s="17"/>
      <c r="Z780" s="75"/>
      <c r="AA780" s="24"/>
      <c r="AC780" s="24"/>
      <c r="AD780" s="24"/>
      <c r="AE780" s="24"/>
      <c r="AF780" s="24"/>
      <c r="AG780" s="24"/>
      <c r="AH780" s="24"/>
      <c r="AI780" s="24"/>
    </row>
    <row r="781" spans="1:35" hidden="1" x14ac:dyDescent="0.3">
      <c r="A781" s="12" t="s">
        <v>85</v>
      </c>
      <c r="B781" s="18">
        <v>58343</v>
      </c>
      <c r="C781" s="16" t="s">
        <v>820</v>
      </c>
      <c r="D781" s="18" t="s">
        <v>1</v>
      </c>
      <c r="E781" s="12" t="s">
        <v>1185</v>
      </c>
      <c r="F781" s="18" t="s">
        <v>113</v>
      </c>
      <c r="G781" s="12" t="s">
        <v>113</v>
      </c>
      <c r="H781" s="18" t="s">
        <v>153</v>
      </c>
      <c r="I781" s="18" t="s">
        <v>115</v>
      </c>
      <c r="J781" s="16" t="s">
        <v>905</v>
      </c>
      <c r="K781" s="16" t="s">
        <v>905</v>
      </c>
      <c r="L781" s="11" t="s">
        <v>1209</v>
      </c>
      <c r="M781" s="16" t="s">
        <v>897</v>
      </c>
      <c r="N781" s="63">
        <v>0</v>
      </c>
      <c r="O781" s="63">
        <v>57.08</v>
      </c>
      <c r="P781" s="18"/>
      <c r="Q781" s="18" t="s">
        <v>12</v>
      </c>
      <c r="R781" s="12" t="s">
        <v>99</v>
      </c>
      <c r="S781" s="12" t="s">
        <v>99</v>
      </c>
      <c r="T781" s="12">
        <v>0</v>
      </c>
      <c r="U781" s="13"/>
      <c r="V781" s="18" t="s">
        <v>92</v>
      </c>
      <c r="W781" s="18" t="s">
        <v>92</v>
      </c>
      <c r="X781" s="12" t="s">
        <v>93</v>
      </c>
      <c r="Y781" s="17"/>
      <c r="Z781" s="75"/>
      <c r="AA781" s="24"/>
      <c r="AC781" s="24"/>
      <c r="AD781" s="24"/>
      <c r="AE781" s="24"/>
      <c r="AF781" s="24"/>
      <c r="AG781" s="24"/>
      <c r="AH781" s="24"/>
      <c r="AI781" s="24"/>
    </row>
    <row r="782" spans="1:35" hidden="1" x14ac:dyDescent="0.3">
      <c r="A782" s="12" t="s">
        <v>85</v>
      </c>
      <c r="B782" s="18">
        <v>58344</v>
      </c>
      <c r="C782" s="16" t="s">
        <v>820</v>
      </c>
      <c r="D782" s="18" t="s">
        <v>1</v>
      </c>
      <c r="E782" s="12" t="s">
        <v>1185</v>
      </c>
      <c r="F782" s="18" t="s">
        <v>113</v>
      </c>
      <c r="G782" s="12" t="s">
        <v>113</v>
      </c>
      <c r="H782" s="18" t="s">
        <v>153</v>
      </c>
      <c r="I782" s="18" t="s">
        <v>115</v>
      </c>
      <c r="J782" s="16" t="s">
        <v>906</v>
      </c>
      <c r="K782" s="16" t="s">
        <v>906</v>
      </c>
      <c r="L782" s="11" t="s">
        <v>1209</v>
      </c>
      <c r="M782" s="16" t="s">
        <v>897</v>
      </c>
      <c r="N782" s="63">
        <v>0</v>
      </c>
      <c r="O782" s="63">
        <v>57.08</v>
      </c>
      <c r="P782" s="18"/>
      <c r="Q782" s="18" t="s">
        <v>12</v>
      </c>
      <c r="R782" s="12" t="s">
        <v>99</v>
      </c>
      <c r="S782" s="12" t="s">
        <v>99</v>
      </c>
      <c r="T782" s="12">
        <v>0</v>
      </c>
      <c r="U782" s="13"/>
      <c r="V782" s="18" t="s">
        <v>92</v>
      </c>
      <c r="W782" s="18" t="s">
        <v>92</v>
      </c>
      <c r="X782" s="12" t="s">
        <v>93</v>
      </c>
      <c r="Y782" s="17"/>
      <c r="Z782" s="75"/>
      <c r="AA782" s="24"/>
      <c r="AC782" s="24"/>
      <c r="AD782" s="24"/>
      <c r="AE782" s="24"/>
      <c r="AF782" s="24"/>
      <c r="AG782" s="24"/>
      <c r="AH782" s="24"/>
      <c r="AI782" s="24"/>
    </row>
    <row r="783" spans="1:35" hidden="1" x14ac:dyDescent="0.3">
      <c r="A783" s="12" t="s">
        <v>85</v>
      </c>
      <c r="B783" s="18">
        <v>58345</v>
      </c>
      <c r="C783" s="16" t="s">
        <v>820</v>
      </c>
      <c r="D783" s="18" t="s">
        <v>1</v>
      </c>
      <c r="E783" s="12" t="s">
        <v>1185</v>
      </c>
      <c r="F783" s="18" t="s">
        <v>113</v>
      </c>
      <c r="G783" s="12" t="s">
        <v>113</v>
      </c>
      <c r="H783" s="18" t="s">
        <v>153</v>
      </c>
      <c r="I783" s="18" t="s">
        <v>115</v>
      </c>
      <c r="J783" s="16" t="s">
        <v>907</v>
      </c>
      <c r="K783" s="16" t="s">
        <v>907</v>
      </c>
      <c r="L783" s="11" t="s">
        <v>1209</v>
      </c>
      <c r="M783" s="16" t="s">
        <v>897</v>
      </c>
      <c r="N783" s="63">
        <v>0</v>
      </c>
      <c r="O783" s="63">
        <v>47.68</v>
      </c>
      <c r="P783" s="18"/>
      <c r="Q783" s="18" t="s">
        <v>12</v>
      </c>
      <c r="R783" s="12" t="s">
        <v>99</v>
      </c>
      <c r="S783" s="12" t="s">
        <v>99</v>
      </c>
      <c r="T783" s="12">
        <v>0</v>
      </c>
      <c r="U783" s="13"/>
      <c r="V783" s="18" t="s">
        <v>92</v>
      </c>
      <c r="W783" s="18" t="s">
        <v>92</v>
      </c>
      <c r="X783" s="12" t="s">
        <v>93</v>
      </c>
      <c r="Y783" s="17"/>
      <c r="Z783" s="75"/>
      <c r="AA783" s="24"/>
      <c r="AC783" s="24"/>
      <c r="AD783" s="24"/>
      <c r="AE783" s="24"/>
      <c r="AF783" s="24"/>
      <c r="AG783" s="24"/>
      <c r="AH783" s="24"/>
      <c r="AI783" s="24"/>
    </row>
    <row r="784" spans="1:35" hidden="1" x14ac:dyDescent="0.3">
      <c r="A784" s="12" t="s">
        <v>85</v>
      </c>
      <c r="B784" s="18">
        <v>58351</v>
      </c>
      <c r="C784" s="16" t="s">
        <v>820</v>
      </c>
      <c r="D784" s="18" t="s">
        <v>1</v>
      </c>
      <c r="E784" s="12" t="s">
        <v>1185</v>
      </c>
      <c r="F784" s="18" t="s">
        <v>113</v>
      </c>
      <c r="G784" s="12" t="s">
        <v>113</v>
      </c>
      <c r="H784" s="18" t="s">
        <v>153</v>
      </c>
      <c r="I784" s="18" t="s">
        <v>115</v>
      </c>
      <c r="J784" s="16" t="s">
        <v>908</v>
      </c>
      <c r="K784" s="16" t="s">
        <v>908</v>
      </c>
      <c r="L784" s="11" t="s">
        <v>1209</v>
      </c>
      <c r="M784" s="16" t="s">
        <v>897</v>
      </c>
      <c r="N784" s="63">
        <v>0</v>
      </c>
      <c r="O784" s="63">
        <v>47.48</v>
      </c>
      <c r="P784" s="18"/>
      <c r="Q784" s="18" t="s">
        <v>12</v>
      </c>
      <c r="R784" s="12" t="s">
        <v>99</v>
      </c>
      <c r="S784" s="12" t="s">
        <v>99</v>
      </c>
      <c r="T784" s="12">
        <v>0</v>
      </c>
      <c r="U784" s="13"/>
      <c r="V784" s="18" t="s">
        <v>92</v>
      </c>
      <c r="W784" s="18" t="s">
        <v>92</v>
      </c>
      <c r="X784" s="12" t="s">
        <v>93</v>
      </c>
      <c r="Y784" s="17"/>
      <c r="Z784" s="75"/>
      <c r="AA784" s="24"/>
      <c r="AC784" s="24"/>
      <c r="AD784" s="24"/>
      <c r="AE784" s="24"/>
      <c r="AF784" s="24"/>
      <c r="AG784" s="24"/>
      <c r="AH784" s="24"/>
      <c r="AI784" s="24"/>
    </row>
    <row r="785" spans="1:35" hidden="1" x14ac:dyDescent="0.3">
      <c r="A785" s="12" t="s">
        <v>85</v>
      </c>
      <c r="B785" s="18">
        <v>58352</v>
      </c>
      <c r="C785" s="16" t="s">
        <v>820</v>
      </c>
      <c r="D785" s="18" t="s">
        <v>1</v>
      </c>
      <c r="E785" s="12" t="s">
        <v>1185</v>
      </c>
      <c r="F785" s="18" t="s">
        <v>113</v>
      </c>
      <c r="G785" s="12" t="s">
        <v>113</v>
      </c>
      <c r="H785" s="18" t="s">
        <v>153</v>
      </c>
      <c r="I785" s="18" t="s">
        <v>115</v>
      </c>
      <c r="J785" s="16" t="s">
        <v>909</v>
      </c>
      <c r="K785" s="16" t="s">
        <v>909</v>
      </c>
      <c r="L785" s="11" t="s">
        <v>1209</v>
      </c>
      <c r="M785" s="16" t="s">
        <v>897</v>
      </c>
      <c r="N785" s="63">
        <v>0</v>
      </c>
      <c r="O785" s="64">
        <v>48.3</v>
      </c>
      <c r="P785" s="18"/>
      <c r="Q785" s="18" t="s">
        <v>12</v>
      </c>
      <c r="R785" s="12" t="s">
        <v>99</v>
      </c>
      <c r="S785" s="12" t="s">
        <v>99</v>
      </c>
      <c r="T785" s="12">
        <v>0</v>
      </c>
      <c r="U785" s="13"/>
      <c r="V785" s="18" t="s">
        <v>92</v>
      </c>
      <c r="W785" s="18" t="s">
        <v>92</v>
      </c>
      <c r="X785" s="12" t="s">
        <v>93</v>
      </c>
      <c r="Y785" s="17"/>
      <c r="Z785" s="75"/>
      <c r="AA785" s="24"/>
      <c r="AC785" s="24"/>
      <c r="AD785" s="24"/>
      <c r="AE785" s="24"/>
      <c r="AF785" s="24"/>
      <c r="AG785" s="24"/>
      <c r="AH785" s="24"/>
      <c r="AI785" s="24"/>
    </row>
    <row r="786" spans="1:35" hidden="1" x14ac:dyDescent="0.3">
      <c r="A786" s="12" t="s">
        <v>85</v>
      </c>
      <c r="B786" s="18">
        <v>58367</v>
      </c>
      <c r="C786" s="16" t="s">
        <v>820</v>
      </c>
      <c r="D786" s="18" t="s">
        <v>1</v>
      </c>
      <c r="E786" s="12" t="s">
        <v>1185</v>
      </c>
      <c r="F786" s="18" t="s">
        <v>113</v>
      </c>
      <c r="G786" s="12" t="s">
        <v>113</v>
      </c>
      <c r="H786" s="18" t="s">
        <v>153</v>
      </c>
      <c r="I786" s="18" t="s">
        <v>115</v>
      </c>
      <c r="J786" s="16" t="s">
        <v>910</v>
      </c>
      <c r="K786" s="16" t="s">
        <v>910</v>
      </c>
      <c r="L786" s="11" t="s">
        <v>1209</v>
      </c>
      <c r="M786" s="16" t="s">
        <v>897</v>
      </c>
      <c r="N786" s="63">
        <v>0</v>
      </c>
      <c r="O786" s="63">
        <v>26.47</v>
      </c>
      <c r="P786" s="18"/>
      <c r="Q786" s="18" t="s">
        <v>12</v>
      </c>
      <c r="R786" s="12" t="s">
        <v>99</v>
      </c>
      <c r="S786" s="12" t="s">
        <v>99</v>
      </c>
      <c r="T786" s="12">
        <v>0</v>
      </c>
      <c r="U786" s="13"/>
      <c r="V786" s="18" t="s">
        <v>92</v>
      </c>
      <c r="W786" s="18" t="s">
        <v>92</v>
      </c>
      <c r="X786" s="12" t="s">
        <v>93</v>
      </c>
      <c r="Y786" s="17"/>
      <c r="Z786" s="75"/>
      <c r="AA786" s="24"/>
      <c r="AC786" s="24"/>
      <c r="AD786" s="24"/>
      <c r="AE786" s="24"/>
      <c r="AF786" s="24"/>
      <c r="AG786" s="24"/>
      <c r="AH786" s="24"/>
      <c r="AI786" s="24"/>
    </row>
    <row r="787" spans="1:35" hidden="1" x14ac:dyDescent="0.3">
      <c r="A787" s="12" t="s">
        <v>85</v>
      </c>
      <c r="B787" s="18">
        <v>58375</v>
      </c>
      <c r="C787" s="16" t="s">
        <v>820</v>
      </c>
      <c r="D787" s="18" t="s">
        <v>1</v>
      </c>
      <c r="E787" s="12" t="s">
        <v>1185</v>
      </c>
      <c r="F787" s="18" t="s">
        <v>113</v>
      </c>
      <c r="G787" s="12" t="s">
        <v>113</v>
      </c>
      <c r="H787" s="18" t="s">
        <v>153</v>
      </c>
      <c r="I787" s="18" t="s">
        <v>115</v>
      </c>
      <c r="J787" s="16" t="s">
        <v>911</v>
      </c>
      <c r="K787" s="16" t="s">
        <v>911</v>
      </c>
      <c r="L787" s="11" t="s">
        <v>1209</v>
      </c>
      <c r="M787" s="16" t="s">
        <v>897</v>
      </c>
      <c r="N787" s="63">
        <v>0</v>
      </c>
      <c r="O787" s="63">
        <v>37.17</v>
      </c>
      <c r="P787" s="18"/>
      <c r="Q787" s="18" t="s">
        <v>12</v>
      </c>
      <c r="R787" s="12" t="s">
        <v>99</v>
      </c>
      <c r="S787" s="12" t="s">
        <v>99</v>
      </c>
      <c r="T787" s="12">
        <v>0</v>
      </c>
      <c r="U787" s="13"/>
      <c r="V787" s="18" t="s">
        <v>92</v>
      </c>
      <c r="W787" s="18" t="s">
        <v>92</v>
      </c>
      <c r="X787" s="12" t="s">
        <v>93</v>
      </c>
      <c r="Y787" s="17"/>
      <c r="Z787" s="75"/>
      <c r="AA787" s="24"/>
      <c r="AC787" s="24"/>
      <c r="AD787" s="24"/>
      <c r="AE787" s="24"/>
      <c r="AF787" s="24"/>
      <c r="AG787" s="24"/>
      <c r="AH787" s="24"/>
      <c r="AI787" s="24"/>
    </row>
    <row r="788" spans="1:35" hidden="1" x14ac:dyDescent="0.3">
      <c r="A788" s="12" t="s">
        <v>85</v>
      </c>
      <c r="B788" s="18">
        <v>58424</v>
      </c>
      <c r="C788" s="16" t="s">
        <v>820</v>
      </c>
      <c r="D788" s="18" t="s">
        <v>1</v>
      </c>
      <c r="E788" s="12" t="s">
        <v>1185</v>
      </c>
      <c r="F788" s="18" t="s">
        <v>113</v>
      </c>
      <c r="G788" s="12" t="s">
        <v>113</v>
      </c>
      <c r="H788" s="18" t="s">
        <v>153</v>
      </c>
      <c r="I788" s="18" t="s">
        <v>115</v>
      </c>
      <c r="J788" s="16" t="s">
        <v>912</v>
      </c>
      <c r="K788" s="16" t="s">
        <v>912</v>
      </c>
      <c r="L788" s="11" t="s">
        <v>1209</v>
      </c>
      <c r="M788" s="16" t="s">
        <v>897</v>
      </c>
      <c r="N788" s="63">
        <v>0</v>
      </c>
      <c r="O788" s="63">
        <v>66.680000000000007</v>
      </c>
      <c r="P788" s="18"/>
      <c r="Q788" s="18" t="s">
        <v>12</v>
      </c>
      <c r="R788" s="12" t="s">
        <v>99</v>
      </c>
      <c r="S788" s="12" t="s">
        <v>99</v>
      </c>
      <c r="T788" s="12">
        <v>0</v>
      </c>
      <c r="U788" s="13"/>
      <c r="V788" s="18" t="s">
        <v>92</v>
      </c>
      <c r="W788" s="18" t="s">
        <v>92</v>
      </c>
      <c r="X788" s="12" t="s">
        <v>93</v>
      </c>
      <c r="Y788" s="17"/>
      <c r="Z788" s="75"/>
      <c r="AA788" s="24"/>
      <c r="AC788" s="24"/>
      <c r="AD788" s="24"/>
      <c r="AE788" s="24"/>
      <c r="AF788" s="24"/>
      <c r="AG788" s="24"/>
      <c r="AH788" s="24"/>
      <c r="AI788" s="24"/>
    </row>
    <row r="789" spans="1:35" hidden="1" x14ac:dyDescent="0.3">
      <c r="A789" s="12" t="s">
        <v>85</v>
      </c>
      <c r="B789" s="18">
        <v>58515</v>
      </c>
      <c r="C789" s="16" t="s">
        <v>820</v>
      </c>
      <c r="D789" s="18" t="s">
        <v>1</v>
      </c>
      <c r="E789" s="12" t="s">
        <v>1185</v>
      </c>
      <c r="F789" s="18" t="s">
        <v>113</v>
      </c>
      <c r="G789" s="12" t="s">
        <v>113</v>
      </c>
      <c r="H789" s="18" t="s">
        <v>153</v>
      </c>
      <c r="I789" s="18" t="s">
        <v>115</v>
      </c>
      <c r="J789" s="16" t="s">
        <v>913</v>
      </c>
      <c r="K789" s="16" t="s">
        <v>913</v>
      </c>
      <c r="L789" s="11" t="s">
        <v>1209</v>
      </c>
      <c r="M789" s="16" t="s">
        <v>897</v>
      </c>
      <c r="N789" s="59">
        <v>0</v>
      </c>
      <c r="O789" s="59">
        <v>64.92</v>
      </c>
      <c r="P789" s="18"/>
      <c r="Q789" s="18" t="s">
        <v>12</v>
      </c>
      <c r="R789" s="12" t="s">
        <v>99</v>
      </c>
      <c r="S789" s="12" t="s">
        <v>99</v>
      </c>
      <c r="T789" s="12">
        <v>0</v>
      </c>
      <c r="U789" s="13"/>
      <c r="V789" s="18" t="s">
        <v>92</v>
      </c>
      <c r="W789" s="18" t="s">
        <v>92</v>
      </c>
      <c r="X789" s="12" t="s">
        <v>93</v>
      </c>
      <c r="Y789" s="17"/>
      <c r="Z789" s="75"/>
      <c r="AA789" s="24"/>
      <c r="AC789" s="24"/>
      <c r="AD789" s="24"/>
      <c r="AE789" s="24"/>
      <c r="AF789" s="24"/>
      <c r="AG789" s="24"/>
      <c r="AH789" s="24"/>
      <c r="AI789" s="24"/>
    </row>
    <row r="790" spans="1:35" hidden="1" x14ac:dyDescent="0.3">
      <c r="A790" s="12" t="s">
        <v>85</v>
      </c>
      <c r="B790" s="18">
        <v>58516</v>
      </c>
      <c r="C790" s="16" t="s">
        <v>820</v>
      </c>
      <c r="D790" s="18" t="s">
        <v>1</v>
      </c>
      <c r="E790" s="12" t="s">
        <v>1185</v>
      </c>
      <c r="F790" s="18" t="s">
        <v>113</v>
      </c>
      <c r="G790" s="12" t="s">
        <v>113</v>
      </c>
      <c r="H790" s="18" t="s">
        <v>153</v>
      </c>
      <c r="I790" s="18" t="s">
        <v>115</v>
      </c>
      <c r="J790" s="16" t="s">
        <v>914</v>
      </c>
      <c r="K790" s="16" t="s">
        <v>914</v>
      </c>
      <c r="L790" s="11" t="s">
        <v>1209</v>
      </c>
      <c r="M790" s="16" t="s">
        <v>897</v>
      </c>
      <c r="N790" s="59">
        <v>0</v>
      </c>
      <c r="O790" s="59">
        <v>64.92</v>
      </c>
      <c r="P790" s="18"/>
      <c r="Q790" s="18" t="s">
        <v>12</v>
      </c>
      <c r="R790" s="12" t="s">
        <v>99</v>
      </c>
      <c r="S790" s="12" t="s">
        <v>99</v>
      </c>
      <c r="T790" s="12">
        <v>0</v>
      </c>
      <c r="U790" s="13"/>
      <c r="V790" s="18" t="s">
        <v>92</v>
      </c>
      <c r="W790" s="18" t="s">
        <v>92</v>
      </c>
      <c r="X790" s="12" t="s">
        <v>93</v>
      </c>
      <c r="Y790" s="17"/>
      <c r="Z790" s="75"/>
      <c r="AA790" s="24"/>
      <c r="AC790" s="24"/>
      <c r="AD790" s="24"/>
      <c r="AE790" s="24"/>
      <c r="AF790" s="24"/>
      <c r="AG790" s="24"/>
      <c r="AH790" s="24"/>
      <c r="AI790" s="24"/>
    </row>
    <row r="791" spans="1:35" hidden="1" x14ac:dyDescent="0.3">
      <c r="A791" s="12" t="s">
        <v>85</v>
      </c>
      <c r="B791" s="18">
        <v>58517</v>
      </c>
      <c r="C791" s="16" t="s">
        <v>820</v>
      </c>
      <c r="D791" s="18" t="s">
        <v>1</v>
      </c>
      <c r="E791" s="12" t="s">
        <v>1185</v>
      </c>
      <c r="F791" s="18" t="s">
        <v>113</v>
      </c>
      <c r="G791" s="12" t="s">
        <v>113</v>
      </c>
      <c r="H791" s="18" t="s">
        <v>153</v>
      </c>
      <c r="I791" s="18" t="s">
        <v>115</v>
      </c>
      <c r="J791" s="16" t="s">
        <v>915</v>
      </c>
      <c r="K791" s="16" t="s">
        <v>915</v>
      </c>
      <c r="L791" s="11" t="s">
        <v>1209</v>
      </c>
      <c r="M791" s="16" t="s">
        <v>897</v>
      </c>
      <c r="N791" s="63">
        <v>0</v>
      </c>
      <c r="O791" s="63">
        <v>53.67</v>
      </c>
      <c r="P791" s="18"/>
      <c r="Q791" s="18" t="s">
        <v>12</v>
      </c>
      <c r="R791" s="12" t="s">
        <v>99</v>
      </c>
      <c r="S791" s="12" t="s">
        <v>99</v>
      </c>
      <c r="T791" s="12">
        <v>0</v>
      </c>
      <c r="U791" s="13"/>
      <c r="V791" s="18" t="s">
        <v>92</v>
      </c>
      <c r="W791" s="18" t="s">
        <v>92</v>
      </c>
      <c r="X791" s="12" t="s">
        <v>93</v>
      </c>
      <c r="Y791" s="17"/>
      <c r="Z791" s="75"/>
      <c r="AA791" s="24"/>
      <c r="AC791" s="24"/>
      <c r="AD791" s="24"/>
      <c r="AE791" s="24"/>
      <c r="AF791" s="24"/>
      <c r="AG791" s="24"/>
      <c r="AH791" s="24"/>
      <c r="AI791" s="24"/>
    </row>
    <row r="792" spans="1:35" hidden="1" x14ac:dyDescent="0.3">
      <c r="A792" s="12" t="s">
        <v>85</v>
      </c>
      <c r="B792" s="18">
        <v>58518</v>
      </c>
      <c r="C792" s="16" t="s">
        <v>820</v>
      </c>
      <c r="D792" s="18" t="s">
        <v>1</v>
      </c>
      <c r="E792" s="12" t="s">
        <v>1185</v>
      </c>
      <c r="F792" s="18" t="s">
        <v>113</v>
      </c>
      <c r="G792" s="12" t="s">
        <v>113</v>
      </c>
      <c r="H792" s="18" t="s">
        <v>153</v>
      </c>
      <c r="I792" s="18" t="s">
        <v>115</v>
      </c>
      <c r="J792" s="16" t="s">
        <v>916</v>
      </c>
      <c r="K792" s="16" t="s">
        <v>916</v>
      </c>
      <c r="L792" s="11" t="s">
        <v>1209</v>
      </c>
      <c r="M792" s="16" t="s">
        <v>897</v>
      </c>
      <c r="N792" s="63">
        <v>0</v>
      </c>
      <c r="O792" s="64">
        <v>63.7</v>
      </c>
      <c r="P792" s="18"/>
      <c r="Q792" s="18" t="s">
        <v>12</v>
      </c>
      <c r="R792" s="12" t="s">
        <v>99</v>
      </c>
      <c r="S792" s="12" t="s">
        <v>99</v>
      </c>
      <c r="T792" s="12">
        <v>0</v>
      </c>
      <c r="U792" s="13"/>
      <c r="V792" s="18" t="s">
        <v>92</v>
      </c>
      <c r="W792" s="18" t="s">
        <v>92</v>
      </c>
      <c r="X792" s="12" t="s">
        <v>93</v>
      </c>
      <c r="Y792" s="17"/>
      <c r="Z792" s="75"/>
      <c r="AA792" s="24"/>
      <c r="AC792" s="24"/>
      <c r="AD792" s="24"/>
      <c r="AE792" s="24"/>
      <c r="AF792" s="24"/>
      <c r="AG792" s="24"/>
      <c r="AH792" s="24"/>
      <c r="AI792" s="24"/>
    </row>
    <row r="793" spans="1:35" hidden="1" x14ac:dyDescent="0.3">
      <c r="A793" s="12" t="s">
        <v>85</v>
      </c>
      <c r="B793" s="18">
        <v>58519</v>
      </c>
      <c r="C793" s="16" t="s">
        <v>820</v>
      </c>
      <c r="D793" s="18" t="s">
        <v>1</v>
      </c>
      <c r="E793" s="12" t="s">
        <v>1185</v>
      </c>
      <c r="F793" s="18" t="s">
        <v>113</v>
      </c>
      <c r="G793" s="12" t="s">
        <v>113</v>
      </c>
      <c r="H793" s="18" t="s">
        <v>153</v>
      </c>
      <c r="I793" s="18" t="s">
        <v>115</v>
      </c>
      <c r="J793" s="16" t="s">
        <v>917</v>
      </c>
      <c r="K793" s="16" t="s">
        <v>917</v>
      </c>
      <c r="L793" s="11" t="s">
        <v>1209</v>
      </c>
      <c r="M793" s="16" t="s">
        <v>897</v>
      </c>
      <c r="N793" s="63">
        <v>0</v>
      </c>
      <c r="O793" s="63">
        <v>60.31</v>
      </c>
      <c r="P793" s="18"/>
      <c r="Q793" s="18" t="s">
        <v>12</v>
      </c>
      <c r="R793" s="12" t="s">
        <v>99</v>
      </c>
      <c r="S793" s="12" t="s">
        <v>99</v>
      </c>
      <c r="T793" s="12">
        <v>0</v>
      </c>
      <c r="U793" s="13"/>
      <c r="V793" s="18" t="s">
        <v>92</v>
      </c>
      <c r="W793" s="18" t="s">
        <v>92</v>
      </c>
      <c r="X793" s="12" t="s">
        <v>93</v>
      </c>
      <c r="Y793" s="17"/>
      <c r="Z793" s="75"/>
      <c r="AA793" s="24"/>
      <c r="AC793" s="24"/>
      <c r="AD793" s="24"/>
      <c r="AE793" s="24"/>
      <c r="AF793" s="24"/>
      <c r="AG793" s="24"/>
      <c r="AH793" s="24"/>
      <c r="AI793" s="24"/>
    </row>
    <row r="794" spans="1:35" hidden="1" x14ac:dyDescent="0.3">
      <c r="A794" s="12" t="s">
        <v>85</v>
      </c>
      <c r="B794" s="18">
        <v>58520</v>
      </c>
      <c r="C794" s="16" t="s">
        <v>820</v>
      </c>
      <c r="D794" s="18" t="s">
        <v>1</v>
      </c>
      <c r="E794" s="12" t="s">
        <v>1185</v>
      </c>
      <c r="F794" s="18" t="s">
        <v>113</v>
      </c>
      <c r="G794" s="12" t="s">
        <v>113</v>
      </c>
      <c r="H794" s="18" t="s">
        <v>153</v>
      </c>
      <c r="I794" s="18" t="s">
        <v>115</v>
      </c>
      <c r="J794" s="16" t="s">
        <v>918</v>
      </c>
      <c r="K794" s="16" t="s">
        <v>918</v>
      </c>
      <c r="L794" s="11" t="s">
        <v>1209</v>
      </c>
      <c r="M794" s="16" t="s">
        <v>897</v>
      </c>
      <c r="N794" s="63">
        <v>0</v>
      </c>
      <c r="O794" s="63">
        <v>58.42</v>
      </c>
      <c r="P794" s="18"/>
      <c r="Q794" s="18" t="s">
        <v>12</v>
      </c>
      <c r="R794" s="12" t="s">
        <v>99</v>
      </c>
      <c r="S794" s="12" t="s">
        <v>99</v>
      </c>
      <c r="T794" s="12">
        <v>0</v>
      </c>
      <c r="U794" s="13"/>
      <c r="V794" s="18" t="s">
        <v>92</v>
      </c>
      <c r="W794" s="18" t="s">
        <v>92</v>
      </c>
      <c r="X794" s="12" t="s">
        <v>93</v>
      </c>
      <c r="Y794" s="17"/>
      <c r="Z794" s="75"/>
      <c r="AA794" s="24"/>
      <c r="AC794" s="24"/>
      <c r="AD794" s="24"/>
      <c r="AE794" s="24"/>
      <c r="AF794" s="24"/>
      <c r="AG794" s="24"/>
      <c r="AH794" s="24"/>
      <c r="AI794" s="24"/>
    </row>
    <row r="795" spans="1:35" hidden="1" x14ac:dyDescent="0.3">
      <c r="A795" s="12" t="s">
        <v>85</v>
      </c>
      <c r="B795" s="18">
        <v>58521</v>
      </c>
      <c r="C795" s="16" t="s">
        <v>820</v>
      </c>
      <c r="D795" s="18" t="s">
        <v>1</v>
      </c>
      <c r="E795" s="12" t="s">
        <v>1185</v>
      </c>
      <c r="F795" s="18" t="s">
        <v>113</v>
      </c>
      <c r="G795" s="12" t="s">
        <v>113</v>
      </c>
      <c r="H795" s="18" t="s">
        <v>153</v>
      </c>
      <c r="I795" s="18" t="s">
        <v>115</v>
      </c>
      <c r="J795" s="16" t="s">
        <v>919</v>
      </c>
      <c r="K795" s="16" t="s">
        <v>919</v>
      </c>
      <c r="L795" s="11" t="s">
        <v>1209</v>
      </c>
      <c r="M795" s="16" t="s">
        <v>897</v>
      </c>
      <c r="N795" s="59">
        <v>0</v>
      </c>
      <c r="O795" s="59">
        <v>64.92</v>
      </c>
      <c r="P795" s="18"/>
      <c r="Q795" s="18" t="s">
        <v>12</v>
      </c>
      <c r="R795" s="12" t="s">
        <v>99</v>
      </c>
      <c r="S795" s="12" t="s">
        <v>99</v>
      </c>
      <c r="T795" s="12">
        <v>0</v>
      </c>
      <c r="U795" s="13"/>
      <c r="V795" s="12" t="s">
        <v>92</v>
      </c>
      <c r="W795" s="18" t="s">
        <v>92</v>
      </c>
      <c r="X795" s="12" t="s">
        <v>93</v>
      </c>
      <c r="Y795" s="17"/>
      <c r="Z795" s="75"/>
      <c r="AA795" s="24"/>
      <c r="AC795" s="24"/>
      <c r="AD795" s="24"/>
      <c r="AE795" s="24"/>
      <c r="AF795" s="24"/>
      <c r="AG795" s="24"/>
      <c r="AH795" s="24"/>
      <c r="AI795" s="24"/>
    </row>
    <row r="796" spans="1:35" hidden="1" x14ac:dyDescent="0.3">
      <c r="A796" s="12" t="s">
        <v>85</v>
      </c>
      <c r="B796" s="18">
        <v>58522</v>
      </c>
      <c r="C796" s="16" t="s">
        <v>820</v>
      </c>
      <c r="D796" s="18" t="s">
        <v>1</v>
      </c>
      <c r="E796" s="12" t="s">
        <v>1185</v>
      </c>
      <c r="F796" s="18" t="s">
        <v>113</v>
      </c>
      <c r="G796" s="12" t="s">
        <v>113</v>
      </c>
      <c r="H796" s="18" t="s">
        <v>153</v>
      </c>
      <c r="I796" s="18" t="s">
        <v>115</v>
      </c>
      <c r="J796" s="16" t="s">
        <v>920</v>
      </c>
      <c r="K796" s="16" t="s">
        <v>920</v>
      </c>
      <c r="L796" s="11" t="s">
        <v>1209</v>
      </c>
      <c r="M796" s="16" t="s">
        <v>897</v>
      </c>
      <c r="N796" s="59">
        <v>0</v>
      </c>
      <c r="O796" s="59">
        <v>64.92</v>
      </c>
      <c r="P796" s="18"/>
      <c r="Q796" s="18" t="s">
        <v>12</v>
      </c>
      <c r="R796" s="12" t="s">
        <v>99</v>
      </c>
      <c r="S796" s="12" t="s">
        <v>99</v>
      </c>
      <c r="T796" s="12">
        <v>0</v>
      </c>
      <c r="U796" s="13"/>
      <c r="V796" s="12" t="s">
        <v>92</v>
      </c>
      <c r="W796" s="18" t="s">
        <v>92</v>
      </c>
      <c r="X796" s="12" t="s">
        <v>93</v>
      </c>
      <c r="Y796" s="13"/>
      <c r="Z796" s="75"/>
      <c r="AA796" s="24"/>
      <c r="AC796" s="24"/>
      <c r="AD796" s="24"/>
      <c r="AE796" s="24"/>
      <c r="AF796" s="24"/>
      <c r="AG796" s="24"/>
      <c r="AH796" s="24"/>
      <c r="AI796" s="24"/>
    </row>
    <row r="797" spans="1:35" hidden="1" x14ac:dyDescent="0.3">
      <c r="A797" s="12" t="s">
        <v>85</v>
      </c>
      <c r="B797" s="18">
        <v>60210</v>
      </c>
      <c r="C797" s="16" t="s">
        <v>136</v>
      </c>
      <c r="D797" s="18" t="s">
        <v>1</v>
      </c>
      <c r="E797" s="12" t="s">
        <v>1185</v>
      </c>
      <c r="F797" s="18" t="s">
        <v>132</v>
      </c>
      <c r="G797" s="12" t="s">
        <v>132</v>
      </c>
      <c r="H797" s="18" t="s">
        <v>609</v>
      </c>
      <c r="I797" s="18" t="s">
        <v>89</v>
      </c>
      <c r="J797" s="16" t="s">
        <v>863</v>
      </c>
      <c r="K797" s="16" t="s">
        <v>863</v>
      </c>
      <c r="L797" s="11" t="s">
        <v>1214</v>
      </c>
      <c r="M797" s="16" t="s">
        <v>864</v>
      </c>
      <c r="N797" s="64">
        <f>12035.5-601.77</f>
        <v>11433.73</v>
      </c>
      <c r="O797" s="63"/>
      <c r="P797" s="18">
        <v>389234</v>
      </c>
      <c r="Q797" s="18" t="s">
        <v>4</v>
      </c>
      <c r="R797" s="18" t="s">
        <v>15</v>
      </c>
      <c r="S797" s="18" t="s">
        <v>62</v>
      </c>
      <c r="T797" s="12">
        <v>0</v>
      </c>
      <c r="U797" s="13"/>
      <c r="V797" s="12" t="s">
        <v>92</v>
      </c>
      <c r="W797" s="18" t="s">
        <v>92</v>
      </c>
      <c r="X797" s="12" t="s">
        <v>93</v>
      </c>
      <c r="Y797" s="17"/>
      <c r="Z797" s="75"/>
      <c r="AA797" s="24"/>
      <c r="AC797" s="24"/>
      <c r="AD797" s="24"/>
      <c r="AE797" s="24"/>
      <c r="AF797" s="24"/>
      <c r="AG797" s="24"/>
      <c r="AH797" s="24"/>
      <c r="AI797" s="24"/>
    </row>
    <row r="798" spans="1:35" hidden="1" x14ac:dyDescent="0.3">
      <c r="A798" s="12" t="s">
        <v>85</v>
      </c>
      <c r="B798" s="18">
        <v>60422</v>
      </c>
      <c r="C798" s="16" t="s">
        <v>820</v>
      </c>
      <c r="D798" s="18" t="s">
        <v>1</v>
      </c>
      <c r="E798" s="12" t="s">
        <v>1185</v>
      </c>
      <c r="F798" s="18" t="s">
        <v>113</v>
      </c>
      <c r="G798" s="12" t="s">
        <v>113</v>
      </c>
      <c r="H798" s="18" t="s">
        <v>153</v>
      </c>
      <c r="I798" s="18" t="s">
        <v>115</v>
      </c>
      <c r="J798" s="16" t="s">
        <v>921</v>
      </c>
      <c r="K798" s="16" t="s">
        <v>921</v>
      </c>
      <c r="L798" s="11" t="s">
        <v>1209</v>
      </c>
      <c r="M798" s="16" t="s">
        <v>922</v>
      </c>
      <c r="N798" s="63">
        <v>0</v>
      </c>
      <c r="O798" s="63">
        <v>162.88</v>
      </c>
      <c r="P798" s="18"/>
      <c r="Q798" s="18" t="s">
        <v>12</v>
      </c>
      <c r="R798" s="12" t="s">
        <v>99</v>
      </c>
      <c r="S798" s="12" t="s">
        <v>99</v>
      </c>
      <c r="T798" s="12">
        <v>0</v>
      </c>
      <c r="U798" s="13"/>
      <c r="V798" s="18" t="s">
        <v>92</v>
      </c>
      <c r="W798" s="18" t="s">
        <v>92</v>
      </c>
      <c r="X798" s="12" t="s">
        <v>93</v>
      </c>
      <c r="Y798" s="17"/>
      <c r="Z798" s="75"/>
      <c r="AA798" s="24"/>
      <c r="AC798" s="24"/>
      <c r="AD798" s="24"/>
      <c r="AE798" s="24"/>
      <c r="AF798" s="24"/>
      <c r="AG798" s="24"/>
      <c r="AH798" s="24"/>
      <c r="AI798" s="24"/>
    </row>
    <row r="799" spans="1:35" hidden="1" x14ac:dyDescent="0.3">
      <c r="A799" s="12" t="s">
        <v>85</v>
      </c>
      <c r="B799" s="18">
        <v>60423</v>
      </c>
      <c r="C799" s="16" t="s">
        <v>820</v>
      </c>
      <c r="D799" s="18" t="s">
        <v>1</v>
      </c>
      <c r="E799" s="12" t="s">
        <v>1185</v>
      </c>
      <c r="F799" s="18" t="s">
        <v>113</v>
      </c>
      <c r="G799" s="12" t="s">
        <v>113</v>
      </c>
      <c r="H799" s="18" t="s">
        <v>153</v>
      </c>
      <c r="I799" s="18" t="s">
        <v>115</v>
      </c>
      <c r="J799" s="16" t="s">
        <v>923</v>
      </c>
      <c r="K799" s="16" t="s">
        <v>923</v>
      </c>
      <c r="L799" s="11" t="s">
        <v>1209</v>
      </c>
      <c r="M799" s="16" t="s">
        <v>922</v>
      </c>
      <c r="N799" s="63">
        <v>0</v>
      </c>
      <c r="O799" s="63">
        <v>113.82</v>
      </c>
      <c r="P799" s="18"/>
      <c r="Q799" s="18" t="s">
        <v>12</v>
      </c>
      <c r="R799" s="12" t="s">
        <v>99</v>
      </c>
      <c r="S799" s="12" t="s">
        <v>99</v>
      </c>
      <c r="T799" s="12">
        <v>0</v>
      </c>
      <c r="U799" s="13"/>
      <c r="V799" s="18" t="s">
        <v>92</v>
      </c>
      <c r="W799" s="18" t="s">
        <v>92</v>
      </c>
      <c r="X799" s="12" t="s">
        <v>93</v>
      </c>
      <c r="Y799" s="17"/>
      <c r="Z799" s="75"/>
      <c r="AA799" s="24"/>
      <c r="AC799" s="24"/>
      <c r="AD799" s="24"/>
      <c r="AE799" s="24"/>
      <c r="AF799" s="24"/>
      <c r="AG799" s="24"/>
      <c r="AH799" s="24"/>
      <c r="AI799" s="24"/>
    </row>
    <row r="800" spans="1:35" hidden="1" x14ac:dyDescent="0.3">
      <c r="A800" s="12" t="s">
        <v>85</v>
      </c>
      <c r="B800" s="18">
        <v>60424</v>
      </c>
      <c r="C800" s="16" t="s">
        <v>820</v>
      </c>
      <c r="D800" s="18" t="s">
        <v>1</v>
      </c>
      <c r="E800" s="12" t="s">
        <v>1185</v>
      </c>
      <c r="F800" s="18" t="s">
        <v>113</v>
      </c>
      <c r="G800" s="12" t="s">
        <v>113</v>
      </c>
      <c r="H800" s="18" t="s">
        <v>153</v>
      </c>
      <c r="I800" s="18" t="s">
        <v>115</v>
      </c>
      <c r="J800" s="16" t="s">
        <v>924</v>
      </c>
      <c r="K800" s="16" t="s">
        <v>924</v>
      </c>
      <c r="L800" s="11" t="s">
        <v>1209</v>
      </c>
      <c r="M800" s="16" t="s">
        <v>922</v>
      </c>
      <c r="N800" s="63">
        <v>0</v>
      </c>
      <c r="O800" s="63">
        <v>114.73</v>
      </c>
      <c r="P800" s="18"/>
      <c r="Q800" s="18" t="s">
        <v>12</v>
      </c>
      <c r="R800" s="12" t="s">
        <v>99</v>
      </c>
      <c r="S800" s="12" t="s">
        <v>99</v>
      </c>
      <c r="T800" s="12">
        <v>0</v>
      </c>
      <c r="U800" s="13"/>
      <c r="V800" s="18" t="s">
        <v>92</v>
      </c>
      <c r="W800" s="18" t="s">
        <v>92</v>
      </c>
      <c r="X800" s="12" t="s">
        <v>93</v>
      </c>
      <c r="Y800" s="17"/>
      <c r="Z800" s="75"/>
      <c r="AA800" s="24"/>
      <c r="AC800" s="24"/>
      <c r="AD800" s="24"/>
      <c r="AE800" s="24"/>
      <c r="AF800" s="24"/>
      <c r="AG800" s="24"/>
      <c r="AH800" s="24"/>
      <c r="AI800" s="24"/>
    </row>
    <row r="801" spans="1:35" hidden="1" x14ac:dyDescent="0.3">
      <c r="A801" s="12" t="s">
        <v>85</v>
      </c>
      <c r="B801" s="18">
        <v>60425</v>
      </c>
      <c r="C801" s="16" t="s">
        <v>820</v>
      </c>
      <c r="D801" s="18" t="s">
        <v>1</v>
      </c>
      <c r="E801" s="12" t="s">
        <v>1185</v>
      </c>
      <c r="F801" s="18" t="s">
        <v>113</v>
      </c>
      <c r="G801" s="12" t="s">
        <v>113</v>
      </c>
      <c r="H801" s="18" t="s">
        <v>153</v>
      </c>
      <c r="I801" s="18" t="s">
        <v>115</v>
      </c>
      <c r="J801" s="16" t="s">
        <v>925</v>
      </c>
      <c r="K801" s="16" t="s">
        <v>925</v>
      </c>
      <c r="L801" s="11" t="s">
        <v>1209</v>
      </c>
      <c r="M801" s="16" t="s">
        <v>922</v>
      </c>
      <c r="N801" s="63">
        <v>0</v>
      </c>
      <c r="O801" s="63">
        <v>81.22</v>
      </c>
      <c r="P801" s="18"/>
      <c r="Q801" s="18" t="s">
        <v>12</v>
      </c>
      <c r="R801" s="12" t="s">
        <v>99</v>
      </c>
      <c r="S801" s="12" t="s">
        <v>99</v>
      </c>
      <c r="T801" s="12">
        <v>0</v>
      </c>
      <c r="U801" s="13"/>
      <c r="V801" s="18" t="s">
        <v>92</v>
      </c>
      <c r="W801" s="18" t="s">
        <v>92</v>
      </c>
      <c r="X801" s="12" t="s">
        <v>93</v>
      </c>
      <c r="Y801" s="17"/>
      <c r="Z801" s="75"/>
      <c r="AA801" s="24"/>
      <c r="AC801" s="24"/>
      <c r="AD801" s="24"/>
      <c r="AE801" s="24"/>
      <c r="AF801" s="24"/>
      <c r="AG801" s="24"/>
      <c r="AH801" s="24"/>
      <c r="AI801" s="24"/>
    </row>
    <row r="802" spans="1:35" hidden="1" x14ac:dyDescent="0.3">
      <c r="A802" s="12" t="s">
        <v>85</v>
      </c>
      <c r="B802" s="18">
        <v>60426</v>
      </c>
      <c r="C802" s="16" t="s">
        <v>820</v>
      </c>
      <c r="D802" s="18" t="s">
        <v>1</v>
      </c>
      <c r="E802" s="12" t="s">
        <v>1185</v>
      </c>
      <c r="F802" s="18" t="s">
        <v>113</v>
      </c>
      <c r="G802" s="12" t="s">
        <v>113</v>
      </c>
      <c r="H802" s="18" t="s">
        <v>153</v>
      </c>
      <c r="I802" s="18" t="s">
        <v>115</v>
      </c>
      <c r="J802" s="16" t="s">
        <v>926</v>
      </c>
      <c r="K802" s="16" t="s">
        <v>926</v>
      </c>
      <c r="L802" s="11" t="s">
        <v>1209</v>
      </c>
      <c r="M802" s="16" t="s">
        <v>922</v>
      </c>
      <c r="N802" s="63">
        <v>0</v>
      </c>
      <c r="O802" s="63">
        <v>114.73</v>
      </c>
      <c r="P802" s="18"/>
      <c r="Q802" s="18" t="s">
        <v>12</v>
      </c>
      <c r="R802" s="12" t="s">
        <v>99</v>
      </c>
      <c r="S802" s="12" t="s">
        <v>99</v>
      </c>
      <c r="T802" s="12">
        <v>0</v>
      </c>
      <c r="U802" s="13"/>
      <c r="V802" s="18" t="s">
        <v>92</v>
      </c>
      <c r="W802" s="18" t="s">
        <v>92</v>
      </c>
      <c r="X802" s="12" t="s">
        <v>93</v>
      </c>
      <c r="Y802" s="17"/>
      <c r="Z802" s="75"/>
      <c r="AA802" s="24"/>
      <c r="AC802" s="24"/>
      <c r="AD802" s="24"/>
      <c r="AE802" s="24"/>
      <c r="AF802" s="24"/>
      <c r="AG802" s="24"/>
      <c r="AH802" s="24"/>
      <c r="AI802" s="24"/>
    </row>
    <row r="803" spans="1:35" hidden="1" x14ac:dyDescent="0.3">
      <c r="A803" s="12" t="s">
        <v>85</v>
      </c>
      <c r="B803" s="18">
        <v>60427</v>
      </c>
      <c r="C803" s="16" t="s">
        <v>820</v>
      </c>
      <c r="D803" s="18" t="s">
        <v>1</v>
      </c>
      <c r="E803" s="12" t="s">
        <v>1185</v>
      </c>
      <c r="F803" s="18" t="s">
        <v>113</v>
      </c>
      <c r="G803" s="12" t="s">
        <v>113</v>
      </c>
      <c r="H803" s="18" t="s">
        <v>153</v>
      </c>
      <c r="I803" s="18" t="s">
        <v>115</v>
      </c>
      <c r="J803" s="16" t="s">
        <v>927</v>
      </c>
      <c r="K803" s="16" t="s">
        <v>927</v>
      </c>
      <c r="L803" s="11" t="s">
        <v>1209</v>
      </c>
      <c r="M803" s="16" t="s">
        <v>922</v>
      </c>
      <c r="N803" s="63">
        <v>0</v>
      </c>
      <c r="O803" s="63">
        <v>113.82</v>
      </c>
      <c r="P803" s="18"/>
      <c r="Q803" s="18" t="s">
        <v>12</v>
      </c>
      <c r="R803" s="12" t="s">
        <v>99</v>
      </c>
      <c r="S803" s="12" t="s">
        <v>99</v>
      </c>
      <c r="T803" s="12">
        <v>0</v>
      </c>
      <c r="U803" s="13"/>
      <c r="V803" s="18" t="s">
        <v>92</v>
      </c>
      <c r="W803" s="18" t="s">
        <v>92</v>
      </c>
      <c r="X803" s="12" t="s">
        <v>93</v>
      </c>
      <c r="Y803" s="17"/>
      <c r="Z803" s="75"/>
      <c r="AA803" s="24"/>
      <c r="AC803" s="24"/>
      <c r="AD803" s="24"/>
      <c r="AE803" s="24"/>
      <c r="AF803" s="24"/>
      <c r="AG803" s="24"/>
      <c r="AH803" s="24"/>
      <c r="AI803" s="24"/>
    </row>
    <row r="804" spans="1:35" hidden="1" x14ac:dyDescent="0.3">
      <c r="A804" s="12" t="s">
        <v>85</v>
      </c>
      <c r="B804" s="18">
        <v>60428</v>
      </c>
      <c r="C804" s="16" t="s">
        <v>820</v>
      </c>
      <c r="D804" s="18" t="s">
        <v>1</v>
      </c>
      <c r="E804" s="12" t="s">
        <v>1185</v>
      </c>
      <c r="F804" s="18" t="s">
        <v>113</v>
      </c>
      <c r="G804" s="12" t="s">
        <v>113</v>
      </c>
      <c r="H804" s="18" t="s">
        <v>153</v>
      </c>
      <c r="I804" s="18" t="s">
        <v>115</v>
      </c>
      <c r="J804" s="16" t="s">
        <v>928</v>
      </c>
      <c r="K804" s="16" t="s">
        <v>928</v>
      </c>
      <c r="L804" s="11" t="s">
        <v>1209</v>
      </c>
      <c r="M804" s="16" t="s">
        <v>922</v>
      </c>
      <c r="N804" s="63">
        <v>0</v>
      </c>
      <c r="O804" s="63">
        <v>113.82</v>
      </c>
      <c r="P804" s="18"/>
      <c r="Q804" s="18" t="s">
        <v>12</v>
      </c>
      <c r="R804" s="12" t="s">
        <v>99</v>
      </c>
      <c r="S804" s="12" t="s">
        <v>99</v>
      </c>
      <c r="T804" s="12">
        <v>0</v>
      </c>
      <c r="U804" s="13"/>
      <c r="V804" s="18" t="s">
        <v>92</v>
      </c>
      <c r="W804" s="18" t="s">
        <v>92</v>
      </c>
      <c r="X804" s="12" t="s">
        <v>93</v>
      </c>
      <c r="Y804" s="17"/>
      <c r="Z804" s="75"/>
      <c r="AA804" s="24"/>
      <c r="AC804" s="24"/>
      <c r="AD804" s="24"/>
      <c r="AE804" s="24"/>
      <c r="AF804" s="24"/>
      <c r="AG804" s="24"/>
      <c r="AH804" s="24"/>
      <c r="AI804" s="24"/>
    </row>
    <row r="805" spans="1:35" hidden="1" x14ac:dyDescent="0.3">
      <c r="A805" s="12" t="s">
        <v>85</v>
      </c>
      <c r="B805" s="18">
        <v>60429</v>
      </c>
      <c r="C805" s="16" t="s">
        <v>820</v>
      </c>
      <c r="D805" s="18" t="s">
        <v>1</v>
      </c>
      <c r="E805" s="12" t="s">
        <v>1185</v>
      </c>
      <c r="F805" s="18" t="s">
        <v>113</v>
      </c>
      <c r="G805" s="12" t="s">
        <v>113</v>
      </c>
      <c r="H805" s="18" t="s">
        <v>153</v>
      </c>
      <c r="I805" s="18" t="s">
        <v>115</v>
      </c>
      <c r="J805" s="16" t="s">
        <v>929</v>
      </c>
      <c r="K805" s="16" t="s">
        <v>929</v>
      </c>
      <c r="L805" s="11" t="s">
        <v>1209</v>
      </c>
      <c r="M805" s="16" t="s">
        <v>922</v>
      </c>
      <c r="N805" s="63">
        <v>0</v>
      </c>
      <c r="O805" s="63">
        <v>114.73</v>
      </c>
      <c r="P805" s="18"/>
      <c r="Q805" s="18" t="s">
        <v>12</v>
      </c>
      <c r="R805" s="12" t="s">
        <v>99</v>
      </c>
      <c r="S805" s="12" t="s">
        <v>99</v>
      </c>
      <c r="T805" s="12">
        <v>0</v>
      </c>
      <c r="U805" s="13"/>
      <c r="V805" s="18" t="s">
        <v>92</v>
      </c>
      <c r="W805" s="18" t="s">
        <v>92</v>
      </c>
      <c r="X805" s="12" t="s">
        <v>93</v>
      </c>
      <c r="Y805" s="17"/>
      <c r="Z805" s="75"/>
      <c r="AA805" s="24"/>
      <c r="AC805" s="24"/>
      <c r="AD805" s="24"/>
      <c r="AE805" s="24"/>
      <c r="AF805" s="24"/>
      <c r="AG805" s="24"/>
      <c r="AH805" s="24"/>
      <c r="AI805" s="24"/>
    </row>
    <row r="806" spans="1:35" hidden="1" x14ac:dyDescent="0.3">
      <c r="A806" s="12" t="s">
        <v>85</v>
      </c>
      <c r="B806" s="18">
        <v>60430</v>
      </c>
      <c r="C806" s="16" t="s">
        <v>820</v>
      </c>
      <c r="D806" s="18" t="s">
        <v>1</v>
      </c>
      <c r="E806" s="12" t="s">
        <v>1185</v>
      </c>
      <c r="F806" s="18" t="s">
        <v>113</v>
      </c>
      <c r="G806" s="12" t="s">
        <v>113</v>
      </c>
      <c r="H806" s="18" t="s">
        <v>153</v>
      </c>
      <c r="I806" s="18" t="s">
        <v>115</v>
      </c>
      <c r="J806" s="16" t="s">
        <v>930</v>
      </c>
      <c r="K806" s="16" t="s">
        <v>930</v>
      </c>
      <c r="L806" s="11" t="s">
        <v>1209</v>
      </c>
      <c r="M806" s="16" t="s">
        <v>922</v>
      </c>
      <c r="N806" s="63">
        <v>0</v>
      </c>
      <c r="O806" s="63">
        <v>81.22</v>
      </c>
      <c r="P806" s="18"/>
      <c r="Q806" s="18" t="s">
        <v>12</v>
      </c>
      <c r="R806" s="12" t="s">
        <v>99</v>
      </c>
      <c r="S806" s="12" t="s">
        <v>99</v>
      </c>
      <c r="T806" s="12">
        <v>0</v>
      </c>
      <c r="U806" s="13"/>
      <c r="V806" s="18" t="s">
        <v>92</v>
      </c>
      <c r="W806" s="18" t="s">
        <v>92</v>
      </c>
      <c r="X806" s="12" t="s">
        <v>93</v>
      </c>
      <c r="Y806" s="17"/>
      <c r="Z806" s="75"/>
      <c r="AA806" s="24"/>
      <c r="AC806" s="24"/>
      <c r="AD806" s="24"/>
      <c r="AE806" s="24"/>
      <c r="AF806" s="24"/>
      <c r="AG806" s="24"/>
      <c r="AH806" s="24"/>
      <c r="AI806" s="24"/>
    </row>
    <row r="807" spans="1:35" hidden="1" x14ac:dyDescent="0.3">
      <c r="A807" s="12" t="s">
        <v>85</v>
      </c>
      <c r="B807" s="18">
        <v>60431</v>
      </c>
      <c r="C807" s="16" t="s">
        <v>820</v>
      </c>
      <c r="D807" s="18" t="s">
        <v>1</v>
      </c>
      <c r="E807" s="12" t="s">
        <v>1185</v>
      </c>
      <c r="F807" s="18" t="s">
        <v>113</v>
      </c>
      <c r="G807" s="12" t="s">
        <v>113</v>
      </c>
      <c r="H807" s="18" t="s">
        <v>153</v>
      </c>
      <c r="I807" s="18" t="s">
        <v>115</v>
      </c>
      <c r="J807" s="16" t="s">
        <v>931</v>
      </c>
      <c r="K807" s="16" t="s">
        <v>931</v>
      </c>
      <c r="L807" s="11" t="s">
        <v>1209</v>
      </c>
      <c r="M807" s="16" t="s">
        <v>922</v>
      </c>
      <c r="N807" s="63">
        <v>0</v>
      </c>
      <c r="O807" s="63">
        <v>114.73</v>
      </c>
      <c r="P807" s="18"/>
      <c r="Q807" s="18" t="s">
        <v>12</v>
      </c>
      <c r="R807" s="12" t="s">
        <v>99</v>
      </c>
      <c r="S807" s="12" t="s">
        <v>99</v>
      </c>
      <c r="T807" s="12">
        <v>0</v>
      </c>
      <c r="U807" s="13"/>
      <c r="V807" s="18" t="s">
        <v>92</v>
      </c>
      <c r="W807" s="18" t="s">
        <v>92</v>
      </c>
      <c r="X807" s="12" t="s">
        <v>93</v>
      </c>
      <c r="Y807" s="17"/>
      <c r="Z807" s="75"/>
      <c r="AA807" s="24"/>
      <c r="AC807" s="24"/>
      <c r="AD807" s="24"/>
      <c r="AE807" s="24"/>
      <c r="AF807" s="24"/>
      <c r="AG807" s="24"/>
      <c r="AH807" s="24"/>
      <c r="AI807" s="24"/>
    </row>
    <row r="808" spans="1:35" hidden="1" x14ac:dyDescent="0.3">
      <c r="A808" s="12" t="s">
        <v>85</v>
      </c>
      <c r="B808" s="18">
        <v>60432</v>
      </c>
      <c r="C808" s="16" t="s">
        <v>820</v>
      </c>
      <c r="D808" s="18" t="s">
        <v>1</v>
      </c>
      <c r="E808" s="12" t="s">
        <v>1185</v>
      </c>
      <c r="F808" s="18" t="s">
        <v>113</v>
      </c>
      <c r="G808" s="12" t="s">
        <v>113</v>
      </c>
      <c r="H808" s="18" t="s">
        <v>153</v>
      </c>
      <c r="I808" s="18" t="s">
        <v>115</v>
      </c>
      <c r="J808" s="16" t="s">
        <v>932</v>
      </c>
      <c r="K808" s="16" t="s">
        <v>932</v>
      </c>
      <c r="L808" s="11" t="s">
        <v>1209</v>
      </c>
      <c r="M808" s="16" t="s">
        <v>922</v>
      </c>
      <c r="N808" s="63">
        <v>0</v>
      </c>
      <c r="O808" s="63">
        <v>109.38</v>
      </c>
      <c r="P808" s="18"/>
      <c r="Q808" s="18" t="s">
        <v>12</v>
      </c>
      <c r="R808" s="12" t="s">
        <v>99</v>
      </c>
      <c r="S808" s="12" t="s">
        <v>99</v>
      </c>
      <c r="T808" s="12">
        <v>0</v>
      </c>
      <c r="U808" s="13"/>
      <c r="V808" s="18" t="s">
        <v>92</v>
      </c>
      <c r="W808" s="18" t="s">
        <v>92</v>
      </c>
      <c r="X808" s="12" t="s">
        <v>93</v>
      </c>
      <c r="Y808" s="17"/>
      <c r="Z808" s="75"/>
      <c r="AA808" s="24"/>
      <c r="AC808" s="24"/>
      <c r="AD808" s="24"/>
      <c r="AE808" s="24"/>
      <c r="AF808" s="24"/>
      <c r="AG808" s="24"/>
      <c r="AH808" s="24"/>
      <c r="AI808" s="24"/>
    </row>
    <row r="809" spans="1:35" hidden="1" x14ac:dyDescent="0.3">
      <c r="A809" s="12" t="s">
        <v>85</v>
      </c>
      <c r="B809" s="18">
        <v>60433</v>
      </c>
      <c r="C809" s="16" t="s">
        <v>820</v>
      </c>
      <c r="D809" s="18" t="s">
        <v>1</v>
      </c>
      <c r="E809" s="12" t="s">
        <v>1185</v>
      </c>
      <c r="F809" s="18" t="s">
        <v>113</v>
      </c>
      <c r="G809" s="12" t="s">
        <v>113</v>
      </c>
      <c r="H809" s="18" t="s">
        <v>153</v>
      </c>
      <c r="I809" s="18" t="s">
        <v>115</v>
      </c>
      <c r="J809" s="16" t="s">
        <v>933</v>
      </c>
      <c r="K809" s="16" t="s">
        <v>933</v>
      </c>
      <c r="L809" s="11" t="s">
        <v>1209</v>
      </c>
      <c r="M809" s="16" t="s">
        <v>922</v>
      </c>
      <c r="N809" s="63">
        <v>0</v>
      </c>
      <c r="O809" s="63">
        <v>224.96</v>
      </c>
      <c r="P809" s="18"/>
      <c r="Q809" s="12" t="s">
        <v>12</v>
      </c>
      <c r="R809" s="12" t="s">
        <v>99</v>
      </c>
      <c r="S809" s="12" t="s">
        <v>99</v>
      </c>
      <c r="T809" s="12">
        <v>0</v>
      </c>
      <c r="U809" s="13"/>
      <c r="V809" s="18" t="s">
        <v>92</v>
      </c>
      <c r="W809" s="18" t="s">
        <v>92</v>
      </c>
      <c r="X809" s="12" t="s">
        <v>93</v>
      </c>
      <c r="Y809" s="17"/>
      <c r="Z809" s="75"/>
      <c r="AA809" s="24"/>
      <c r="AC809" s="24"/>
      <c r="AD809" s="24"/>
      <c r="AE809" s="24"/>
      <c r="AF809" s="24"/>
      <c r="AG809" s="24"/>
      <c r="AH809" s="24"/>
      <c r="AI809" s="24"/>
    </row>
    <row r="810" spans="1:35" hidden="1" x14ac:dyDescent="0.3">
      <c r="A810" s="12" t="s">
        <v>85</v>
      </c>
      <c r="B810" s="18">
        <v>60434</v>
      </c>
      <c r="C810" s="16" t="s">
        <v>820</v>
      </c>
      <c r="D810" s="18" t="s">
        <v>1</v>
      </c>
      <c r="E810" s="12" t="s">
        <v>1185</v>
      </c>
      <c r="F810" s="18" t="s">
        <v>113</v>
      </c>
      <c r="G810" s="12" t="s">
        <v>113</v>
      </c>
      <c r="H810" s="18" t="s">
        <v>153</v>
      </c>
      <c r="I810" s="18" t="s">
        <v>115</v>
      </c>
      <c r="J810" s="16" t="s">
        <v>934</v>
      </c>
      <c r="K810" s="16" t="s">
        <v>934</v>
      </c>
      <c r="L810" s="11" t="s">
        <v>1209</v>
      </c>
      <c r="M810" s="16" t="s">
        <v>922</v>
      </c>
      <c r="N810" s="63">
        <v>0</v>
      </c>
      <c r="O810" s="63">
        <v>56.51</v>
      </c>
      <c r="P810" s="18"/>
      <c r="Q810" s="12" t="s">
        <v>12</v>
      </c>
      <c r="R810" s="12" t="s">
        <v>99</v>
      </c>
      <c r="S810" s="12" t="s">
        <v>99</v>
      </c>
      <c r="T810" s="12">
        <v>0</v>
      </c>
      <c r="U810" s="13"/>
      <c r="V810" s="18" t="s">
        <v>92</v>
      </c>
      <c r="W810" s="18" t="s">
        <v>92</v>
      </c>
      <c r="X810" s="12" t="s">
        <v>93</v>
      </c>
      <c r="Y810" s="17"/>
      <c r="Z810" s="75"/>
      <c r="AA810" s="24"/>
      <c r="AC810" s="24"/>
      <c r="AD810" s="24"/>
      <c r="AE810" s="24"/>
      <c r="AF810" s="24"/>
      <c r="AG810" s="24"/>
      <c r="AH810" s="24"/>
      <c r="AI810" s="24"/>
    </row>
    <row r="811" spans="1:35" hidden="1" x14ac:dyDescent="0.3">
      <c r="A811" s="12" t="s">
        <v>85</v>
      </c>
      <c r="B811" s="18">
        <v>60435</v>
      </c>
      <c r="C811" s="16" t="s">
        <v>820</v>
      </c>
      <c r="D811" s="18" t="s">
        <v>1</v>
      </c>
      <c r="E811" s="12" t="s">
        <v>1185</v>
      </c>
      <c r="F811" s="18" t="s">
        <v>113</v>
      </c>
      <c r="G811" s="12" t="s">
        <v>113</v>
      </c>
      <c r="H811" s="18" t="s">
        <v>153</v>
      </c>
      <c r="I811" s="18" t="s">
        <v>115</v>
      </c>
      <c r="J811" s="16" t="s">
        <v>935</v>
      </c>
      <c r="K811" s="16" t="s">
        <v>935</v>
      </c>
      <c r="L811" s="11" t="s">
        <v>1209</v>
      </c>
      <c r="M811" s="16" t="s">
        <v>922</v>
      </c>
      <c r="N811" s="63">
        <v>0</v>
      </c>
      <c r="O811" s="63">
        <v>56.51</v>
      </c>
      <c r="P811" s="18"/>
      <c r="Q811" s="18" t="s">
        <v>12</v>
      </c>
      <c r="R811" s="12" t="s">
        <v>99</v>
      </c>
      <c r="S811" s="12" t="s">
        <v>99</v>
      </c>
      <c r="T811" s="12">
        <v>0</v>
      </c>
      <c r="U811" s="13"/>
      <c r="V811" s="18" t="s">
        <v>92</v>
      </c>
      <c r="W811" s="18" t="s">
        <v>92</v>
      </c>
      <c r="X811" s="12" t="s">
        <v>93</v>
      </c>
      <c r="Y811" s="17"/>
      <c r="Z811" s="75"/>
      <c r="AA811" s="24"/>
      <c r="AC811" s="24"/>
      <c r="AD811" s="24"/>
      <c r="AE811" s="24"/>
      <c r="AF811" s="24"/>
      <c r="AG811" s="24"/>
      <c r="AH811" s="24"/>
      <c r="AI811" s="24"/>
    </row>
    <row r="812" spans="1:35" hidden="1" x14ac:dyDescent="0.3">
      <c r="A812" s="12" t="s">
        <v>85</v>
      </c>
      <c r="B812" s="18">
        <v>60436</v>
      </c>
      <c r="C812" s="16" t="s">
        <v>820</v>
      </c>
      <c r="D812" s="18" t="s">
        <v>1</v>
      </c>
      <c r="E812" s="12" t="s">
        <v>1185</v>
      </c>
      <c r="F812" s="18" t="s">
        <v>113</v>
      </c>
      <c r="G812" s="12" t="s">
        <v>113</v>
      </c>
      <c r="H812" s="18" t="s">
        <v>153</v>
      </c>
      <c r="I812" s="18" t="s">
        <v>115</v>
      </c>
      <c r="J812" s="16" t="s">
        <v>936</v>
      </c>
      <c r="K812" s="16" t="s">
        <v>936</v>
      </c>
      <c r="L812" s="11" t="s">
        <v>1209</v>
      </c>
      <c r="M812" s="16" t="s">
        <v>922</v>
      </c>
      <c r="N812" s="63">
        <v>0</v>
      </c>
      <c r="O812" s="63">
        <v>28.25</v>
      </c>
      <c r="P812" s="18"/>
      <c r="Q812" s="18" t="s">
        <v>12</v>
      </c>
      <c r="R812" s="12" t="s">
        <v>99</v>
      </c>
      <c r="S812" s="12" t="s">
        <v>99</v>
      </c>
      <c r="T812" s="12">
        <v>0</v>
      </c>
      <c r="U812" s="13"/>
      <c r="V812" s="18" t="s">
        <v>92</v>
      </c>
      <c r="W812" s="18" t="s">
        <v>92</v>
      </c>
      <c r="X812" s="12" t="s">
        <v>93</v>
      </c>
      <c r="Y812" s="17"/>
      <c r="Z812" s="75"/>
      <c r="AA812" s="24"/>
      <c r="AC812" s="24"/>
      <c r="AD812" s="24"/>
      <c r="AE812" s="24"/>
      <c r="AF812" s="24"/>
      <c r="AG812" s="24"/>
      <c r="AH812" s="24"/>
      <c r="AI812" s="24"/>
    </row>
    <row r="813" spans="1:35" hidden="1" x14ac:dyDescent="0.3">
      <c r="A813" s="12" t="s">
        <v>85</v>
      </c>
      <c r="B813" s="18">
        <v>60437</v>
      </c>
      <c r="C813" s="16" t="s">
        <v>820</v>
      </c>
      <c r="D813" s="18" t="s">
        <v>1</v>
      </c>
      <c r="E813" s="12" t="s">
        <v>1185</v>
      </c>
      <c r="F813" s="18" t="s">
        <v>113</v>
      </c>
      <c r="G813" s="12" t="s">
        <v>113</v>
      </c>
      <c r="H813" s="18" t="s">
        <v>153</v>
      </c>
      <c r="I813" s="18" t="s">
        <v>115</v>
      </c>
      <c r="J813" s="16" t="s">
        <v>937</v>
      </c>
      <c r="K813" s="16" t="s">
        <v>937</v>
      </c>
      <c r="L813" s="11" t="s">
        <v>1209</v>
      </c>
      <c r="M813" s="16" t="s">
        <v>922</v>
      </c>
      <c r="N813" s="63">
        <v>0</v>
      </c>
      <c r="O813" s="63">
        <v>28.25</v>
      </c>
      <c r="P813" s="18"/>
      <c r="Q813" s="18" t="s">
        <v>12</v>
      </c>
      <c r="R813" s="12" t="s">
        <v>99</v>
      </c>
      <c r="S813" s="12" t="s">
        <v>99</v>
      </c>
      <c r="T813" s="12">
        <v>0</v>
      </c>
      <c r="U813" s="13"/>
      <c r="V813" s="18" t="s">
        <v>92</v>
      </c>
      <c r="W813" s="18" t="s">
        <v>92</v>
      </c>
      <c r="X813" s="12" t="s">
        <v>93</v>
      </c>
      <c r="Y813" s="17"/>
      <c r="Z813" s="75"/>
      <c r="AA813" s="24"/>
      <c r="AC813" s="24"/>
      <c r="AD813" s="24"/>
      <c r="AE813" s="24"/>
      <c r="AF813" s="24"/>
      <c r="AG813" s="24"/>
      <c r="AH813" s="24"/>
      <c r="AI813" s="24"/>
    </row>
    <row r="814" spans="1:35" hidden="1" x14ac:dyDescent="0.3">
      <c r="A814" s="12" t="s">
        <v>85</v>
      </c>
      <c r="B814" s="18">
        <v>60438</v>
      </c>
      <c r="C814" s="16" t="s">
        <v>820</v>
      </c>
      <c r="D814" s="18" t="s">
        <v>1</v>
      </c>
      <c r="E814" s="12" t="s">
        <v>1185</v>
      </c>
      <c r="F814" s="18" t="s">
        <v>113</v>
      </c>
      <c r="G814" s="12" t="s">
        <v>113</v>
      </c>
      <c r="H814" s="18" t="s">
        <v>153</v>
      </c>
      <c r="I814" s="18" t="s">
        <v>115</v>
      </c>
      <c r="J814" s="16" t="s">
        <v>938</v>
      </c>
      <c r="K814" s="16" t="s">
        <v>938</v>
      </c>
      <c r="L814" s="11" t="s">
        <v>1209</v>
      </c>
      <c r="M814" s="16" t="s">
        <v>922</v>
      </c>
      <c r="N814" s="63">
        <v>0</v>
      </c>
      <c r="O814" s="63">
        <v>28.25</v>
      </c>
      <c r="P814" s="18"/>
      <c r="Q814" s="18" t="s">
        <v>12</v>
      </c>
      <c r="R814" s="12" t="s">
        <v>99</v>
      </c>
      <c r="S814" s="12" t="s">
        <v>99</v>
      </c>
      <c r="T814" s="12">
        <v>0</v>
      </c>
      <c r="U814" s="13"/>
      <c r="V814" s="18" t="s">
        <v>92</v>
      </c>
      <c r="W814" s="18" t="s">
        <v>92</v>
      </c>
      <c r="X814" s="12" t="s">
        <v>93</v>
      </c>
      <c r="Y814" s="17"/>
      <c r="Z814" s="75"/>
      <c r="AA814" s="24"/>
      <c r="AC814" s="24"/>
      <c r="AD814" s="24"/>
      <c r="AE814" s="24"/>
      <c r="AF814" s="24"/>
      <c r="AG814" s="24"/>
      <c r="AH814" s="24"/>
      <c r="AI814" s="24"/>
    </row>
    <row r="815" spans="1:35" hidden="1" x14ac:dyDescent="0.3">
      <c r="A815" s="12" t="s">
        <v>85</v>
      </c>
      <c r="B815" s="18">
        <v>60439</v>
      </c>
      <c r="C815" s="16" t="s">
        <v>820</v>
      </c>
      <c r="D815" s="18" t="s">
        <v>1</v>
      </c>
      <c r="E815" s="12" t="s">
        <v>1185</v>
      </c>
      <c r="F815" s="18" t="s">
        <v>113</v>
      </c>
      <c r="G815" s="12" t="s">
        <v>113</v>
      </c>
      <c r="H815" s="18" t="s">
        <v>153</v>
      </c>
      <c r="I815" s="18" t="s">
        <v>115</v>
      </c>
      <c r="J815" s="16" t="s">
        <v>939</v>
      </c>
      <c r="K815" s="16" t="s">
        <v>939</v>
      </c>
      <c r="L815" s="11" t="s">
        <v>1209</v>
      </c>
      <c r="M815" s="16" t="s">
        <v>922</v>
      </c>
      <c r="N815" s="63">
        <v>0</v>
      </c>
      <c r="O815" s="63">
        <v>28.25</v>
      </c>
      <c r="P815" s="18"/>
      <c r="Q815" s="18" t="s">
        <v>12</v>
      </c>
      <c r="R815" s="12" t="s">
        <v>99</v>
      </c>
      <c r="S815" s="12" t="s">
        <v>99</v>
      </c>
      <c r="T815" s="12">
        <v>0</v>
      </c>
      <c r="U815" s="13"/>
      <c r="V815" s="18" t="s">
        <v>92</v>
      </c>
      <c r="W815" s="18" t="s">
        <v>92</v>
      </c>
      <c r="X815" s="12" t="s">
        <v>93</v>
      </c>
      <c r="Y815" s="17"/>
      <c r="Z815" s="75"/>
      <c r="AA815" s="24"/>
      <c r="AC815" s="24"/>
      <c r="AD815" s="24"/>
      <c r="AE815" s="24"/>
      <c r="AF815" s="24"/>
      <c r="AG815" s="24"/>
      <c r="AH815" s="24"/>
      <c r="AI815" s="24"/>
    </row>
    <row r="816" spans="1:35" hidden="1" x14ac:dyDescent="0.3">
      <c r="A816" s="12" t="s">
        <v>85</v>
      </c>
      <c r="B816" s="18">
        <v>60440</v>
      </c>
      <c r="C816" s="16" t="s">
        <v>820</v>
      </c>
      <c r="D816" s="18" t="s">
        <v>1</v>
      </c>
      <c r="E816" s="12" t="s">
        <v>1185</v>
      </c>
      <c r="F816" s="18" t="s">
        <v>113</v>
      </c>
      <c r="G816" s="12" t="s">
        <v>113</v>
      </c>
      <c r="H816" s="18" t="s">
        <v>153</v>
      </c>
      <c r="I816" s="18" t="s">
        <v>115</v>
      </c>
      <c r="J816" s="16" t="s">
        <v>940</v>
      </c>
      <c r="K816" s="16" t="s">
        <v>940</v>
      </c>
      <c r="L816" s="11" t="s">
        <v>1209</v>
      </c>
      <c r="M816" s="16" t="s">
        <v>922</v>
      </c>
      <c r="N816" s="63">
        <v>0</v>
      </c>
      <c r="O816" s="63">
        <v>28.25</v>
      </c>
      <c r="P816" s="18"/>
      <c r="Q816" s="18" t="s">
        <v>12</v>
      </c>
      <c r="R816" s="12" t="s">
        <v>99</v>
      </c>
      <c r="S816" s="12" t="s">
        <v>99</v>
      </c>
      <c r="T816" s="12">
        <v>0</v>
      </c>
      <c r="U816" s="13"/>
      <c r="V816" s="18" t="s">
        <v>92</v>
      </c>
      <c r="W816" s="18" t="s">
        <v>92</v>
      </c>
      <c r="X816" s="12" t="s">
        <v>93</v>
      </c>
      <c r="Y816" s="17"/>
      <c r="Z816" s="75"/>
      <c r="AA816" s="24"/>
      <c r="AC816" s="24"/>
      <c r="AD816" s="24"/>
      <c r="AE816" s="24"/>
      <c r="AF816" s="24"/>
      <c r="AG816" s="24"/>
      <c r="AH816" s="24"/>
      <c r="AI816" s="24"/>
    </row>
    <row r="817" spans="1:35" hidden="1" x14ac:dyDescent="0.3">
      <c r="A817" s="12" t="s">
        <v>85</v>
      </c>
      <c r="B817" s="18">
        <v>60441</v>
      </c>
      <c r="C817" s="16" t="s">
        <v>820</v>
      </c>
      <c r="D817" s="18" t="s">
        <v>1</v>
      </c>
      <c r="E817" s="12" t="s">
        <v>1185</v>
      </c>
      <c r="F817" s="18" t="s">
        <v>113</v>
      </c>
      <c r="G817" s="12" t="s">
        <v>113</v>
      </c>
      <c r="H817" s="18" t="s">
        <v>153</v>
      </c>
      <c r="I817" s="18" t="s">
        <v>115</v>
      </c>
      <c r="J817" s="16" t="s">
        <v>941</v>
      </c>
      <c r="K817" s="16" t="s">
        <v>941</v>
      </c>
      <c r="L817" s="11" t="s">
        <v>1209</v>
      </c>
      <c r="M817" s="16" t="s">
        <v>922</v>
      </c>
      <c r="N817" s="63">
        <v>0</v>
      </c>
      <c r="O817" s="63">
        <v>28.25</v>
      </c>
      <c r="P817" s="18"/>
      <c r="Q817" s="12" t="s">
        <v>12</v>
      </c>
      <c r="R817" s="12" t="s">
        <v>99</v>
      </c>
      <c r="S817" s="12" t="s">
        <v>99</v>
      </c>
      <c r="T817" s="12">
        <v>0</v>
      </c>
      <c r="U817" s="13"/>
      <c r="V817" s="18" t="s">
        <v>92</v>
      </c>
      <c r="W817" s="18" t="s">
        <v>92</v>
      </c>
      <c r="X817" s="12" t="s">
        <v>93</v>
      </c>
      <c r="Y817" s="17"/>
      <c r="Z817" s="75"/>
      <c r="AA817" s="24"/>
      <c r="AC817" s="24"/>
      <c r="AD817" s="24"/>
      <c r="AE817" s="24"/>
      <c r="AF817" s="24"/>
      <c r="AG817" s="24"/>
      <c r="AH817" s="24"/>
      <c r="AI817" s="24"/>
    </row>
    <row r="818" spans="1:35" hidden="1" x14ac:dyDescent="0.3">
      <c r="A818" s="12" t="s">
        <v>85</v>
      </c>
      <c r="B818" s="18">
        <v>60442</v>
      </c>
      <c r="C818" s="16" t="s">
        <v>820</v>
      </c>
      <c r="D818" s="18" t="s">
        <v>1</v>
      </c>
      <c r="E818" s="12" t="s">
        <v>1185</v>
      </c>
      <c r="F818" s="18" t="s">
        <v>113</v>
      </c>
      <c r="G818" s="12" t="s">
        <v>113</v>
      </c>
      <c r="H818" s="18" t="s">
        <v>153</v>
      </c>
      <c r="I818" s="18" t="s">
        <v>115</v>
      </c>
      <c r="J818" s="16" t="s">
        <v>942</v>
      </c>
      <c r="K818" s="16" t="s">
        <v>942</v>
      </c>
      <c r="L818" s="11" t="s">
        <v>1209</v>
      </c>
      <c r="M818" s="16" t="s">
        <v>922</v>
      </c>
      <c r="N818" s="63">
        <v>0</v>
      </c>
      <c r="O818" s="63">
        <v>28.25</v>
      </c>
      <c r="P818" s="18"/>
      <c r="Q818" s="18" t="s">
        <v>12</v>
      </c>
      <c r="R818" s="12" t="s">
        <v>99</v>
      </c>
      <c r="S818" s="12" t="s">
        <v>99</v>
      </c>
      <c r="T818" s="12">
        <v>0</v>
      </c>
      <c r="U818" s="13"/>
      <c r="V818" s="18" t="s">
        <v>92</v>
      </c>
      <c r="W818" s="18" t="s">
        <v>92</v>
      </c>
      <c r="X818" s="12" t="s">
        <v>93</v>
      </c>
      <c r="Y818" s="17"/>
      <c r="Z818" s="75"/>
      <c r="AA818" s="24"/>
      <c r="AC818" s="24"/>
      <c r="AD818" s="24"/>
      <c r="AE818" s="24"/>
      <c r="AF818" s="24"/>
      <c r="AG818" s="24"/>
      <c r="AH818" s="24"/>
      <c r="AI818" s="24"/>
    </row>
    <row r="819" spans="1:35" hidden="1" x14ac:dyDescent="0.3">
      <c r="A819" s="12" t="s">
        <v>85</v>
      </c>
      <c r="B819" s="18">
        <v>60443</v>
      </c>
      <c r="C819" s="16" t="s">
        <v>820</v>
      </c>
      <c r="D819" s="18" t="s">
        <v>1</v>
      </c>
      <c r="E819" s="12" t="s">
        <v>1185</v>
      </c>
      <c r="F819" s="18" t="s">
        <v>113</v>
      </c>
      <c r="G819" s="12" t="s">
        <v>113</v>
      </c>
      <c r="H819" s="18" t="s">
        <v>153</v>
      </c>
      <c r="I819" s="18" t="s">
        <v>115</v>
      </c>
      <c r="J819" s="16" t="s">
        <v>943</v>
      </c>
      <c r="K819" s="16" t="s">
        <v>943</v>
      </c>
      <c r="L819" s="11" t="s">
        <v>1209</v>
      </c>
      <c r="M819" s="16" t="s">
        <v>922</v>
      </c>
      <c r="N819" s="63">
        <v>0</v>
      </c>
      <c r="O819" s="63">
        <v>56.51</v>
      </c>
      <c r="P819" s="18"/>
      <c r="Q819" s="18" t="s">
        <v>12</v>
      </c>
      <c r="R819" s="12" t="s">
        <v>99</v>
      </c>
      <c r="S819" s="12" t="s">
        <v>99</v>
      </c>
      <c r="T819" s="12">
        <v>0</v>
      </c>
      <c r="U819" s="13"/>
      <c r="V819" s="18" t="s">
        <v>92</v>
      </c>
      <c r="W819" s="18" t="s">
        <v>92</v>
      </c>
      <c r="X819" s="12" t="s">
        <v>93</v>
      </c>
      <c r="Y819" s="17"/>
      <c r="Z819" s="75"/>
      <c r="AA819" s="24"/>
      <c r="AC819" s="24"/>
      <c r="AD819" s="24"/>
      <c r="AE819" s="24"/>
      <c r="AF819" s="24"/>
      <c r="AG819" s="24"/>
      <c r="AH819" s="24"/>
      <c r="AI819" s="24"/>
    </row>
    <row r="820" spans="1:35" hidden="1" x14ac:dyDescent="0.3">
      <c r="A820" s="12" t="s">
        <v>85</v>
      </c>
      <c r="B820" s="18">
        <v>60444</v>
      </c>
      <c r="C820" s="16" t="s">
        <v>820</v>
      </c>
      <c r="D820" s="18" t="s">
        <v>1</v>
      </c>
      <c r="E820" s="12" t="s">
        <v>1185</v>
      </c>
      <c r="F820" s="18" t="s">
        <v>113</v>
      </c>
      <c r="G820" s="12" t="s">
        <v>113</v>
      </c>
      <c r="H820" s="18" t="s">
        <v>153</v>
      </c>
      <c r="I820" s="18" t="s">
        <v>115</v>
      </c>
      <c r="J820" s="16" t="s">
        <v>944</v>
      </c>
      <c r="K820" s="16" t="s">
        <v>944</v>
      </c>
      <c r="L820" s="11" t="s">
        <v>1209</v>
      </c>
      <c r="M820" s="16" t="s">
        <v>922</v>
      </c>
      <c r="N820" s="63">
        <v>0</v>
      </c>
      <c r="O820" s="63">
        <v>28.25</v>
      </c>
      <c r="P820" s="18"/>
      <c r="Q820" s="18" t="s">
        <v>12</v>
      </c>
      <c r="R820" s="12" t="s">
        <v>99</v>
      </c>
      <c r="S820" s="12" t="s">
        <v>99</v>
      </c>
      <c r="T820" s="12">
        <v>0</v>
      </c>
      <c r="U820" s="13"/>
      <c r="V820" s="18" t="s">
        <v>92</v>
      </c>
      <c r="W820" s="18" t="s">
        <v>92</v>
      </c>
      <c r="X820" s="12" t="s">
        <v>93</v>
      </c>
      <c r="Y820" s="17"/>
      <c r="Z820" s="75"/>
      <c r="AA820" s="24"/>
      <c r="AC820" s="24"/>
      <c r="AD820" s="24"/>
      <c r="AE820" s="24"/>
      <c r="AF820" s="24"/>
      <c r="AG820" s="24"/>
      <c r="AH820" s="24"/>
      <c r="AI820" s="24"/>
    </row>
    <row r="821" spans="1:35" hidden="1" x14ac:dyDescent="0.3">
      <c r="A821" s="12" t="s">
        <v>85</v>
      </c>
      <c r="B821" s="18">
        <v>60445</v>
      </c>
      <c r="C821" s="16" t="s">
        <v>820</v>
      </c>
      <c r="D821" s="18" t="s">
        <v>1</v>
      </c>
      <c r="E821" s="12" t="s">
        <v>1185</v>
      </c>
      <c r="F821" s="18" t="s">
        <v>113</v>
      </c>
      <c r="G821" s="12" t="s">
        <v>113</v>
      </c>
      <c r="H821" s="18" t="s">
        <v>153</v>
      </c>
      <c r="I821" s="18" t="s">
        <v>115</v>
      </c>
      <c r="J821" s="16" t="s">
        <v>945</v>
      </c>
      <c r="K821" s="16" t="s">
        <v>945</v>
      </c>
      <c r="L821" s="11" t="s">
        <v>1209</v>
      </c>
      <c r="M821" s="16" t="s">
        <v>922</v>
      </c>
      <c r="N821" s="63">
        <v>0</v>
      </c>
      <c r="O821" s="63">
        <v>28.25</v>
      </c>
      <c r="P821" s="18"/>
      <c r="Q821" s="18" t="s">
        <v>12</v>
      </c>
      <c r="R821" s="12" t="s">
        <v>99</v>
      </c>
      <c r="S821" s="12" t="s">
        <v>99</v>
      </c>
      <c r="T821" s="12">
        <v>0</v>
      </c>
      <c r="U821" s="13"/>
      <c r="V821" s="18" t="s">
        <v>92</v>
      </c>
      <c r="W821" s="18" t="s">
        <v>92</v>
      </c>
      <c r="X821" s="12" t="s">
        <v>93</v>
      </c>
      <c r="Y821" s="17"/>
      <c r="Z821" s="75"/>
      <c r="AA821" s="24"/>
      <c r="AC821" s="24"/>
      <c r="AD821" s="24"/>
      <c r="AE821" s="24"/>
      <c r="AF821" s="24"/>
      <c r="AG821" s="24"/>
      <c r="AH821" s="24"/>
      <c r="AI821" s="24"/>
    </row>
    <row r="822" spans="1:35" hidden="1" x14ac:dyDescent="0.3">
      <c r="A822" s="12" t="s">
        <v>85</v>
      </c>
      <c r="B822" s="18">
        <v>60446</v>
      </c>
      <c r="C822" s="16" t="s">
        <v>820</v>
      </c>
      <c r="D822" s="18" t="s">
        <v>1</v>
      </c>
      <c r="E822" s="12" t="s">
        <v>1185</v>
      </c>
      <c r="F822" s="18" t="s">
        <v>113</v>
      </c>
      <c r="G822" s="12" t="s">
        <v>113</v>
      </c>
      <c r="H822" s="18" t="s">
        <v>153</v>
      </c>
      <c r="I822" s="18" t="s">
        <v>115</v>
      </c>
      <c r="J822" s="16" t="s">
        <v>946</v>
      </c>
      <c r="K822" s="16" t="s">
        <v>946</v>
      </c>
      <c r="L822" s="11" t="s">
        <v>1209</v>
      </c>
      <c r="M822" s="16" t="s">
        <v>922</v>
      </c>
      <c r="N822" s="63">
        <v>0</v>
      </c>
      <c r="O822" s="63">
        <v>28.25</v>
      </c>
      <c r="P822" s="18"/>
      <c r="Q822" s="18" t="s">
        <v>12</v>
      </c>
      <c r="R822" s="12" t="s">
        <v>99</v>
      </c>
      <c r="S822" s="12" t="s">
        <v>99</v>
      </c>
      <c r="T822" s="12">
        <v>0</v>
      </c>
      <c r="U822" s="13"/>
      <c r="V822" s="18" t="s">
        <v>92</v>
      </c>
      <c r="W822" s="18" t="s">
        <v>92</v>
      </c>
      <c r="X822" s="12" t="s">
        <v>93</v>
      </c>
      <c r="Y822" s="17"/>
      <c r="Z822" s="75"/>
      <c r="AA822" s="24"/>
      <c r="AC822" s="24"/>
      <c r="AD822" s="24"/>
      <c r="AE822" s="24"/>
      <c r="AF822" s="24"/>
      <c r="AG822" s="24"/>
      <c r="AH822" s="24"/>
      <c r="AI822" s="24"/>
    </row>
    <row r="823" spans="1:35" hidden="1" x14ac:dyDescent="0.3">
      <c r="A823" s="12" t="s">
        <v>85</v>
      </c>
      <c r="B823" s="18">
        <v>60447</v>
      </c>
      <c r="C823" s="16" t="s">
        <v>820</v>
      </c>
      <c r="D823" s="18" t="s">
        <v>1</v>
      </c>
      <c r="E823" s="12" t="s">
        <v>1185</v>
      </c>
      <c r="F823" s="18" t="s">
        <v>113</v>
      </c>
      <c r="G823" s="12" t="s">
        <v>113</v>
      </c>
      <c r="H823" s="18" t="s">
        <v>153</v>
      </c>
      <c r="I823" s="18" t="s">
        <v>115</v>
      </c>
      <c r="J823" s="16" t="s">
        <v>947</v>
      </c>
      <c r="K823" s="16" t="s">
        <v>947</v>
      </c>
      <c r="L823" s="11" t="s">
        <v>1209</v>
      </c>
      <c r="M823" s="16" t="s">
        <v>922</v>
      </c>
      <c r="N823" s="63">
        <v>0</v>
      </c>
      <c r="O823" s="63">
        <v>28.25</v>
      </c>
      <c r="P823" s="18"/>
      <c r="Q823" s="18" t="s">
        <v>12</v>
      </c>
      <c r="R823" s="12" t="s">
        <v>99</v>
      </c>
      <c r="S823" s="12" t="s">
        <v>99</v>
      </c>
      <c r="T823" s="12">
        <v>0</v>
      </c>
      <c r="U823" s="13"/>
      <c r="V823" s="18" t="s">
        <v>92</v>
      </c>
      <c r="W823" s="18" t="s">
        <v>92</v>
      </c>
      <c r="X823" s="12" t="s">
        <v>93</v>
      </c>
      <c r="Y823" s="17"/>
      <c r="Z823" s="75"/>
      <c r="AA823" s="24"/>
      <c r="AC823" s="24"/>
      <c r="AD823" s="24"/>
      <c r="AE823" s="24"/>
      <c r="AF823" s="24"/>
      <c r="AG823" s="24"/>
      <c r="AH823" s="24"/>
      <c r="AI823" s="24"/>
    </row>
    <row r="824" spans="1:35" hidden="1" x14ac:dyDescent="0.3">
      <c r="A824" s="12" t="s">
        <v>85</v>
      </c>
      <c r="B824" s="18">
        <v>60448</v>
      </c>
      <c r="C824" s="16" t="s">
        <v>820</v>
      </c>
      <c r="D824" s="18" t="s">
        <v>1</v>
      </c>
      <c r="E824" s="12" t="s">
        <v>1185</v>
      </c>
      <c r="F824" s="18" t="s">
        <v>113</v>
      </c>
      <c r="G824" s="12" t="s">
        <v>113</v>
      </c>
      <c r="H824" s="18" t="s">
        <v>153</v>
      </c>
      <c r="I824" s="18" t="s">
        <v>115</v>
      </c>
      <c r="J824" s="16" t="s">
        <v>948</v>
      </c>
      <c r="K824" s="16" t="s">
        <v>948</v>
      </c>
      <c r="L824" s="11" t="s">
        <v>1209</v>
      </c>
      <c r="M824" s="16" t="s">
        <v>922</v>
      </c>
      <c r="N824" s="63">
        <v>0</v>
      </c>
      <c r="O824" s="63">
        <v>28.25</v>
      </c>
      <c r="P824" s="18"/>
      <c r="Q824" s="12" t="s">
        <v>12</v>
      </c>
      <c r="R824" s="12" t="s">
        <v>99</v>
      </c>
      <c r="S824" s="12" t="s">
        <v>99</v>
      </c>
      <c r="T824" s="12">
        <v>0</v>
      </c>
      <c r="U824" s="13"/>
      <c r="V824" s="18" t="s">
        <v>92</v>
      </c>
      <c r="W824" s="18" t="s">
        <v>92</v>
      </c>
      <c r="X824" s="12" t="s">
        <v>93</v>
      </c>
      <c r="Y824" s="17"/>
      <c r="Z824" s="75"/>
      <c r="AA824" s="24"/>
      <c r="AC824" s="24"/>
      <c r="AD824" s="24"/>
      <c r="AE824" s="24"/>
      <c r="AF824" s="24"/>
      <c r="AG824" s="24"/>
      <c r="AH824" s="24"/>
      <c r="AI824" s="24"/>
    </row>
    <row r="825" spans="1:35" hidden="1" x14ac:dyDescent="0.3">
      <c r="A825" s="12" t="s">
        <v>85</v>
      </c>
      <c r="B825" s="18">
        <v>60449</v>
      </c>
      <c r="C825" s="16" t="s">
        <v>820</v>
      </c>
      <c r="D825" s="18" t="s">
        <v>1</v>
      </c>
      <c r="E825" s="12" t="s">
        <v>1185</v>
      </c>
      <c r="F825" s="18" t="s">
        <v>113</v>
      </c>
      <c r="G825" s="12" t="s">
        <v>113</v>
      </c>
      <c r="H825" s="18" t="s">
        <v>153</v>
      </c>
      <c r="I825" s="18" t="s">
        <v>115</v>
      </c>
      <c r="J825" s="16" t="s">
        <v>949</v>
      </c>
      <c r="K825" s="16" t="s">
        <v>949</v>
      </c>
      <c r="L825" s="11" t="s">
        <v>1209</v>
      </c>
      <c r="M825" s="16" t="s">
        <v>922</v>
      </c>
      <c r="N825" s="63">
        <v>0</v>
      </c>
      <c r="O825" s="63">
        <v>28.25</v>
      </c>
      <c r="P825" s="18"/>
      <c r="Q825" s="18" t="s">
        <v>12</v>
      </c>
      <c r="R825" s="12" t="s">
        <v>99</v>
      </c>
      <c r="S825" s="12" t="s">
        <v>99</v>
      </c>
      <c r="T825" s="12">
        <v>0</v>
      </c>
      <c r="U825" s="13"/>
      <c r="V825" s="18" t="s">
        <v>92</v>
      </c>
      <c r="W825" s="18" t="s">
        <v>92</v>
      </c>
      <c r="X825" s="12" t="s">
        <v>93</v>
      </c>
      <c r="Y825" s="17"/>
      <c r="Z825" s="75"/>
      <c r="AA825" s="24"/>
      <c r="AC825" s="24"/>
      <c r="AD825" s="24"/>
      <c r="AE825" s="24"/>
      <c r="AF825" s="24"/>
      <c r="AG825" s="24"/>
      <c r="AH825" s="24"/>
      <c r="AI825" s="24"/>
    </row>
    <row r="826" spans="1:35" hidden="1" x14ac:dyDescent="0.3">
      <c r="A826" s="12" t="s">
        <v>85</v>
      </c>
      <c r="B826" s="18">
        <v>60450</v>
      </c>
      <c r="C826" s="16" t="s">
        <v>820</v>
      </c>
      <c r="D826" s="18" t="s">
        <v>1</v>
      </c>
      <c r="E826" s="12" t="s">
        <v>1185</v>
      </c>
      <c r="F826" s="18" t="s">
        <v>113</v>
      </c>
      <c r="G826" s="12" t="s">
        <v>113</v>
      </c>
      <c r="H826" s="18" t="s">
        <v>153</v>
      </c>
      <c r="I826" s="18" t="s">
        <v>115</v>
      </c>
      <c r="J826" s="16" t="s">
        <v>950</v>
      </c>
      <c r="K826" s="16" t="s">
        <v>950</v>
      </c>
      <c r="L826" s="11" t="s">
        <v>1209</v>
      </c>
      <c r="M826" s="16" t="s">
        <v>922</v>
      </c>
      <c r="N826" s="63">
        <v>0</v>
      </c>
      <c r="O826" s="63">
        <v>28.25</v>
      </c>
      <c r="P826" s="18"/>
      <c r="Q826" s="18" t="s">
        <v>12</v>
      </c>
      <c r="R826" s="12" t="s">
        <v>99</v>
      </c>
      <c r="S826" s="12" t="s">
        <v>99</v>
      </c>
      <c r="T826" s="12">
        <v>0</v>
      </c>
      <c r="U826" s="13"/>
      <c r="V826" s="18" t="s">
        <v>92</v>
      </c>
      <c r="W826" s="18" t="s">
        <v>92</v>
      </c>
      <c r="X826" s="12" t="s">
        <v>93</v>
      </c>
      <c r="Y826" s="17"/>
      <c r="Z826" s="75"/>
      <c r="AA826" s="24"/>
      <c r="AC826" s="24"/>
      <c r="AD826" s="24"/>
      <c r="AE826" s="24"/>
      <c r="AF826" s="24"/>
      <c r="AG826" s="24"/>
      <c r="AH826" s="24"/>
      <c r="AI826" s="24"/>
    </row>
    <row r="827" spans="1:35" hidden="1" x14ac:dyDescent="0.3">
      <c r="A827" s="12" t="s">
        <v>85</v>
      </c>
      <c r="B827" s="18">
        <v>60451</v>
      </c>
      <c r="C827" s="16" t="s">
        <v>820</v>
      </c>
      <c r="D827" s="18" t="s">
        <v>1</v>
      </c>
      <c r="E827" s="12" t="s">
        <v>1185</v>
      </c>
      <c r="F827" s="18" t="s">
        <v>113</v>
      </c>
      <c r="G827" s="12" t="s">
        <v>113</v>
      </c>
      <c r="H827" s="18" t="s">
        <v>153</v>
      </c>
      <c r="I827" s="18" t="s">
        <v>115</v>
      </c>
      <c r="J827" s="16" t="s">
        <v>951</v>
      </c>
      <c r="K827" s="16" t="s">
        <v>951</v>
      </c>
      <c r="L827" s="11" t="s">
        <v>1209</v>
      </c>
      <c r="M827" s="16" t="s">
        <v>922</v>
      </c>
      <c r="N827" s="63">
        <v>0</v>
      </c>
      <c r="O827" s="63">
        <v>28.25</v>
      </c>
      <c r="P827" s="18"/>
      <c r="Q827" s="18" t="s">
        <v>12</v>
      </c>
      <c r="R827" s="12" t="s">
        <v>99</v>
      </c>
      <c r="S827" s="12" t="s">
        <v>99</v>
      </c>
      <c r="T827" s="12">
        <v>0</v>
      </c>
      <c r="U827" s="13"/>
      <c r="V827" s="18" t="s">
        <v>92</v>
      </c>
      <c r="W827" s="18" t="s">
        <v>92</v>
      </c>
      <c r="X827" s="12" t="s">
        <v>93</v>
      </c>
      <c r="Y827" s="17"/>
      <c r="Z827" s="75"/>
      <c r="AA827" s="24"/>
      <c r="AC827" s="24"/>
      <c r="AD827" s="24"/>
      <c r="AE827" s="24"/>
      <c r="AF827" s="24"/>
      <c r="AG827" s="24"/>
      <c r="AH827" s="24"/>
      <c r="AI827" s="24"/>
    </row>
    <row r="828" spans="1:35" hidden="1" x14ac:dyDescent="0.3">
      <c r="A828" s="12" t="s">
        <v>85</v>
      </c>
      <c r="B828" s="18">
        <v>60452</v>
      </c>
      <c r="C828" s="16" t="s">
        <v>820</v>
      </c>
      <c r="D828" s="18" t="s">
        <v>1</v>
      </c>
      <c r="E828" s="12" t="s">
        <v>1185</v>
      </c>
      <c r="F828" s="18" t="s">
        <v>113</v>
      </c>
      <c r="G828" s="12" t="s">
        <v>113</v>
      </c>
      <c r="H828" s="18" t="s">
        <v>153</v>
      </c>
      <c r="I828" s="18" t="s">
        <v>115</v>
      </c>
      <c r="J828" s="16" t="s">
        <v>952</v>
      </c>
      <c r="K828" s="16" t="s">
        <v>952</v>
      </c>
      <c r="L828" s="11" t="s">
        <v>1209</v>
      </c>
      <c r="M828" s="16" t="s">
        <v>922</v>
      </c>
      <c r="N828" s="63">
        <v>0</v>
      </c>
      <c r="O828" s="63">
        <v>28.25</v>
      </c>
      <c r="P828" s="18"/>
      <c r="Q828" s="18" t="s">
        <v>12</v>
      </c>
      <c r="R828" s="12" t="s">
        <v>99</v>
      </c>
      <c r="S828" s="12" t="s">
        <v>99</v>
      </c>
      <c r="T828" s="12">
        <v>0</v>
      </c>
      <c r="U828" s="13"/>
      <c r="V828" s="18" t="s">
        <v>92</v>
      </c>
      <c r="W828" s="18" t="s">
        <v>92</v>
      </c>
      <c r="X828" s="12" t="s">
        <v>93</v>
      </c>
      <c r="Y828" s="17"/>
      <c r="Z828" s="75"/>
      <c r="AA828" s="24"/>
      <c r="AC828" s="24"/>
      <c r="AD828" s="24"/>
      <c r="AE828" s="24"/>
      <c r="AF828" s="24"/>
      <c r="AG828" s="24"/>
      <c r="AH828" s="24"/>
      <c r="AI828" s="24"/>
    </row>
    <row r="829" spans="1:35" hidden="1" x14ac:dyDescent="0.3">
      <c r="A829" s="12" t="s">
        <v>85</v>
      </c>
      <c r="B829" s="18">
        <v>60453</v>
      </c>
      <c r="C829" s="16" t="s">
        <v>820</v>
      </c>
      <c r="D829" s="18" t="s">
        <v>1</v>
      </c>
      <c r="E829" s="12" t="s">
        <v>1185</v>
      </c>
      <c r="F829" s="18" t="s">
        <v>113</v>
      </c>
      <c r="G829" s="12" t="s">
        <v>113</v>
      </c>
      <c r="H829" s="18" t="s">
        <v>153</v>
      </c>
      <c r="I829" s="18" t="s">
        <v>115</v>
      </c>
      <c r="J829" s="16" t="s">
        <v>953</v>
      </c>
      <c r="K829" s="16" t="s">
        <v>953</v>
      </c>
      <c r="L829" s="11" t="s">
        <v>1209</v>
      </c>
      <c r="M829" s="16" t="s">
        <v>922</v>
      </c>
      <c r="N829" s="63">
        <v>0</v>
      </c>
      <c r="O829" s="63">
        <v>28.25</v>
      </c>
      <c r="P829" s="18"/>
      <c r="Q829" s="18" t="s">
        <v>12</v>
      </c>
      <c r="R829" s="12" t="s">
        <v>99</v>
      </c>
      <c r="S829" s="12" t="s">
        <v>99</v>
      </c>
      <c r="T829" s="12">
        <v>0</v>
      </c>
      <c r="U829" s="13"/>
      <c r="V829" s="18" t="s">
        <v>92</v>
      </c>
      <c r="W829" s="18" t="s">
        <v>92</v>
      </c>
      <c r="X829" s="12" t="s">
        <v>93</v>
      </c>
      <c r="Y829" s="17"/>
      <c r="Z829" s="75"/>
      <c r="AA829" s="24"/>
      <c r="AC829" s="24"/>
      <c r="AD829" s="24"/>
      <c r="AE829" s="24"/>
      <c r="AF829" s="24"/>
      <c r="AG829" s="24"/>
      <c r="AH829" s="24"/>
      <c r="AI829" s="24"/>
    </row>
    <row r="830" spans="1:35" hidden="1" x14ac:dyDescent="0.3">
      <c r="A830" s="12" t="s">
        <v>85</v>
      </c>
      <c r="B830" s="18">
        <v>60830</v>
      </c>
      <c r="C830" s="16" t="s">
        <v>136</v>
      </c>
      <c r="D830" s="18" t="s">
        <v>1</v>
      </c>
      <c r="E830" s="12" t="s">
        <v>1185</v>
      </c>
      <c r="F830" s="18" t="s">
        <v>132</v>
      </c>
      <c r="G830" s="12" t="s">
        <v>132</v>
      </c>
      <c r="H830" s="18" t="s">
        <v>609</v>
      </c>
      <c r="I830" s="18" t="s">
        <v>89</v>
      </c>
      <c r="J830" s="16" t="s">
        <v>863</v>
      </c>
      <c r="K830" s="16" t="s">
        <v>863</v>
      </c>
      <c r="L830" s="11" t="s">
        <v>1214</v>
      </c>
      <c r="M830" s="16" t="s">
        <v>864</v>
      </c>
      <c r="N830" s="64">
        <f>3000-150</f>
        <v>2850</v>
      </c>
      <c r="O830" s="63"/>
      <c r="P830" s="18" t="s">
        <v>954</v>
      </c>
      <c r="Q830" s="18" t="s">
        <v>4</v>
      </c>
      <c r="R830" s="18" t="s">
        <v>15</v>
      </c>
      <c r="S830" s="18" t="s">
        <v>62</v>
      </c>
      <c r="T830" s="12">
        <v>0</v>
      </c>
      <c r="U830" s="13"/>
      <c r="V830" s="12" t="s">
        <v>92</v>
      </c>
      <c r="W830" s="18" t="s">
        <v>92</v>
      </c>
      <c r="X830" s="12" t="s">
        <v>93</v>
      </c>
      <c r="Y830" s="17"/>
      <c r="Z830" s="75"/>
      <c r="AA830" s="24"/>
      <c r="AC830" s="24"/>
      <c r="AD830" s="24"/>
      <c r="AE830" s="24"/>
      <c r="AF830" s="24"/>
      <c r="AG830" s="24"/>
      <c r="AH830" s="24"/>
      <c r="AI830" s="24"/>
    </row>
    <row r="831" spans="1:35" hidden="1" x14ac:dyDescent="0.3">
      <c r="A831" s="12" t="s">
        <v>85</v>
      </c>
      <c r="B831" s="18">
        <v>61893</v>
      </c>
      <c r="C831" s="16" t="s">
        <v>136</v>
      </c>
      <c r="D831" s="12" t="s">
        <v>417</v>
      </c>
      <c r="E831" s="12" t="s">
        <v>1180</v>
      </c>
      <c r="F831" s="12" t="s">
        <v>132</v>
      </c>
      <c r="G831" s="12" t="s">
        <v>1188</v>
      </c>
      <c r="H831" s="18" t="s">
        <v>137</v>
      </c>
      <c r="I831" s="18" t="s">
        <v>89</v>
      </c>
      <c r="J831" s="18"/>
      <c r="K831" s="16" t="s">
        <v>725</v>
      </c>
      <c r="L831" s="16"/>
      <c r="M831" s="16" t="s">
        <v>92</v>
      </c>
      <c r="N831" s="63" t="s">
        <v>955</v>
      </c>
      <c r="O831" s="63"/>
      <c r="P831" s="18"/>
      <c r="Q831" s="12" t="s">
        <v>4</v>
      </c>
      <c r="R831" s="12" t="s">
        <v>15</v>
      </c>
      <c r="S831" s="18" t="s">
        <v>25</v>
      </c>
      <c r="T831" s="12">
        <v>1</v>
      </c>
      <c r="U831" s="13">
        <v>44005</v>
      </c>
      <c r="V831" s="18" t="s">
        <v>627</v>
      </c>
      <c r="W831" s="18" t="s">
        <v>92</v>
      </c>
      <c r="X831" s="18" t="s">
        <v>105</v>
      </c>
      <c r="Y831" s="17"/>
      <c r="Z831" s="75"/>
      <c r="AA831" s="24"/>
      <c r="AC831" s="24"/>
      <c r="AD831" s="24"/>
      <c r="AE831" s="24"/>
      <c r="AF831" s="24"/>
      <c r="AG831" s="24"/>
      <c r="AH831" s="24"/>
      <c r="AI831" s="24"/>
    </row>
    <row r="832" spans="1:35" hidden="1" x14ac:dyDescent="0.3">
      <c r="A832" s="12" t="s">
        <v>85</v>
      </c>
      <c r="B832" s="18">
        <v>61893</v>
      </c>
      <c r="C832" s="16" t="s">
        <v>136</v>
      </c>
      <c r="D832" s="12" t="s">
        <v>417</v>
      </c>
      <c r="E832" s="12" t="s">
        <v>1180</v>
      </c>
      <c r="F832" s="12" t="s">
        <v>132</v>
      </c>
      <c r="G832" s="12" t="s">
        <v>1188</v>
      </c>
      <c r="H832" s="18" t="s">
        <v>137</v>
      </c>
      <c r="I832" s="18" t="s">
        <v>89</v>
      </c>
      <c r="J832" s="18"/>
      <c r="K832" s="16" t="s">
        <v>725</v>
      </c>
      <c r="L832" s="16"/>
      <c r="M832" s="11" t="s">
        <v>92</v>
      </c>
      <c r="N832" s="63" t="s">
        <v>955</v>
      </c>
      <c r="O832" s="63"/>
      <c r="P832" s="18"/>
      <c r="Q832" s="18" t="s">
        <v>4</v>
      </c>
      <c r="R832" s="12" t="s">
        <v>15</v>
      </c>
      <c r="S832" s="18" t="s">
        <v>22</v>
      </c>
      <c r="T832" s="12">
        <v>1</v>
      </c>
      <c r="U832" s="13">
        <v>43997</v>
      </c>
      <c r="V832" s="18" t="s">
        <v>628</v>
      </c>
      <c r="W832" s="12" t="s">
        <v>92</v>
      </c>
      <c r="X832" s="18" t="s">
        <v>105</v>
      </c>
      <c r="Y832" s="17"/>
      <c r="Z832" s="75"/>
      <c r="AA832" s="24"/>
      <c r="AC832" s="24"/>
      <c r="AD832" s="24"/>
      <c r="AE832" s="24"/>
      <c r="AF832" s="24"/>
      <c r="AG832" s="24"/>
      <c r="AH832" s="24"/>
      <c r="AI832" s="24"/>
    </row>
    <row r="833" spans="1:35" hidden="1" x14ac:dyDescent="0.3">
      <c r="A833" s="12" t="s">
        <v>85</v>
      </c>
      <c r="B833" s="18">
        <v>61893</v>
      </c>
      <c r="C833" s="16" t="s">
        <v>136</v>
      </c>
      <c r="D833" s="12" t="s">
        <v>417</v>
      </c>
      <c r="E833" s="12" t="s">
        <v>1180</v>
      </c>
      <c r="F833" s="12" t="s">
        <v>132</v>
      </c>
      <c r="G833" s="12" t="s">
        <v>1188</v>
      </c>
      <c r="H833" s="18" t="s">
        <v>137</v>
      </c>
      <c r="I833" s="18" t="s">
        <v>89</v>
      </c>
      <c r="J833" s="18"/>
      <c r="K833" s="16" t="s">
        <v>725</v>
      </c>
      <c r="L833" s="16"/>
      <c r="M833" s="16" t="s">
        <v>92</v>
      </c>
      <c r="N833" s="63" t="s">
        <v>955</v>
      </c>
      <c r="O833" s="63"/>
      <c r="P833" s="18"/>
      <c r="Q833" s="18" t="s">
        <v>4</v>
      </c>
      <c r="R833" s="12" t="s">
        <v>15</v>
      </c>
      <c r="S833" s="18" t="s">
        <v>25</v>
      </c>
      <c r="T833" s="12">
        <v>1</v>
      </c>
      <c r="U833" s="13">
        <v>44027</v>
      </c>
      <c r="V833" s="18" t="s">
        <v>629</v>
      </c>
      <c r="W833" s="12" t="s">
        <v>92</v>
      </c>
      <c r="X833" s="34" t="s">
        <v>105</v>
      </c>
      <c r="Y833" s="17"/>
      <c r="Z833" s="75"/>
      <c r="AA833" s="24"/>
      <c r="AC833" s="24"/>
      <c r="AD833" s="24"/>
      <c r="AE833" s="24"/>
      <c r="AF833" s="24"/>
      <c r="AG833" s="24"/>
      <c r="AH833" s="24"/>
      <c r="AI833" s="24"/>
    </row>
    <row r="834" spans="1:35" hidden="1" x14ac:dyDescent="0.3">
      <c r="A834" s="12" t="s">
        <v>85</v>
      </c>
      <c r="B834" s="18">
        <v>61893</v>
      </c>
      <c r="C834" s="16" t="s">
        <v>136</v>
      </c>
      <c r="D834" s="12" t="s">
        <v>417</v>
      </c>
      <c r="E834" s="12" t="s">
        <v>1180</v>
      </c>
      <c r="F834" s="12" t="s">
        <v>132</v>
      </c>
      <c r="G834" s="12" t="s">
        <v>1188</v>
      </c>
      <c r="H834" s="18" t="s">
        <v>137</v>
      </c>
      <c r="I834" s="18" t="s">
        <v>89</v>
      </c>
      <c r="J834" s="18"/>
      <c r="K834" s="16" t="s">
        <v>725</v>
      </c>
      <c r="L834" s="16"/>
      <c r="M834" s="11" t="s">
        <v>92</v>
      </c>
      <c r="N834" s="63" t="s">
        <v>955</v>
      </c>
      <c r="O834" s="63"/>
      <c r="P834" s="18"/>
      <c r="Q834" s="18" t="s">
        <v>4</v>
      </c>
      <c r="R834" s="12" t="s">
        <v>15</v>
      </c>
      <c r="S834" s="18" t="s">
        <v>22</v>
      </c>
      <c r="T834" s="12">
        <v>1</v>
      </c>
      <c r="U834" s="13">
        <v>44027</v>
      </c>
      <c r="V834" s="18" t="s">
        <v>111</v>
      </c>
      <c r="W834" s="12" t="s">
        <v>92</v>
      </c>
      <c r="X834" s="34" t="s">
        <v>105</v>
      </c>
      <c r="Y834" s="17"/>
      <c r="Z834" s="75"/>
      <c r="AA834" s="24"/>
      <c r="AC834" s="24"/>
      <c r="AD834" s="24"/>
      <c r="AE834" s="24"/>
      <c r="AF834" s="24"/>
      <c r="AG834" s="24"/>
      <c r="AH834" s="24"/>
      <c r="AI834" s="24"/>
    </row>
    <row r="835" spans="1:35" hidden="1" x14ac:dyDescent="0.3">
      <c r="A835" s="12" t="s">
        <v>85</v>
      </c>
      <c r="B835" s="18">
        <v>63654</v>
      </c>
      <c r="C835" s="16" t="s">
        <v>100</v>
      </c>
      <c r="D835" s="18" t="s">
        <v>1</v>
      </c>
      <c r="E835" s="12" t="s">
        <v>1185</v>
      </c>
      <c r="F835" s="18" t="s">
        <v>87</v>
      </c>
      <c r="G835" s="12" t="s">
        <v>113</v>
      </c>
      <c r="H835" s="18" t="s">
        <v>101</v>
      </c>
      <c r="I835" s="18" t="s">
        <v>89</v>
      </c>
      <c r="J835" s="11" t="s">
        <v>102</v>
      </c>
      <c r="K835" s="16" t="s">
        <v>102</v>
      </c>
      <c r="L835" s="11" t="s">
        <v>1219</v>
      </c>
      <c r="M835" s="16" t="s">
        <v>103</v>
      </c>
      <c r="N835" s="65">
        <v>2916708</v>
      </c>
      <c r="O835" s="63"/>
      <c r="P835" s="18" t="s">
        <v>91</v>
      </c>
      <c r="Q835" s="18" t="s">
        <v>4</v>
      </c>
      <c r="R835" s="12" t="s">
        <v>15</v>
      </c>
      <c r="S835" s="18" t="s">
        <v>34</v>
      </c>
      <c r="T835" s="12">
        <v>1</v>
      </c>
      <c r="U835" s="13">
        <v>43893</v>
      </c>
      <c r="V835" s="18" t="s">
        <v>956</v>
      </c>
      <c r="W835" s="18" t="s">
        <v>92</v>
      </c>
      <c r="X835" s="12" t="s">
        <v>93</v>
      </c>
      <c r="Y835" s="17"/>
      <c r="Z835" s="75"/>
      <c r="AA835" s="24"/>
      <c r="AC835" s="24"/>
      <c r="AD835" s="24"/>
      <c r="AE835" s="24"/>
      <c r="AF835" s="24"/>
      <c r="AG835" s="24"/>
      <c r="AH835" s="24"/>
      <c r="AI835" s="24"/>
    </row>
    <row r="836" spans="1:35" hidden="1" x14ac:dyDescent="0.3">
      <c r="A836" s="12" t="s">
        <v>85</v>
      </c>
      <c r="B836" s="18">
        <v>63654</v>
      </c>
      <c r="C836" s="16" t="s">
        <v>100</v>
      </c>
      <c r="D836" s="18" t="s">
        <v>1</v>
      </c>
      <c r="E836" s="12" t="s">
        <v>1185</v>
      </c>
      <c r="F836" s="18" t="s">
        <v>87</v>
      </c>
      <c r="G836" s="12" t="s">
        <v>113</v>
      </c>
      <c r="H836" s="18" t="s">
        <v>101</v>
      </c>
      <c r="I836" s="18" t="s">
        <v>89</v>
      </c>
      <c r="J836" s="11" t="s">
        <v>102</v>
      </c>
      <c r="K836" s="16" t="s">
        <v>102</v>
      </c>
      <c r="L836" s="11" t="s">
        <v>1219</v>
      </c>
      <c r="M836" s="16" t="s">
        <v>103</v>
      </c>
      <c r="N836" s="65">
        <v>2916708</v>
      </c>
      <c r="O836" s="63"/>
      <c r="P836" s="18" t="s">
        <v>91</v>
      </c>
      <c r="Q836" s="18" t="s">
        <v>4</v>
      </c>
      <c r="R836" s="12" t="s">
        <v>15</v>
      </c>
      <c r="S836" s="12" t="s">
        <v>92</v>
      </c>
      <c r="T836" s="12">
        <v>1</v>
      </c>
      <c r="U836" s="13">
        <v>43738</v>
      </c>
      <c r="V836" s="18" t="s">
        <v>104</v>
      </c>
      <c r="W836" s="18" t="s">
        <v>92</v>
      </c>
      <c r="X836" s="18" t="s">
        <v>105</v>
      </c>
      <c r="Y836" s="17">
        <v>43617</v>
      </c>
      <c r="Z836" s="75"/>
      <c r="AA836" s="24"/>
      <c r="AC836" s="24"/>
      <c r="AD836" s="24"/>
      <c r="AE836" s="24"/>
      <c r="AF836" s="24"/>
      <c r="AG836" s="24"/>
      <c r="AH836" s="24"/>
      <c r="AI836" s="24"/>
    </row>
    <row r="837" spans="1:35" hidden="1" x14ac:dyDescent="0.3">
      <c r="A837" s="12" t="s">
        <v>85</v>
      </c>
      <c r="B837" s="18">
        <v>63654</v>
      </c>
      <c r="C837" s="16" t="s">
        <v>100</v>
      </c>
      <c r="D837" s="18" t="s">
        <v>1</v>
      </c>
      <c r="E837" s="12" t="s">
        <v>1185</v>
      </c>
      <c r="F837" s="18" t="s">
        <v>87</v>
      </c>
      <c r="G837" s="12" t="s">
        <v>113</v>
      </c>
      <c r="H837" s="18" t="s">
        <v>101</v>
      </c>
      <c r="I837" s="18" t="s">
        <v>89</v>
      </c>
      <c r="J837" s="11" t="s">
        <v>102</v>
      </c>
      <c r="K837" s="16" t="s">
        <v>102</v>
      </c>
      <c r="L837" s="11" t="s">
        <v>1219</v>
      </c>
      <c r="M837" s="16" t="s">
        <v>103</v>
      </c>
      <c r="N837" s="65">
        <v>2916708</v>
      </c>
      <c r="O837" s="63"/>
      <c r="P837" s="18" t="s">
        <v>91</v>
      </c>
      <c r="Q837" s="18" t="s">
        <v>4</v>
      </c>
      <c r="R837" s="12" t="s">
        <v>13</v>
      </c>
      <c r="S837" s="18" t="s">
        <v>34</v>
      </c>
      <c r="T837" s="12">
        <v>1</v>
      </c>
      <c r="U837" s="13">
        <v>43963</v>
      </c>
      <c r="V837" s="18" t="s">
        <v>957</v>
      </c>
      <c r="W837" s="18" t="s">
        <v>92</v>
      </c>
      <c r="X837" s="12" t="s">
        <v>93</v>
      </c>
      <c r="Y837" s="17"/>
      <c r="Z837" s="75"/>
      <c r="AA837" s="24"/>
      <c r="AC837" s="24"/>
      <c r="AD837" s="24"/>
      <c r="AE837" s="24"/>
      <c r="AF837" s="24"/>
      <c r="AG837" s="24"/>
      <c r="AH837" s="24"/>
      <c r="AI837" s="24"/>
    </row>
    <row r="838" spans="1:35" hidden="1" x14ac:dyDescent="0.3">
      <c r="A838" s="12" t="s">
        <v>85</v>
      </c>
      <c r="B838" s="18">
        <v>63654</v>
      </c>
      <c r="C838" s="16" t="s">
        <v>100</v>
      </c>
      <c r="D838" s="18" t="s">
        <v>1</v>
      </c>
      <c r="E838" s="12" t="s">
        <v>1185</v>
      </c>
      <c r="F838" s="18" t="s">
        <v>87</v>
      </c>
      <c r="G838" s="12" t="s">
        <v>113</v>
      </c>
      <c r="H838" s="18" t="s">
        <v>101</v>
      </c>
      <c r="I838" s="18" t="s">
        <v>89</v>
      </c>
      <c r="J838" s="11" t="s">
        <v>102</v>
      </c>
      <c r="K838" s="16" t="s">
        <v>102</v>
      </c>
      <c r="L838" s="11" t="s">
        <v>1219</v>
      </c>
      <c r="M838" s="16" t="s">
        <v>103</v>
      </c>
      <c r="N838" s="65">
        <v>2916708</v>
      </c>
      <c r="O838" s="63"/>
      <c r="P838" s="18" t="s">
        <v>91</v>
      </c>
      <c r="Q838" s="12" t="s">
        <v>4</v>
      </c>
      <c r="R838" s="12" t="s">
        <v>15</v>
      </c>
      <c r="S838" s="18" t="s">
        <v>20</v>
      </c>
      <c r="T838" s="12">
        <v>1</v>
      </c>
      <c r="U838" s="13">
        <v>43843</v>
      </c>
      <c r="V838" s="18" t="s">
        <v>106</v>
      </c>
      <c r="W838" s="12" t="s">
        <v>92</v>
      </c>
      <c r="X838" s="18" t="s">
        <v>105</v>
      </c>
      <c r="Y838" s="17"/>
      <c r="Z838" s="75"/>
      <c r="AA838" s="24"/>
      <c r="AC838" s="24"/>
      <c r="AD838" s="24"/>
      <c r="AE838" s="24"/>
      <c r="AF838" s="24"/>
      <c r="AG838" s="24"/>
      <c r="AH838" s="24"/>
      <c r="AI838" s="24"/>
    </row>
    <row r="839" spans="1:35" hidden="1" x14ac:dyDescent="0.3">
      <c r="A839" s="12" t="s">
        <v>85</v>
      </c>
      <c r="B839" s="18">
        <v>63654</v>
      </c>
      <c r="C839" s="16" t="s">
        <v>100</v>
      </c>
      <c r="D839" s="18" t="s">
        <v>1</v>
      </c>
      <c r="E839" s="12" t="s">
        <v>1185</v>
      </c>
      <c r="F839" s="18" t="s">
        <v>87</v>
      </c>
      <c r="G839" s="12" t="s">
        <v>113</v>
      </c>
      <c r="H839" s="18" t="s">
        <v>101</v>
      </c>
      <c r="I839" s="18" t="s">
        <v>89</v>
      </c>
      <c r="J839" s="11" t="s">
        <v>102</v>
      </c>
      <c r="K839" s="16" t="s">
        <v>102</v>
      </c>
      <c r="L839" s="11" t="s">
        <v>1219</v>
      </c>
      <c r="M839" s="16" t="s">
        <v>103</v>
      </c>
      <c r="N839" s="65">
        <v>2916708</v>
      </c>
      <c r="O839" s="63"/>
      <c r="P839" s="18" t="s">
        <v>91</v>
      </c>
      <c r="Q839" s="18" t="s">
        <v>4</v>
      </c>
      <c r="R839" s="18" t="s">
        <v>13</v>
      </c>
      <c r="S839" s="18" t="s">
        <v>34</v>
      </c>
      <c r="T839" s="12">
        <v>1</v>
      </c>
      <c r="U839" s="13">
        <v>43998</v>
      </c>
      <c r="V839" s="18" t="s">
        <v>958</v>
      </c>
      <c r="W839" s="12" t="s">
        <v>92</v>
      </c>
      <c r="X839" s="12" t="s">
        <v>93</v>
      </c>
      <c r="Y839" s="17"/>
      <c r="Z839" s="75"/>
      <c r="AA839" s="24"/>
      <c r="AC839" s="24"/>
      <c r="AD839" s="24"/>
      <c r="AE839" s="24"/>
      <c r="AF839" s="24"/>
      <c r="AG839" s="24"/>
      <c r="AH839" s="24"/>
      <c r="AI839" s="24"/>
    </row>
    <row r="840" spans="1:35" hidden="1" x14ac:dyDescent="0.3">
      <c r="A840" s="12" t="s">
        <v>85</v>
      </c>
      <c r="B840" s="18">
        <v>63654</v>
      </c>
      <c r="C840" s="16" t="s">
        <v>100</v>
      </c>
      <c r="D840" s="18" t="s">
        <v>1</v>
      </c>
      <c r="E840" s="12" t="s">
        <v>1185</v>
      </c>
      <c r="F840" s="18" t="s">
        <v>87</v>
      </c>
      <c r="G840" s="12" t="s">
        <v>113</v>
      </c>
      <c r="H840" s="18" t="s">
        <v>101</v>
      </c>
      <c r="I840" s="18" t="s">
        <v>89</v>
      </c>
      <c r="J840" s="11" t="s">
        <v>102</v>
      </c>
      <c r="K840" s="16" t="s">
        <v>102</v>
      </c>
      <c r="L840" s="11" t="s">
        <v>1219</v>
      </c>
      <c r="M840" s="16" t="s">
        <v>103</v>
      </c>
      <c r="N840" s="65">
        <v>2916708</v>
      </c>
      <c r="O840" s="63"/>
      <c r="P840" s="18" t="s">
        <v>91</v>
      </c>
      <c r="Q840" s="18" t="s">
        <v>4</v>
      </c>
      <c r="R840" s="18" t="s">
        <v>15</v>
      </c>
      <c r="S840" s="18" t="s">
        <v>19</v>
      </c>
      <c r="T840" s="12">
        <v>0</v>
      </c>
      <c r="U840" s="13"/>
      <c r="V840" s="12" t="s">
        <v>92</v>
      </c>
      <c r="W840" s="12" t="s">
        <v>92</v>
      </c>
      <c r="X840" s="18" t="s">
        <v>108</v>
      </c>
      <c r="Y840" s="17"/>
      <c r="Z840" s="75"/>
      <c r="AA840" s="24"/>
      <c r="AC840" s="24"/>
      <c r="AD840" s="24"/>
      <c r="AE840" s="24"/>
      <c r="AF840" s="24"/>
      <c r="AG840" s="24"/>
      <c r="AH840" s="24"/>
      <c r="AI840" s="24"/>
    </row>
    <row r="841" spans="1:35" hidden="1" x14ac:dyDescent="0.3">
      <c r="A841" s="12" t="s">
        <v>85</v>
      </c>
      <c r="B841" s="18">
        <v>63654</v>
      </c>
      <c r="C841" s="16" t="s">
        <v>100</v>
      </c>
      <c r="D841" s="18" t="s">
        <v>1</v>
      </c>
      <c r="E841" s="12" t="s">
        <v>1185</v>
      </c>
      <c r="F841" s="18" t="s">
        <v>87</v>
      </c>
      <c r="G841" s="12" t="s">
        <v>113</v>
      </c>
      <c r="H841" s="18" t="s">
        <v>101</v>
      </c>
      <c r="I841" s="18" t="s">
        <v>89</v>
      </c>
      <c r="J841" s="11" t="s">
        <v>102</v>
      </c>
      <c r="K841" s="16" t="s">
        <v>102</v>
      </c>
      <c r="L841" s="11" t="s">
        <v>1219</v>
      </c>
      <c r="M841" s="16" t="s">
        <v>103</v>
      </c>
      <c r="N841" s="65">
        <v>2916708</v>
      </c>
      <c r="O841" s="63"/>
      <c r="P841" s="18" t="s">
        <v>91</v>
      </c>
      <c r="Q841" s="18" t="s">
        <v>4</v>
      </c>
      <c r="R841" s="12" t="s">
        <v>15</v>
      </c>
      <c r="S841" s="18" t="s">
        <v>20</v>
      </c>
      <c r="T841" s="12">
        <v>1</v>
      </c>
      <c r="U841" s="13">
        <v>43879</v>
      </c>
      <c r="V841" s="12" t="s">
        <v>109</v>
      </c>
      <c r="W841" s="12" t="s">
        <v>92</v>
      </c>
      <c r="X841" s="18" t="s">
        <v>105</v>
      </c>
      <c r="Y841" s="17"/>
      <c r="Z841" s="75"/>
      <c r="AA841" s="24"/>
      <c r="AC841" s="24"/>
      <c r="AD841" s="24"/>
      <c r="AE841" s="24"/>
      <c r="AF841" s="24"/>
      <c r="AG841" s="24"/>
      <c r="AH841" s="24"/>
      <c r="AI841" s="24"/>
    </row>
    <row r="842" spans="1:35" hidden="1" x14ac:dyDescent="0.3">
      <c r="A842" s="12" t="s">
        <v>85</v>
      </c>
      <c r="B842" s="18">
        <v>63654</v>
      </c>
      <c r="C842" s="16" t="s">
        <v>100</v>
      </c>
      <c r="D842" s="18" t="s">
        <v>1</v>
      </c>
      <c r="E842" s="12" t="s">
        <v>1185</v>
      </c>
      <c r="F842" s="18" t="s">
        <v>87</v>
      </c>
      <c r="G842" s="12" t="s">
        <v>113</v>
      </c>
      <c r="H842" s="18" t="s">
        <v>101</v>
      </c>
      <c r="I842" s="18" t="s">
        <v>89</v>
      </c>
      <c r="J842" s="11" t="s">
        <v>102</v>
      </c>
      <c r="K842" s="16" t="s">
        <v>102</v>
      </c>
      <c r="L842" s="11" t="s">
        <v>1219</v>
      </c>
      <c r="M842" s="16" t="s">
        <v>103</v>
      </c>
      <c r="N842" s="65">
        <v>2916708</v>
      </c>
      <c r="O842" s="63"/>
      <c r="P842" s="18" t="s">
        <v>91</v>
      </c>
      <c r="Q842" s="18" t="s">
        <v>4</v>
      </c>
      <c r="R842" s="12" t="s">
        <v>15</v>
      </c>
      <c r="S842" s="18" t="s">
        <v>20</v>
      </c>
      <c r="T842" s="12">
        <v>1</v>
      </c>
      <c r="U842" s="13">
        <v>43906</v>
      </c>
      <c r="V842" s="18" t="s">
        <v>109</v>
      </c>
      <c r="W842" s="12" t="s">
        <v>92</v>
      </c>
      <c r="X842" s="18" t="s">
        <v>105</v>
      </c>
      <c r="Y842" s="17"/>
      <c r="Z842" s="75"/>
      <c r="AA842" s="24"/>
      <c r="AC842" s="24"/>
      <c r="AD842" s="24"/>
      <c r="AE842" s="24"/>
      <c r="AF842" s="24"/>
      <c r="AG842" s="24"/>
      <c r="AH842" s="24"/>
      <c r="AI842" s="24"/>
    </row>
    <row r="843" spans="1:35" hidden="1" x14ac:dyDescent="0.3">
      <c r="A843" s="12" t="s">
        <v>85</v>
      </c>
      <c r="B843" s="18">
        <v>63654</v>
      </c>
      <c r="C843" s="16" t="s">
        <v>100</v>
      </c>
      <c r="D843" s="18" t="s">
        <v>1</v>
      </c>
      <c r="E843" s="12" t="s">
        <v>1185</v>
      </c>
      <c r="F843" s="18" t="s">
        <v>87</v>
      </c>
      <c r="G843" s="12" t="s">
        <v>113</v>
      </c>
      <c r="H843" s="18" t="s">
        <v>101</v>
      </c>
      <c r="I843" s="18" t="s">
        <v>89</v>
      </c>
      <c r="J843" s="11" t="s">
        <v>102</v>
      </c>
      <c r="K843" s="16" t="s">
        <v>102</v>
      </c>
      <c r="L843" s="11" t="s">
        <v>1219</v>
      </c>
      <c r="M843" s="16" t="s">
        <v>103</v>
      </c>
      <c r="N843" s="65">
        <v>2916708</v>
      </c>
      <c r="O843" s="63"/>
      <c r="P843" s="18" t="s">
        <v>91</v>
      </c>
      <c r="Q843" s="18" t="s">
        <v>4</v>
      </c>
      <c r="R843" s="12" t="s">
        <v>15</v>
      </c>
      <c r="S843" s="18" t="s">
        <v>20</v>
      </c>
      <c r="T843" s="12">
        <v>1</v>
      </c>
      <c r="U843" s="13">
        <v>43962</v>
      </c>
      <c r="V843" s="18" t="s">
        <v>109</v>
      </c>
      <c r="W843" s="12" t="s">
        <v>92</v>
      </c>
      <c r="X843" s="18" t="s">
        <v>105</v>
      </c>
      <c r="Y843" s="17"/>
      <c r="Z843" s="75"/>
      <c r="AA843" s="24"/>
      <c r="AC843" s="24"/>
      <c r="AD843" s="24"/>
      <c r="AE843" s="24"/>
      <c r="AF843" s="24"/>
      <c r="AG843" s="24"/>
      <c r="AH843" s="24"/>
      <c r="AI843" s="24"/>
    </row>
    <row r="844" spans="1:35" hidden="1" x14ac:dyDescent="0.3">
      <c r="A844" s="12" t="s">
        <v>85</v>
      </c>
      <c r="B844" s="18">
        <v>63654</v>
      </c>
      <c r="C844" s="16" t="s">
        <v>100</v>
      </c>
      <c r="D844" s="18" t="s">
        <v>1</v>
      </c>
      <c r="E844" s="12" t="s">
        <v>1185</v>
      </c>
      <c r="F844" s="18" t="s">
        <v>87</v>
      </c>
      <c r="G844" s="12" t="s">
        <v>113</v>
      </c>
      <c r="H844" s="18" t="s">
        <v>101</v>
      </c>
      <c r="I844" s="18" t="s">
        <v>89</v>
      </c>
      <c r="J844" s="11" t="s">
        <v>102</v>
      </c>
      <c r="K844" s="16" t="s">
        <v>102</v>
      </c>
      <c r="L844" s="11" t="s">
        <v>1219</v>
      </c>
      <c r="M844" s="16" t="s">
        <v>103</v>
      </c>
      <c r="N844" s="65">
        <v>2916708</v>
      </c>
      <c r="O844" s="63"/>
      <c r="P844" s="18" t="s">
        <v>91</v>
      </c>
      <c r="Q844" s="18" t="s">
        <v>4</v>
      </c>
      <c r="R844" s="12" t="s">
        <v>15</v>
      </c>
      <c r="S844" s="18" t="s">
        <v>22</v>
      </c>
      <c r="T844" s="12">
        <v>1</v>
      </c>
      <c r="U844" s="13">
        <v>43997</v>
      </c>
      <c r="V844" s="12" t="s">
        <v>110</v>
      </c>
      <c r="W844" s="12" t="s">
        <v>92</v>
      </c>
      <c r="X844" s="18" t="s">
        <v>105</v>
      </c>
      <c r="Y844" s="17"/>
      <c r="Z844" s="75"/>
      <c r="AA844" s="24"/>
      <c r="AC844" s="24"/>
      <c r="AD844" s="24"/>
      <c r="AE844" s="24"/>
      <c r="AF844" s="24"/>
      <c r="AG844" s="24"/>
      <c r="AH844" s="24"/>
      <c r="AI844" s="24"/>
    </row>
    <row r="845" spans="1:35" hidden="1" x14ac:dyDescent="0.3">
      <c r="A845" s="12" t="s">
        <v>85</v>
      </c>
      <c r="B845" s="18">
        <v>63654</v>
      </c>
      <c r="C845" s="16" t="s">
        <v>100</v>
      </c>
      <c r="D845" s="18" t="s">
        <v>1</v>
      </c>
      <c r="E845" s="12" t="s">
        <v>1185</v>
      </c>
      <c r="F845" s="18" t="s">
        <v>87</v>
      </c>
      <c r="G845" s="12" t="s">
        <v>113</v>
      </c>
      <c r="H845" s="18" t="s">
        <v>101</v>
      </c>
      <c r="I845" s="18" t="s">
        <v>89</v>
      </c>
      <c r="J845" s="11" t="s">
        <v>102</v>
      </c>
      <c r="K845" s="16" t="s">
        <v>102</v>
      </c>
      <c r="L845" s="11" t="s">
        <v>1219</v>
      </c>
      <c r="M845" s="16" t="s">
        <v>103</v>
      </c>
      <c r="N845" s="65">
        <v>2916708</v>
      </c>
      <c r="O845" s="63"/>
      <c r="P845" s="18" t="s">
        <v>91</v>
      </c>
      <c r="Q845" s="12" t="s">
        <v>4</v>
      </c>
      <c r="R845" s="12" t="s">
        <v>15</v>
      </c>
      <c r="S845" s="12" t="s">
        <v>20</v>
      </c>
      <c r="T845" s="12">
        <v>1</v>
      </c>
      <c r="U845" s="13">
        <v>43997</v>
      </c>
      <c r="V845" s="12" t="s">
        <v>110</v>
      </c>
      <c r="W845" s="12" t="s">
        <v>92</v>
      </c>
      <c r="X845" s="18" t="s">
        <v>105</v>
      </c>
      <c r="Y845" s="17"/>
      <c r="Z845" s="75"/>
      <c r="AA845" s="24"/>
      <c r="AC845" s="24"/>
      <c r="AD845" s="24"/>
      <c r="AE845" s="24"/>
      <c r="AF845" s="24"/>
      <c r="AG845" s="24"/>
      <c r="AH845" s="24"/>
      <c r="AI845" s="24"/>
    </row>
    <row r="846" spans="1:35" hidden="1" x14ac:dyDescent="0.3">
      <c r="A846" s="12" t="s">
        <v>85</v>
      </c>
      <c r="B846" s="18">
        <v>63654</v>
      </c>
      <c r="C846" s="16" t="s">
        <v>100</v>
      </c>
      <c r="D846" s="18" t="s">
        <v>1</v>
      </c>
      <c r="E846" s="12" t="s">
        <v>1185</v>
      </c>
      <c r="F846" s="18" t="s">
        <v>87</v>
      </c>
      <c r="G846" s="12" t="s">
        <v>113</v>
      </c>
      <c r="H846" s="18" t="s">
        <v>101</v>
      </c>
      <c r="I846" s="18" t="s">
        <v>89</v>
      </c>
      <c r="J846" s="11" t="s">
        <v>102</v>
      </c>
      <c r="K846" s="16" t="s">
        <v>102</v>
      </c>
      <c r="L846" s="11" t="s">
        <v>1219</v>
      </c>
      <c r="M846" s="16" t="s">
        <v>103</v>
      </c>
      <c r="N846" s="65">
        <v>2916708</v>
      </c>
      <c r="O846" s="63"/>
      <c r="P846" s="18" t="s">
        <v>91</v>
      </c>
      <c r="Q846" s="18" t="s">
        <v>4</v>
      </c>
      <c r="R846" s="12" t="s">
        <v>15</v>
      </c>
      <c r="S846" s="18" t="s">
        <v>34</v>
      </c>
      <c r="T846" s="12">
        <v>1</v>
      </c>
      <c r="U846" s="13">
        <v>44018</v>
      </c>
      <c r="V846" s="18" t="s">
        <v>959</v>
      </c>
      <c r="W846" s="12" t="s">
        <v>92</v>
      </c>
      <c r="X846" s="18" t="s">
        <v>105</v>
      </c>
      <c r="Y846" s="17"/>
      <c r="Z846" s="75"/>
      <c r="AA846" s="24"/>
      <c r="AC846" s="24"/>
      <c r="AD846" s="24"/>
      <c r="AE846" s="24"/>
      <c r="AF846" s="24"/>
      <c r="AG846" s="24"/>
      <c r="AH846" s="24"/>
      <c r="AI846" s="24"/>
    </row>
    <row r="847" spans="1:35" hidden="1" x14ac:dyDescent="0.3">
      <c r="A847" s="12" t="s">
        <v>85</v>
      </c>
      <c r="B847" s="18">
        <v>63654</v>
      </c>
      <c r="C847" s="16" t="s">
        <v>100</v>
      </c>
      <c r="D847" s="18" t="s">
        <v>1</v>
      </c>
      <c r="E847" s="12" t="s">
        <v>1185</v>
      </c>
      <c r="F847" s="18" t="s">
        <v>87</v>
      </c>
      <c r="G847" s="12" t="s">
        <v>113</v>
      </c>
      <c r="H847" s="18" t="s">
        <v>101</v>
      </c>
      <c r="I847" s="18" t="s">
        <v>89</v>
      </c>
      <c r="J847" s="11" t="s">
        <v>102</v>
      </c>
      <c r="K847" s="16" t="s">
        <v>102</v>
      </c>
      <c r="L847" s="11" t="s">
        <v>1219</v>
      </c>
      <c r="M847" s="16" t="s">
        <v>103</v>
      </c>
      <c r="N847" s="65">
        <v>2916708</v>
      </c>
      <c r="O847" s="63"/>
      <c r="P847" s="18" t="s">
        <v>91</v>
      </c>
      <c r="Q847" s="18" t="s">
        <v>4</v>
      </c>
      <c r="R847" s="12" t="s">
        <v>15</v>
      </c>
      <c r="S847" s="12" t="s">
        <v>34</v>
      </c>
      <c r="T847" s="12">
        <v>1</v>
      </c>
      <c r="U847" s="13">
        <v>43998</v>
      </c>
      <c r="V847" s="12" t="s">
        <v>958</v>
      </c>
      <c r="W847" s="12" t="s">
        <v>92</v>
      </c>
      <c r="X847" s="18" t="s">
        <v>105</v>
      </c>
      <c r="Y847" s="17"/>
      <c r="Z847" s="75"/>
      <c r="AA847" s="24"/>
      <c r="AC847" s="24"/>
      <c r="AD847" s="24"/>
      <c r="AE847" s="24"/>
      <c r="AF847" s="24"/>
      <c r="AG847" s="24"/>
      <c r="AH847" s="24"/>
      <c r="AI847" s="24"/>
    </row>
    <row r="848" spans="1:35" hidden="1" x14ac:dyDescent="0.3">
      <c r="A848" s="12" t="s">
        <v>85</v>
      </c>
      <c r="B848" s="18">
        <v>63654</v>
      </c>
      <c r="C848" s="16" t="s">
        <v>100</v>
      </c>
      <c r="D848" s="18" t="s">
        <v>1</v>
      </c>
      <c r="E848" s="12" t="s">
        <v>1185</v>
      </c>
      <c r="F848" s="18" t="s">
        <v>87</v>
      </c>
      <c r="G848" s="12" t="s">
        <v>113</v>
      </c>
      <c r="H848" s="18" t="s">
        <v>101</v>
      </c>
      <c r="I848" s="18" t="s">
        <v>89</v>
      </c>
      <c r="J848" s="11" t="s">
        <v>102</v>
      </c>
      <c r="K848" s="16" t="s">
        <v>102</v>
      </c>
      <c r="L848" s="11" t="s">
        <v>1219</v>
      </c>
      <c r="M848" s="16" t="s">
        <v>103</v>
      </c>
      <c r="N848" s="65">
        <v>2916708</v>
      </c>
      <c r="O848" s="63"/>
      <c r="P848" s="18" t="s">
        <v>91</v>
      </c>
      <c r="Q848" s="18" t="s">
        <v>4</v>
      </c>
      <c r="R848" s="18" t="s">
        <v>15</v>
      </c>
      <c r="S848" s="18" t="s">
        <v>20</v>
      </c>
      <c r="T848" s="12">
        <v>1</v>
      </c>
      <c r="U848" s="13">
        <v>44027</v>
      </c>
      <c r="V848" s="18" t="s">
        <v>110</v>
      </c>
      <c r="W848" s="12" t="s">
        <v>92</v>
      </c>
      <c r="X848" s="18" t="s">
        <v>105</v>
      </c>
      <c r="Y848" s="17"/>
      <c r="Z848" s="75"/>
      <c r="AA848" s="24"/>
      <c r="AC848" s="24"/>
      <c r="AD848" s="24"/>
      <c r="AE848" s="24"/>
      <c r="AF848" s="24"/>
      <c r="AG848" s="24"/>
      <c r="AH848" s="24"/>
      <c r="AI848" s="24"/>
    </row>
    <row r="849" spans="1:35" hidden="1" x14ac:dyDescent="0.3">
      <c r="A849" s="12" t="s">
        <v>85</v>
      </c>
      <c r="B849" s="18">
        <v>63654</v>
      </c>
      <c r="C849" s="16" t="s">
        <v>100</v>
      </c>
      <c r="D849" s="18" t="s">
        <v>1</v>
      </c>
      <c r="E849" s="12" t="s">
        <v>1185</v>
      </c>
      <c r="F849" s="18" t="s">
        <v>87</v>
      </c>
      <c r="G849" s="12" t="s">
        <v>113</v>
      </c>
      <c r="H849" s="18" t="s">
        <v>101</v>
      </c>
      <c r="I849" s="18" t="s">
        <v>89</v>
      </c>
      <c r="J849" s="11" t="s">
        <v>102</v>
      </c>
      <c r="K849" s="16" t="s">
        <v>102</v>
      </c>
      <c r="L849" s="11" t="s">
        <v>1219</v>
      </c>
      <c r="M849" s="16" t="s">
        <v>103</v>
      </c>
      <c r="N849" s="65">
        <v>2916708</v>
      </c>
      <c r="O849" s="63"/>
      <c r="P849" s="18" t="s">
        <v>91</v>
      </c>
      <c r="Q849" s="18" t="s">
        <v>4</v>
      </c>
      <c r="R849" s="12" t="s">
        <v>15</v>
      </c>
      <c r="S849" s="12" t="s">
        <v>22</v>
      </c>
      <c r="T849" s="12">
        <v>1</v>
      </c>
      <c r="U849" s="13">
        <v>44027</v>
      </c>
      <c r="V849" s="12" t="s">
        <v>111</v>
      </c>
      <c r="W849" s="12" t="s">
        <v>92</v>
      </c>
      <c r="X849" s="18" t="s">
        <v>105</v>
      </c>
      <c r="Y849" s="17"/>
      <c r="Z849" s="75"/>
      <c r="AA849" s="24"/>
      <c r="AC849" s="24"/>
      <c r="AD849" s="24"/>
      <c r="AE849" s="24"/>
      <c r="AF849" s="24"/>
      <c r="AG849" s="24"/>
      <c r="AH849" s="24"/>
      <c r="AI849" s="24"/>
    </row>
    <row r="850" spans="1:35" hidden="1" x14ac:dyDescent="0.3">
      <c r="A850" s="12" t="s">
        <v>85</v>
      </c>
      <c r="B850" s="18">
        <v>63654</v>
      </c>
      <c r="C850" s="16" t="s">
        <v>100</v>
      </c>
      <c r="D850" s="18" t="s">
        <v>1</v>
      </c>
      <c r="E850" s="12" t="s">
        <v>1185</v>
      </c>
      <c r="F850" s="18" t="s">
        <v>87</v>
      </c>
      <c r="G850" s="12" t="s">
        <v>113</v>
      </c>
      <c r="H850" s="18" t="s">
        <v>101</v>
      </c>
      <c r="I850" s="18" t="s">
        <v>89</v>
      </c>
      <c r="J850" s="11" t="s">
        <v>102</v>
      </c>
      <c r="K850" s="16" t="s">
        <v>102</v>
      </c>
      <c r="L850" s="11" t="s">
        <v>1219</v>
      </c>
      <c r="M850" s="16" t="s">
        <v>103</v>
      </c>
      <c r="N850" s="65">
        <v>2916708</v>
      </c>
      <c r="O850" s="63"/>
      <c r="P850" s="18" t="s">
        <v>91</v>
      </c>
      <c r="Q850" s="18" t="s">
        <v>4</v>
      </c>
      <c r="R850" s="18" t="s">
        <v>15</v>
      </c>
      <c r="S850" s="18" t="s">
        <v>34</v>
      </c>
      <c r="T850" s="12">
        <v>1</v>
      </c>
      <c r="U850" s="13">
        <v>44028</v>
      </c>
      <c r="V850" s="18" t="s">
        <v>94</v>
      </c>
      <c r="W850" s="12" t="s">
        <v>92</v>
      </c>
      <c r="X850" s="18" t="s">
        <v>105</v>
      </c>
      <c r="Y850" s="17"/>
      <c r="Z850" s="75"/>
      <c r="AA850" s="24"/>
      <c r="AC850" s="24"/>
      <c r="AD850" s="24"/>
      <c r="AE850" s="24"/>
      <c r="AF850" s="24"/>
      <c r="AG850" s="24"/>
      <c r="AH850" s="24"/>
      <c r="AI850" s="24"/>
    </row>
    <row r="851" spans="1:35" hidden="1" x14ac:dyDescent="0.3">
      <c r="A851" s="12" t="s">
        <v>85</v>
      </c>
      <c r="B851" s="18">
        <v>63984</v>
      </c>
      <c r="C851" s="16" t="s">
        <v>100</v>
      </c>
      <c r="D851" s="18" t="s">
        <v>1</v>
      </c>
      <c r="E851" s="12" t="s">
        <v>1185</v>
      </c>
      <c r="F851" s="18" t="s">
        <v>87</v>
      </c>
      <c r="G851" s="12" t="s">
        <v>113</v>
      </c>
      <c r="H851" s="18" t="s">
        <v>101</v>
      </c>
      <c r="I851" s="18" t="s">
        <v>89</v>
      </c>
      <c r="J851" s="11" t="s">
        <v>102</v>
      </c>
      <c r="K851" s="16" t="s">
        <v>102</v>
      </c>
      <c r="L851" s="11" t="s">
        <v>1219</v>
      </c>
      <c r="M851" s="16" t="s">
        <v>103</v>
      </c>
      <c r="N851" s="65">
        <v>1791849</v>
      </c>
      <c r="O851" s="63"/>
      <c r="P851" s="18" t="s">
        <v>91</v>
      </c>
      <c r="Q851" s="18" t="s">
        <v>4</v>
      </c>
      <c r="R851" s="12" t="s">
        <v>15</v>
      </c>
      <c r="S851" s="12" t="s">
        <v>92</v>
      </c>
      <c r="T851" s="12">
        <v>1</v>
      </c>
      <c r="U851" s="13">
        <v>43963</v>
      </c>
      <c r="V851" s="18" t="s">
        <v>957</v>
      </c>
      <c r="W851" s="18" t="s">
        <v>92</v>
      </c>
      <c r="X851" s="12" t="s">
        <v>93</v>
      </c>
      <c r="Y851" s="17"/>
      <c r="Z851" s="75"/>
      <c r="AA851" s="24"/>
      <c r="AC851" s="24"/>
      <c r="AD851" s="24"/>
      <c r="AE851" s="24"/>
      <c r="AF851" s="24"/>
      <c r="AG851" s="24"/>
      <c r="AH851" s="24"/>
      <c r="AI851" s="24"/>
    </row>
    <row r="852" spans="1:35" hidden="1" x14ac:dyDescent="0.3">
      <c r="A852" s="12" t="s">
        <v>85</v>
      </c>
      <c r="B852" s="18">
        <v>63984</v>
      </c>
      <c r="C852" s="16" t="s">
        <v>100</v>
      </c>
      <c r="D852" s="18" t="s">
        <v>1</v>
      </c>
      <c r="E852" s="12" t="s">
        <v>1185</v>
      </c>
      <c r="F852" s="18" t="s">
        <v>87</v>
      </c>
      <c r="G852" s="12" t="s">
        <v>113</v>
      </c>
      <c r="H852" s="18" t="s">
        <v>101</v>
      </c>
      <c r="I852" s="18" t="s">
        <v>89</v>
      </c>
      <c r="J852" s="11" t="s">
        <v>102</v>
      </c>
      <c r="K852" s="16" t="s">
        <v>102</v>
      </c>
      <c r="L852" s="11" t="s">
        <v>1219</v>
      </c>
      <c r="M852" s="16" t="s">
        <v>103</v>
      </c>
      <c r="N852" s="65">
        <v>1791849</v>
      </c>
      <c r="O852" s="63"/>
      <c r="P852" s="18" t="s">
        <v>91</v>
      </c>
      <c r="Q852" s="18" t="s">
        <v>4</v>
      </c>
      <c r="R852" s="18" t="s">
        <v>15</v>
      </c>
      <c r="S852" s="18" t="s">
        <v>19</v>
      </c>
      <c r="T852" s="12">
        <v>0</v>
      </c>
      <c r="U852" s="13">
        <v>44362</v>
      </c>
      <c r="V852" s="12" t="s">
        <v>1189</v>
      </c>
      <c r="W852" s="12" t="s">
        <v>92</v>
      </c>
      <c r="X852" s="12" t="s">
        <v>108</v>
      </c>
      <c r="Y852" s="13">
        <v>44362</v>
      </c>
      <c r="Z852" s="75"/>
      <c r="AA852" s="24"/>
      <c r="AC852" s="24"/>
      <c r="AD852" s="24"/>
      <c r="AE852" s="24"/>
      <c r="AF852" s="24"/>
      <c r="AG852" s="24"/>
      <c r="AH852" s="24"/>
      <c r="AI852" s="24"/>
    </row>
    <row r="853" spans="1:35" hidden="1" x14ac:dyDescent="0.3">
      <c r="A853" s="12" t="s">
        <v>85</v>
      </c>
      <c r="B853" s="18">
        <v>63984</v>
      </c>
      <c r="C853" s="16" t="s">
        <v>100</v>
      </c>
      <c r="D853" s="18" t="s">
        <v>1</v>
      </c>
      <c r="E853" s="12" t="s">
        <v>1185</v>
      </c>
      <c r="F853" s="18" t="s">
        <v>87</v>
      </c>
      <c r="G853" s="12" t="s">
        <v>113</v>
      </c>
      <c r="H853" s="18" t="s">
        <v>101</v>
      </c>
      <c r="I853" s="18" t="s">
        <v>89</v>
      </c>
      <c r="J853" s="11" t="s">
        <v>102</v>
      </c>
      <c r="K853" s="16" t="s">
        <v>102</v>
      </c>
      <c r="L853" s="11" t="s">
        <v>1219</v>
      </c>
      <c r="M853" s="16" t="s">
        <v>103</v>
      </c>
      <c r="N853" s="65">
        <v>1791849</v>
      </c>
      <c r="O853" s="63"/>
      <c r="P853" s="18" t="s">
        <v>91</v>
      </c>
      <c r="Q853" s="18" t="s">
        <v>4</v>
      </c>
      <c r="R853" s="18" t="s">
        <v>15</v>
      </c>
      <c r="S853" s="18" t="s">
        <v>34</v>
      </c>
      <c r="T853" s="12">
        <v>1</v>
      </c>
      <c r="U853" s="13">
        <v>43893</v>
      </c>
      <c r="V853" s="18" t="s">
        <v>956</v>
      </c>
      <c r="W853" s="12" t="s">
        <v>92</v>
      </c>
      <c r="X853" s="12" t="s">
        <v>93</v>
      </c>
      <c r="Y853" s="17"/>
      <c r="Z853" s="75"/>
      <c r="AA853" s="24"/>
      <c r="AC853" s="24"/>
      <c r="AD853" s="24"/>
      <c r="AE853" s="24"/>
      <c r="AF853" s="24"/>
      <c r="AG853" s="24"/>
      <c r="AH853" s="24"/>
      <c r="AI853" s="24"/>
    </row>
    <row r="854" spans="1:35" hidden="1" x14ac:dyDescent="0.3">
      <c r="A854" s="12" t="s">
        <v>85</v>
      </c>
      <c r="B854" s="18">
        <v>63984</v>
      </c>
      <c r="C854" s="16" t="s">
        <v>100</v>
      </c>
      <c r="D854" s="18" t="s">
        <v>1</v>
      </c>
      <c r="E854" s="12" t="s">
        <v>1185</v>
      </c>
      <c r="F854" s="18" t="s">
        <v>87</v>
      </c>
      <c r="G854" s="12" t="s">
        <v>113</v>
      </c>
      <c r="H854" s="18" t="s">
        <v>101</v>
      </c>
      <c r="I854" s="18" t="s">
        <v>89</v>
      </c>
      <c r="J854" s="11" t="s">
        <v>102</v>
      </c>
      <c r="K854" s="16" t="s">
        <v>102</v>
      </c>
      <c r="L854" s="11" t="s">
        <v>1219</v>
      </c>
      <c r="M854" s="16" t="s">
        <v>103</v>
      </c>
      <c r="N854" s="65">
        <v>1791849</v>
      </c>
      <c r="O854" s="63"/>
      <c r="P854" s="18" t="s">
        <v>91</v>
      </c>
      <c r="Q854" s="18" t="s">
        <v>4</v>
      </c>
      <c r="R854" s="18" t="s">
        <v>15</v>
      </c>
      <c r="S854" s="18" t="s">
        <v>22</v>
      </c>
      <c r="T854" s="12">
        <v>1</v>
      </c>
      <c r="U854" s="13">
        <v>43997</v>
      </c>
      <c r="V854" s="18" t="s">
        <v>110</v>
      </c>
      <c r="W854" s="12" t="s">
        <v>92</v>
      </c>
      <c r="X854" s="18" t="s">
        <v>105</v>
      </c>
      <c r="Y854" s="17"/>
      <c r="Z854" s="75"/>
      <c r="AA854" s="24"/>
      <c r="AC854" s="24"/>
      <c r="AD854" s="24"/>
      <c r="AE854" s="24"/>
      <c r="AF854" s="24"/>
      <c r="AG854" s="24"/>
      <c r="AH854" s="24"/>
      <c r="AI854" s="24"/>
    </row>
    <row r="855" spans="1:35" hidden="1" x14ac:dyDescent="0.3">
      <c r="A855" s="12" t="s">
        <v>85</v>
      </c>
      <c r="B855" s="18">
        <v>63984</v>
      </c>
      <c r="C855" s="16" t="s">
        <v>100</v>
      </c>
      <c r="D855" s="18" t="s">
        <v>1</v>
      </c>
      <c r="E855" s="12" t="s">
        <v>1185</v>
      </c>
      <c r="F855" s="18" t="s">
        <v>87</v>
      </c>
      <c r="G855" s="12" t="s">
        <v>113</v>
      </c>
      <c r="H855" s="18" t="s">
        <v>101</v>
      </c>
      <c r="I855" s="18" t="s">
        <v>89</v>
      </c>
      <c r="J855" s="11" t="s">
        <v>102</v>
      </c>
      <c r="K855" s="16" t="s">
        <v>102</v>
      </c>
      <c r="L855" s="11" t="s">
        <v>1219</v>
      </c>
      <c r="M855" s="16" t="s">
        <v>103</v>
      </c>
      <c r="N855" s="65">
        <v>1791849</v>
      </c>
      <c r="O855" s="63"/>
      <c r="P855" s="18" t="s">
        <v>91</v>
      </c>
      <c r="Q855" s="18" t="s">
        <v>4</v>
      </c>
      <c r="R855" s="18" t="s">
        <v>15</v>
      </c>
      <c r="S855" s="18" t="s">
        <v>34</v>
      </c>
      <c r="T855" s="12">
        <v>1</v>
      </c>
      <c r="U855" s="13">
        <v>43998</v>
      </c>
      <c r="V855" s="18" t="s">
        <v>958</v>
      </c>
      <c r="W855" s="12" t="s">
        <v>92</v>
      </c>
      <c r="X855" s="18" t="s">
        <v>105</v>
      </c>
      <c r="Y855" s="17"/>
      <c r="Z855" s="75"/>
      <c r="AA855" s="27"/>
      <c r="AB855" s="27"/>
      <c r="AC855" s="27"/>
      <c r="AG855" s="24"/>
      <c r="AH855" s="24"/>
      <c r="AI855" s="24"/>
    </row>
    <row r="856" spans="1:35" hidden="1" x14ac:dyDescent="0.3">
      <c r="A856" s="12" t="s">
        <v>85</v>
      </c>
      <c r="B856" s="18">
        <v>63984</v>
      </c>
      <c r="C856" s="16" t="s">
        <v>100</v>
      </c>
      <c r="D856" s="18" t="s">
        <v>1</v>
      </c>
      <c r="E856" s="12" t="s">
        <v>1185</v>
      </c>
      <c r="F856" s="18" t="s">
        <v>87</v>
      </c>
      <c r="G856" s="12" t="s">
        <v>113</v>
      </c>
      <c r="H856" s="18" t="s">
        <v>101</v>
      </c>
      <c r="I856" s="18" t="s">
        <v>89</v>
      </c>
      <c r="J856" s="11" t="s">
        <v>102</v>
      </c>
      <c r="K856" s="16" t="s">
        <v>102</v>
      </c>
      <c r="L856" s="11" t="s">
        <v>1219</v>
      </c>
      <c r="M856" s="16" t="s">
        <v>103</v>
      </c>
      <c r="N856" s="65">
        <v>1791849</v>
      </c>
      <c r="O856" s="63"/>
      <c r="P856" s="18" t="s">
        <v>91</v>
      </c>
      <c r="Q856" s="18" t="s">
        <v>4</v>
      </c>
      <c r="R856" s="18" t="s">
        <v>15</v>
      </c>
      <c r="S856" s="18" t="s">
        <v>34</v>
      </c>
      <c r="T856" s="12">
        <v>1</v>
      </c>
      <c r="U856" s="13">
        <v>44018</v>
      </c>
      <c r="V856" s="18" t="s">
        <v>959</v>
      </c>
      <c r="W856" s="12" t="s">
        <v>92</v>
      </c>
      <c r="X856" s="34" t="s">
        <v>105</v>
      </c>
      <c r="Y856" s="17"/>
      <c r="Z856" s="75"/>
      <c r="AA856" s="27"/>
      <c r="AB856" s="27"/>
      <c r="AC856" s="27"/>
      <c r="AG856" s="24"/>
      <c r="AH856" s="24"/>
      <c r="AI856" s="24"/>
    </row>
    <row r="857" spans="1:35" hidden="1" x14ac:dyDescent="0.3">
      <c r="A857" s="12" t="s">
        <v>85</v>
      </c>
      <c r="B857" s="18">
        <v>63984</v>
      </c>
      <c r="C857" s="16" t="s">
        <v>100</v>
      </c>
      <c r="D857" s="18" t="s">
        <v>1</v>
      </c>
      <c r="E857" s="12" t="s">
        <v>1185</v>
      </c>
      <c r="F857" s="18" t="s">
        <v>87</v>
      </c>
      <c r="G857" s="12" t="s">
        <v>113</v>
      </c>
      <c r="H857" s="18" t="s">
        <v>101</v>
      </c>
      <c r="I857" s="18" t="s">
        <v>89</v>
      </c>
      <c r="J857" s="11" t="s">
        <v>102</v>
      </c>
      <c r="K857" s="16" t="s">
        <v>102</v>
      </c>
      <c r="L857" s="11" t="s">
        <v>1219</v>
      </c>
      <c r="M857" s="16" t="s">
        <v>103</v>
      </c>
      <c r="N857" s="65">
        <v>1791849</v>
      </c>
      <c r="O857" s="63"/>
      <c r="P857" s="18" t="s">
        <v>91</v>
      </c>
      <c r="Q857" s="18" t="s">
        <v>4</v>
      </c>
      <c r="R857" s="18" t="s">
        <v>15</v>
      </c>
      <c r="S857" s="18" t="s">
        <v>22</v>
      </c>
      <c r="T857" s="12">
        <v>1</v>
      </c>
      <c r="U857" s="13">
        <v>44027</v>
      </c>
      <c r="V857" s="12" t="s">
        <v>111</v>
      </c>
      <c r="W857" s="12" t="s">
        <v>92</v>
      </c>
      <c r="X857" s="34" t="s">
        <v>105</v>
      </c>
      <c r="Y857" s="17"/>
      <c r="Z857" s="75"/>
      <c r="AA857" s="27"/>
      <c r="AB857" s="27"/>
      <c r="AC857" s="27"/>
      <c r="AG857" s="24"/>
      <c r="AH857" s="24"/>
      <c r="AI857" s="24"/>
    </row>
    <row r="858" spans="1:35" hidden="1" x14ac:dyDescent="0.3">
      <c r="A858" s="12" t="s">
        <v>85</v>
      </c>
      <c r="B858" s="18">
        <v>63984</v>
      </c>
      <c r="C858" s="16" t="s">
        <v>100</v>
      </c>
      <c r="D858" s="18" t="s">
        <v>1</v>
      </c>
      <c r="E858" s="12" t="s">
        <v>1185</v>
      </c>
      <c r="F858" s="18" t="s">
        <v>87</v>
      </c>
      <c r="G858" s="12" t="s">
        <v>113</v>
      </c>
      <c r="H858" s="18" t="s">
        <v>101</v>
      </c>
      <c r="I858" s="18" t="s">
        <v>89</v>
      </c>
      <c r="J858" s="11" t="s">
        <v>102</v>
      </c>
      <c r="K858" s="16" t="s">
        <v>102</v>
      </c>
      <c r="L858" s="11" t="s">
        <v>1219</v>
      </c>
      <c r="M858" s="16" t="s">
        <v>103</v>
      </c>
      <c r="N858" s="65">
        <v>1791849</v>
      </c>
      <c r="O858" s="63"/>
      <c r="P858" s="18" t="s">
        <v>91</v>
      </c>
      <c r="Q858" s="18" t="s">
        <v>4</v>
      </c>
      <c r="R858" s="18" t="s">
        <v>15</v>
      </c>
      <c r="S858" s="18" t="s">
        <v>34</v>
      </c>
      <c r="T858" s="12">
        <v>1</v>
      </c>
      <c r="U858" s="13">
        <v>44028</v>
      </c>
      <c r="V858" s="18" t="s">
        <v>94</v>
      </c>
      <c r="W858" s="12" t="s">
        <v>92</v>
      </c>
      <c r="X858" s="34" t="s">
        <v>105</v>
      </c>
      <c r="Y858" s="17"/>
      <c r="Z858" s="75"/>
      <c r="AA858" s="27"/>
      <c r="AB858" s="27"/>
      <c r="AC858" s="27"/>
      <c r="AG858" s="24"/>
      <c r="AH858" s="24"/>
      <c r="AI858" s="24"/>
    </row>
    <row r="859" spans="1:35" hidden="1" x14ac:dyDescent="0.3">
      <c r="A859" s="12" t="s">
        <v>85</v>
      </c>
      <c r="B859" s="18">
        <v>64532</v>
      </c>
      <c r="C859" s="16" t="s">
        <v>333</v>
      </c>
      <c r="D859" s="18" t="s">
        <v>1</v>
      </c>
      <c r="E859" s="12" t="s">
        <v>1185</v>
      </c>
      <c r="F859" s="18" t="s">
        <v>132</v>
      </c>
      <c r="G859" s="12" t="s">
        <v>132</v>
      </c>
      <c r="H859" s="18" t="s">
        <v>334</v>
      </c>
      <c r="I859" s="18" t="s">
        <v>89</v>
      </c>
      <c r="J859" s="16" t="s">
        <v>496</v>
      </c>
      <c r="K859" s="16" t="s">
        <v>496</v>
      </c>
      <c r="L859" s="11" t="s">
        <v>1195</v>
      </c>
      <c r="M859" s="16" t="s">
        <v>497</v>
      </c>
      <c r="N859" s="65">
        <v>3000</v>
      </c>
      <c r="O859" s="63"/>
      <c r="P859" s="18" t="s">
        <v>498</v>
      </c>
      <c r="Q859" s="18" t="s">
        <v>12</v>
      </c>
      <c r="R859" s="12" t="s">
        <v>99</v>
      </c>
      <c r="S859" s="12" t="s">
        <v>99</v>
      </c>
      <c r="T859" s="12">
        <v>0</v>
      </c>
      <c r="U859" s="13"/>
      <c r="V859" s="18" t="s">
        <v>92</v>
      </c>
      <c r="W859" s="18" t="s">
        <v>92</v>
      </c>
      <c r="X859" s="12" t="s">
        <v>135</v>
      </c>
      <c r="Y859" s="17"/>
      <c r="Z859" s="75"/>
      <c r="AA859" s="27"/>
      <c r="AB859" s="27"/>
      <c r="AC859" s="27"/>
      <c r="AG859" s="24"/>
      <c r="AH859" s="24"/>
      <c r="AI859" s="24"/>
    </row>
    <row r="860" spans="1:35" hidden="1" x14ac:dyDescent="0.3">
      <c r="A860" s="12" t="s">
        <v>85</v>
      </c>
      <c r="B860" s="18">
        <v>64859</v>
      </c>
      <c r="C860" s="16" t="s">
        <v>960</v>
      </c>
      <c r="D860" s="18" t="s">
        <v>1</v>
      </c>
      <c r="E860" s="12" t="s">
        <v>1185</v>
      </c>
      <c r="F860" s="18" t="s">
        <v>113</v>
      </c>
      <c r="G860" s="12" t="s">
        <v>113</v>
      </c>
      <c r="H860" s="18" t="s">
        <v>96</v>
      </c>
      <c r="I860" s="18" t="s">
        <v>89</v>
      </c>
      <c r="J860" s="16" t="s">
        <v>961</v>
      </c>
      <c r="K860" s="16" t="s">
        <v>961</v>
      </c>
      <c r="L860" s="11" t="s">
        <v>1212</v>
      </c>
      <c r="M860" s="16" t="s">
        <v>962</v>
      </c>
      <c r="N860" s="64">
        <v>52280.57</v>
      </c>
      <c r="O860" s="64">
        <f>2840.6+218+687.93</f>
        <v>3746.5299999999997</v>
      </c>
      <c r="P860" s="18"/>
      <c r="Q860" s="18" t="s">
        <v>12</v>
      </c>
      <c r="R860" s="12" t="s">
        <v>99</v>
      </c>
      <c r="S860" s="12" t="s">
        <v>99</v>
      </c>
      <c r="T860" s="12">
        <v>0</v>
      </c>
      <c r="U860" s="13">
        <v>44362</v>
      </c>
      <c r="V860" s="18" t="s">
        <v>92</v>
      </c>
      <c r="W860" s="18" t="s">
        <v>92</v>
      </c>
      <c r="X860" s="18" t="s">
        <v>105</v>
      </c>
      <c r="Y860" s="13">
        <v>44362</v>
      </c>
      <c r="Z860" s="75"/>
      <c r="AA860" s="27"/>
      <c r="AB860" s="27"/>
      <c r="AC860" s="27"/>
      <c r="AG860" s="24"/>
      <c r="AH860" s="24"/>
      <c r="AI860" s="24"/>
    </row>
    <row r="861" spans="1:35" x14ac:dyDescent="0.3">
      <c r="A861" s="12" t="s">
        <v>85</v>
      </c>
      <c r="B861" s="18">
        <v>65034</v>
      </c>
      <c r="C861" s="16" t="s">
        <v>112</v>
      </c>
      <c r="D861" s="18" t="s">
        <v>1</v>
      </c>
      <c r="E861" s="12" t="s">
        <v>1185</v>
      </c>
      <c r="F861" s="18" t="s">
        <v>113</v>
      </c>
      <c r="G861" s="12" t="s">
        <v>113</v>
      </c>
      <c r="H861" s="18" t="s">
        <v>114</v>
      </c>
      <c r="I861" s="18" t="s">
        <v>115</v>
      </c>
      <c r="J861" s="16" t="s">
        <v>963</v>
      </c>
      <c r="K861" s="16" t="s">
        <v>963</v>
      </c>
      <c r="L861" s="16" t="s">
        <v>1195</v>
      </c>
      <c r="M861" s="16" t="s">
        <v>964</v>
      </c>
      <c r="N861" s="63">
        <v>387.37</v>
      </c>
      <c r="O861" s="63"/>
      <c r="P861" s="18"/>
      <c r="Q861" s="18" t="s">
        <v>12</v>
      </c>
      <c r="R861" s="12" t="s">
        <v>99</v>
      </c>
      <c r="S861" s="12" t="s">
        <v>99</v>
      </c>
      <c r="T861" s="12">
        <v>0</v>
      </c>
      <c r="U861" s="13"/>
      <c r="V861" s="18" t="s">
        <v>92</v>
      </c>
      <c r="W861" s="18" t="s">
        <v>92</v>
      </c>
      <c r="X861" s="12" t="s">
        <v>93</v>
      </c>
      <c r="Y861" s="17"/>
      <c r="Z861" s="75"/>
      <c r="AA861" s="27"/>
      <c r="AB861" s="27"/>
      <c r="AC861" s="27"/>
      <c r="AG861" s="24"/>
      <c r="AH861" s="24"/>
      <c r="AI861" s="24"/>
    </row>
    <row r="862" spans="1:35" hidden="1" x14ac:dyDescent="0.3">
      <c r="A862" s="12" t="s">
        <v>85</v>
      </c>
      <c r="B862" s="18">
        <v>65913</v>
      </c>
      <c r="C862" s="16" t="s">
        <v>333</v>
      </c>
      <c r="D862" s="18" t="s">
        <v>1</v>
      </c>
      <c r="E862" s="12" t="s">
        <v>1185</v>
      </c>
      <c r="F862" s="18" t="s">
        <v>87</v>
      </c>
      <c r="G862" s="12" t="s">
        <v>113</v>
      </c>
      <c r="H862" s="18" t="s">
        <v>334</v>
      </c>
      <c r="I862" s="18" t="s">
        <v>89</v>
      </c>
      <c r="J862" s="16" t="s">
        <v>1246</v>
      </c>
      <c r="K862" s="16" t="s">
        <v>1246</v>
      </c>
      <c r="L862" s="16" t="s">
        <v>1199</v>
      </c>
      <c r="M862" s="16" t="s">
        <v>965</v>
      </c>
      <c r="N862" s="65">
        <v>152428</v>
      </c>
      <c r="O862" s="63"/>
      <c r="P862" s="79">
        <v>6020069105800000</v>
      </c>
      <c r="Q862" s="18" t="s">
        <v>4</v>
      </c>
      <c r="R862" s="18" t="s">
        <v>13</v>
      </c>
      <c r="S862" s="18" t="s">
        <v>23</v>
      </c>
      <c r="T862" s="12">
        <v>0</v>
      </c>
      <c r="U862" s="13"/>
      <c r="V862" s="12" t="s">
        <v>92</v>
      </c>
      <c r="W862" s="18" t="s">
        <v>92</v>
      </c>
      <c r="X862" s="12" t="s">
        <v>93</v>
      </c>
      <c r="Y862" s="17">
        <v>43891</v>
      </c>
      <c r="Z862" s="75"/>
      <c r="AA862" s="27"/>
      <c r="AB862" s="27"/>
      <c r="AC862" s="27"/>
      <c r="AG862" s="24"/>
      <c r="AH862" s="24"/>
      <c r="AI862" s="24"/>
    </row>
    <row r="863" spans="1:35" hidden="1" x14ac:dyDescent="0.3">
      <c r="A863" s="12" t="s">
        <v>85</v>
      </c>
      <c r="B863" s="18">
        <v>65913</v>
      </c>
      <c r="C863" s="16" t="s">
        <v>333</v>
      </c>
      <c r="D863" s="18" t="s">
        <v>1</v>
      </c>
      <c r="E863" s="12" t="s">
        <v>1185</v>
      </c>
      <c r="F863" s="18" t="s">
        <v>87</v>
      </c>
      <c r="G863" s="12" t="s">
        <v>113</v>
      </c>
      <c r="H863" s="18" t="s">
        <v>334</v>
      </c>
      <c r="I863" s="18" t="s">
        <v>89</v>
      </c>
      <c r="J863" s="16" t="s">
        <v>1246</v>
      </c>
      <c r="K863" s="16" t="s">
        <v>1246</v>
      </c>
      <c r="L863" s="16" t="s">
        <v>1199</v>
      </c>
      <c r="M863" s="16" t="s">
        <v>965</v>
      </c>
      <c r="N863" s="65">
        <v>152428</v>
      </c>
      <c r="O863" s="63"/>
      <c r="P863" s="79">
        <v>6020069105800000</v>
      </c>
      <c r="Q863" s="18" t="s">
        <v>4</v>
      </c>
      <c r="R863" s="18" t="s">
        <v>15</v>
      </c>
      <c r="S863" s="18" t="s">
        <v>49</v>
      </c>
      <c r="T863" s="12">
        <v>1</v>
      </c>
      <c r="U863" s="13">
        <v>43966</v>
      </c>
      <c r="V863" s="18" t="s">
        <v>966</v>
      </c>
      <c r="W863" s="12" t="s">
        <v>92</v>
      </c>
      <c r="X863" s="18" t="s">
        <v>105</v>
      </c>
      <c r="Y863" s="17">
        <v>43891</v>
      </c>
      <c r="Z863" s="75"/>
      <c r="AA863" s="27"/>
      <c r="AB863" s="27"/>
      <c r="AC863" s="27"/>
      <c r="AG863" s="24"/>
      <c r="AH863" s="24"/>
      <c r="AI863" s="24"/>
    </row>
    <row r="864" spans="1:35" hidden="1" x14ac:dyDescent="0.3">
      <c r="A864" s="12" t="s">
        <v>85</v>
      </c>
      <c r="B864" s="18">
        <v>65913</v>
      </c>
      <c r="C864" s="16" t="s">
        <v>333</v>
      </c>
      <c r="D864" s="18" t="s">
        <v>1</v>
      </c>
      <c r="E864" s="12" t="s">
        <v>1185</v>
      </c>
      <c r="F864" s="18" t="s">
        <v>87</v>
      </c>
      <c r="G864" s="12" t="s">
        <v>113</v>
      </c>
      <c r="H864" s="18" t="s">
        <v>334</v>
      </c>
      <c r="I864" s="18" t="s">
        <v>89</v>
      </c>
      <c r="J864" s="16" t="s">
        <v>1246</v>
      </c>
      <c r="K864" s="16" t="s">
        <v>1246</v>
      </c>
      <c r="L864" s="16" t="s">
        <v>1199</v>
      </c>
      <c r="M864" s="16" t="s">
        <v>965</v>
      </c>
      <c r="N864" s="65">
        <v>152428</v>
      </c>
      <c r="O864" s="63"/>
      <c r="P864" s="79">
        <v>6020069105800000</v>
      </c>
      <c r="Q864" s="18" t="s">
        <v>4</v>
      </c>
      <c r="R864" s="18" t="s">
        <v>15</v>
      </c>
      <c r="S864" s="18" t="s">
        <v>22</v>
      </c>
      <c r="T864" s="12">
        <v>1</v>
      </c>
      <c r="U864" s="13">
        <v>43997</v>
      </c>
      <c r="V864" s="12" t="s">
        <v>110</v>
      </c>
      <c r="W864" s="12" t="s">
        <v>92</v>
      </c>
      <c r="X864" s="18" t="s">
        <v>105</v>
      </c>
      <c r="Y864" s="17">
        <v>43891</v>
      </c>
      <c r="Z864" s="75"/>
      <c r="AA864" s="27"/>
      <c r="AB864" s="27"/>
      <c r="AC864" s="27"/>
      <c r="AG864" s="24"/>
      <c r="AH864" s="24"/>
      <c r="AI864" s="24"/>
    </row>
    <row r="865" spans="1:35" hidden="1" x14ac:dyDescent="0.3">
      <c r="A865" s="12" t="s">
        <v>85</v>
      </c>
      <c r="B865" s="18">
        <v>65913</v>
      </c>
      <c r="C865" s="16" t="s">
        <v>333</v>
      </c>
      <c r="D865" s="18" t="s">
        <v>1</v>
      </c>
      <c r="E865" s="12" t="s">
        <v>1185</v>
      </c>
      <c r="F865" s="18" t="s">
        <v>87</v>
      </c>
      <c r="G865" s="12" t="s">
        <v>113</v>
      </c>
      <c r="H865" s="18" t="s">
        <v>334</v>
      </c>
      <c r="I865" s="18" t="s">
        <v>89</v>
      </c>
      <c r="J865" s="16" t="s">
        <v>1246</v>
      </c>
      <c r="K865" s="16" t="s">
        <v>1246</v>
      </c>
      <c r="L865" s="16" t="s">
        <v>1199</v>
      </c>
      <c r="M865" s="16" t="s">
        <v>965</v>
      </c>
      <c r="N865" s="65">
        <v>152428</v>
      </c>
      <c r="O865" s="63"/>
      <c r="P865" s="79">
        <v>6020069105800000</v>
      </c>
      <c r="Q865" s="18" t="s">
        <v>4</v>
      </c>
      <c r="R865" s="18" t="s">
        <v>15</v>
      </c>
      <c r="S865" s="18" t="s">
        <v>49</v>
      </c>
      <c r="T865" s="12">
        <v>1</v>
      </c>
      <c r="U865" s="13">
        <v>43997</v>
      </c>
      <c r="V865" s="18" t="s">
        <v>967</v>
      </c>
      <c r="W865" s="12" t="s">
        <v>92</v>
      </c>
      <c r="X865" s="18" t="s">
        <v>105</v>
      </c>
      <c r="Y865" s="17">
        <v>43891</v>
      </c>
      <c r="Z865" s="75"/>
      <c r="AA865" s="27"/>
      <c r="AB865" s="27"/>
      <c r="AC865" s="27"/>
      <c r="AG865" s="24"/>
      <c r="AH865" s="24"/>
      <c r="AI865" s="24"/>
    </row>
    <row r="866" spans="1:35" hidden="1" x14ac:dyDescent="0.3">
      <c r="A866" s="12" t="s">
        <v>85</v>
      </c>
      <c r="B866" s="18">
        <v>65913</v>
      </c>
      <c r="C866" s="16" t="s">
        <v>333</v>
      </c>
      <c r="D866" s="18" t="s">
        <v>1</v>
      </c>
      <c r="E866" s="12" t="s">
        <v>1185</v>
      </c>
      <c r="F866" s="18" t="s">
        <v>87</v>
      </c>
      <c r="G866" s="12" t="s">
        <v>113</v>
      </c>
      <c r="H866" s="18" t="s">
        <v>334</v>
      </c>
      <c r="I866" s="18" t="s">
        <v>89</v>
      </c>
      <c r="J866" s="16" t="s">
        <v>1246</v>
      </c>
      <c r="K866" s="16" t="s">
        <v>1246</v>
      </c>
      <c r="L866" s="16" t="s">
        <v>1199</v>
      </c>
      <c r="M866" s="16" t="s">
        <v>965</v>
      </c>
      <c r="N866" s="65">
        <v>152428</v>
      </c>
      <c r="O866" s="63"/>
      <c r="P866" s="79">
        <v>6020069105800000</v>
      </c>
      <c r="Q866" s="18" t="s">
        <v>4</v>
      </c>
      <c r="R866" s="12" t="s">
        <v>15</v>
      </c>
      <c r="S866" s="18" t="s">
        <v>22</v>
      </c>
      <c r="T866" s="12">
        <v>1</v>
      </c>
      <c r="U866" s="13">
        <v>44027</v>
      </c>
      <c r="V866" s="18" t="s">
        <v>111</v>
      </c>
      <c r="W866" s="12" t="s">
        <v>92</v>
      </c>
      <c r="X866" s="34" t="s">
        <v>105</v>
      </c>
      <c r="Y866" s="17">
        <v>43891</v>
      </c>
      <c r="Z866" s="75"/>
      <c r="AA866" s="27"/>
      <c r="AB866" s="27"/>
      <c r="AC866" s="27"/>
      <c r="AG866" s="24"/>
      <c r="AH866" s="24"/>
      <c r="AI866" s="24"/>
    </row>
    <row r="867" spans="1:35" hidden="1" x14ac:dyDescent="0.3">
      <c r="A867" s="12" t="s">
        <v>85</v>
      </c>
      <c r="B867" s="18">
        <v>65913</v>
      </c>
      <c r="C867" s="16" t="s">
        <v>333</v>
      </c>
      <c r="D867" s="18" t="s">
        <v>1</v>
      </c>
      <c r="E867" s="12" t="s">
        <v>1185</v>
      </c>
      <c r="F867" s="18" t="s">
        <v>87</v>
      </c>
      <c r="G867" s="12" t="s">
        <v>113</v>
      </c>
      <c r="H867" s="18" t="s">
        <v>334</v>
      </c>
      <c r="I867" s="18" t="s">
        <v>89</v>
      </c>
      <c r="J867" s="16" t="s">
        <v>1246</v>
      </c>
      <c r="K867" s="16" t="s">
        <v>1246</v>
      </c>
      <c r="L867" s="16" t="s">
        <v>1199</v>
      </c>
      <c r="M867" s="16" t="s">
        <v>965</v>
      </c>
      <c r="N867" s="65">
        <v>152428</v>
      </c>
      <c r="O867" s="63"/>
      <c r="P867" s="79">
        <v>6020069105800000</v>
      </c>
      <c r="Q867" s="12" t="s">
        <v>4</v>
      </c>
      <c r="R867" s="12" t="s">
        <v>15</v>
      </c>
      <c r="S867" s="18" t="s">
        <v>49</v>
      </c>
      <c r="T867" s="12">
        <v>1</v>
      </c>
      <c r="U867" s="13">
        <v>44027</v>
      </c>
      <c r="V867" s="18" t="s">
        <v>968</v>
      </c>
      <c r="W867" s="12" t="s">
        <v>92</v>
      </c>
      <c r="X867" s="34" t="s">
        <v>105</v>
      </c>
      <c r="Y867" s="17">
        <v>43891</v>
      </c>
      <c r="Z867" s="75"/>
      <c r="AA867" s="27"/>
      <c r="AB867" s="27"/>
      <c r="AC867" s="27"/>
      <c r="AG867" s="24"/>
      <c r="AH867" s="24"/>
      <c r="AI867" s="24"/>
    </row>
    <row r="868" spans="1:35" hidden="1" x14ac:dyDescent="0.3">
      <c r="A868" s="12" t="s">
        <v>85</v>
      </c>
      <c r="B868" s="18">
        <v>65913</v>
      </c>
      <c r="C868" s="16" t="s">
        <v>333</v>
      </c>
      <c r="D868" s="18" t="s">
        <v>1</v>
      </c>
      <c r="E868" s="12" t="s">
        <v>1185</v>
      </c>
      <c r="F868" s="18" t="s">
        <v>87</v>
      </c>
      <c r="G868" s="12" t="s">
        <v>113</v>
      </c>
      <c r="H868" s="18" t="s">
        <v>334</v>
      </c>
      <c r="I868" s="18" t="s">
        <v>89</v>
      </c>
      <c r="J868" s="16" t="s">
        <v>1246</v>
      </c>
      <c r="K868" s="16" t="s">
        <v>1246</v>
      </c>
      <c r="L868" s="16" t="s">
        <v>1199</v>
      </c>
      <c r="M868" s="16" t="s">
        <v>965</v>
      </c>
      <c r="N868" s="65">
        <v>152428</v>
      </c>
      <c r="O868" s="63"/>
      <c r="P868" s="79">
        <v>6020069105800000</v>
      </c>
      <c r="Q868" s="18" t="s">
        <v>4</v>
      </c>
      <c r="R868" s="12" t="s">
        <v>1190</v>
      </c>
      <c r="S868" s="18" t="s">
        <v>1191</v>
      </c>
      <c r="T868" s="12">
        <v>1</v>
      </c>
      <c r="U868" s="13">
        <v>44028</v>
      </c>
      <c r="V868" s="18" t="s">
        <v>1192</v>
      </c>
      <c r="W868" s="12" t="s">
        <v>92</v>
      </c>
      <c r="X868" s="12" t="s">
        <v>93</v>
      </c>
      <c r="Y868" s="17"/>
      <c r="Z868" s="75"/>
      <c r="AA868" s="27"/>
      <c r="AB868" s="27"/>
      <c r="AC868" s="27"/>
      <c r="AG868" s="24"/>
      <c r="AH868" s="24"/>
      <c r="AI868" s="24"/>
    </row>
    <row r="869" spans="1:35" hidden="1" x14ac:dyDescent="0.3">
      <c r="A869" s="12" t="s">
        <v>85</v>
      </c>
      <c r="B869" s="18">
        <v>66220</v>
      </c>
      <c r="C869" s="16" t="s">
        <v>565</v>
      </c>
      <c r="D869" s="18" t="s">
        <v>1</v>
      </c>
      <c r="E869" s="12" t="s">
        <v>1185</v>
      </c>
      <c r="F869" s="18" t="s">
        <v>87</v>
      </c>
      <c r="G869" s="12" t="s">
        <v>113</v>
      </c>
      <c r="H869" s="18" t="s">
        <v>96</v>
      </c>
      <c r="I869" s="18" t="s">
        <v>89</v>
      </c>
      <c r="J869" s="16" t="s">
        <v>969</v>
      </c>
      <c r="K869" s="16" t="s">
        <v>969</v>
      </c>
      <c r="L869" s="11" t="s">
        <v>1194</v>
      </c>
      <c r="M869" s="11" t="s">
        <v>92</v>
      </c>
      <c r="N869" s="64">
        <v>11814.43</v>
      </c>
      <c r="O869" s="63"/>
      <c r="P869" s="18" t="s">
        <v>970</v>
      </c>
      <c r="Q869" s="18" t="s">
        <v>4</v>
      </c>
      <c r="R869" s="12" t="s">
        <v>13</v>
      </c>
      <c r="S869" s="18" t="s">
        <v>25</v>
      </c>
      <c r="T869" s="12">
        <v>1</v>
      </c>
      <c r="U869" s="13">
        <v>44028</v>
      </c>
      <c r="V869" s="12" t="s">
        <v>94</v>
      </c>
      <c r="W869" s="12" t="s">
        <v>92</v>
      </c>
      <c r="X869" s="12" t="s">
        <v>93</v>
      </c>
      <c r="Y869" s="17"/>
      <c r="Z869" s="75"/>
      <c r="AA869" s="27"/>
      <c r="AB869" s="27"/>
      <c r="AC869" s="27"/>
      <c r="AG869" s="24"/>
      <c r="AH869" s="24"/>
      <c r="AI869" s="24"/>
    </row>
    <row r="870" spans="1:35" hidden="1" x14ac:dyDescent="0.3">
      <c r="A870" s="12" t="s">
        <v>85</v>
      </c>
      <c r="B870" s="18">
        <v>66220</v>
      </c>
      <c r="C870" s="16" t="s">
        <v>565</v>
      </c>
      <c r="D870" s="18" t="s">
        <v>1</v>
      </c>
      <c r="E870" s="12" t="s">
        <v>1185</v>
      </c>
      <c r="F870" s="18" t="s">
        <v>87</v>
      </c>
      <c r="G870" s="12" t="s">
        <v>113</v>
      </c>
      <c r="H870" s="18" t="s">
        <v>96</v>
      </c>
      <c r="I870" s="18" t="s">
        <v>89</v>
      </c>
      <c r="J870" s="16" t="s">
        <v>969</v>
      </c>
      <c r="K870" s="16" t="s">
        <v>969</v>
      </c>
      <c r="L870" s="11" t="s">
        <v>1194</v>
      </c>
      <c r="M870" s="11" t="s">
        <v>92</v>
      </c>
      <c r="N870" s="64">
        <v>11814.43</v>
      </c>
      <c r="O870" s="63"/>
      <c r="P870" s="12" t="s">
        <v>970</v>
      </c>
      <c r="Q870" s="12" t="s">
        <v>4</v>
      </c>
      <c r="R870" s="12" t="s">
        <v>13</v>
      </c>
      <c r="S870" s="18" t="s">
        <v>25</v>
      </c>
      <c r="T870" s="12">
        <v>1</v>
      </c>
      <c r="U870" s="13">
        <v>43814</v>
      </c>
      <c r="V870" s="18" t="s">
        <v>971</v>
      </c>
      <c r="W870" s="12" t="s">
        <v>92</v>
      </c>
      <c r="X870" s="12" t="s">
        <v>93</v>
      </c>
      <c r="Y870" s="17"/>
      <c r="Z870" s="75"/>
      <c r="AA870" s="27"/>
      <c r="AB870" s="27"/>
      <c r="AC870" s="27"/>
      <c r="AG870" s="24"/>
      <c r="AH870" s="24"/>
      <c r="AI870" s="24"/>
    </row>
    <row r="871" spans="1:35" hidden="1" x14ac:dyDescent="0.3">
      <c r="A871" s="12" t="s">
        <v>85</v>
      </c>
      <c r="B871" s="18">
        <v>66220</v>
      </c>
      <c r="C871" s="16" t="s">
        <v>565</v>
      </c>
      <c r="D871" s="18" t="s">
        <v>1</v>
      </c>
      <c r="E871" s="12" t="s">
        <v>1185</v>
      </c>
      <c r="F871" s="18" t="s">
        <v>87</v>
      </c>
      <c r="G871" s="12" t="s">
        <v>113</v>
      </c>
      <c r="H871" s="18" t="s">
        <v>96</v>
      </c>
      <c r="I871" s="18" t="s">
        <v>89</v>
      </c>
      <c r="J871" s="16" t="s">
        <v>969</v>
      </c>
      <c r="K871" s="16" t="s">
        <v>969</v>
      </c>
      <c r="L871" s="11" t="s">
        <v>1194</v>
      </c>
      <c r="M871" s="11" t="s">
        <v>92</v>
      </c>
      <c r="N871" s="64">
        <v>11814.43</v>
      </c>
      <c r="O871" s="63"/>
      <c r="P871" s="18" t="s">
        <v>970</v>
      </c>
      <c r="Q871" s="18" t="s">
        <v>4</v>
      </c>
      <c r="R871" s="12" t="s">
        <v>13</v>
      </c>
      <c r="S871" s="18" t="s">
        <v>25</v>
      </c>
      <c r="T871" s="12">
        <v>1</v>
      </c>
      <c r="U871" s="13">
        <v>43838</v>
      </c>
      <c r="V871" s="18" t="s">
        <v>972</v>
      </c>
      <c r="W871" s="12" t="s">
        <v>92</v>
      </c>
      <c r="X871" s="12" t="s">
        <v>93</v>
      </c>
      <c r="Y871" s="17"/>
      <c r="Z871" s="75"/>
      <c r="AA871" s="27"/>
      <c r="AB871" s="27"/>
      <c r="AC871" s="27"/>
      <c r="AG871" s="24"/>
      <c r="AH871" s="24"/>
      <c r="AI871" s="24"/>
    </row>
    <row r="872" spans="1:35" hidden="1" x14ac:dyDescent="0.3">
      <c r="A872" s="12" t="s">
        <v>85</v>
      </c>
      <c r="B872" s="18">
        <v>66220</v>
      </c>
      <c r="C872" s="16" t="s">
        <v>565</v>
      </c>
      <c r="D872" s="18" t="s">
        <v>1</v>
      </c>
      <c r="E872" s="12" t="s">
        <v>1185</v>
      </c>
      <c r="F872" s="18" t="s">
        <v>87</v>
      </c>
      <c r="G872" s="12" t="s">
        <v>113</v>
      </c>
      <c r="H872" s="18" t="s">
        <v>96</v>
      </c>
      <c r="I872" s="18" t="s">
        <v>89</v>
      </c>
      <c r="J872" s="16" t="s">
        <v>969</v>
      </c>
      <c r="K872" s="16" t="s">
        <v>969</v>
      </c>
      <c r="L872" s="11" t="s">
        <v>1194</v>
      </c>
      <c r="M872" s="11" t="s">
        <v>92</v>
      </c>
      <c r="N872" s="64">
        <v>11814.43</v>
      </c>
      <c r="O872" s="63"/>
      <c r="P872" s="18" t="s">
        <v>970</v>
      </c>
      <c r="Q872" s="18" t="s">
        <v>4</v>
      </c>
      <c r="R872" s="18" t="s">
        <v>13</v>
      </c>
      <c r="S872" s="18" t="s">
        <v>25</v>
      </c>
      <c r="T872" s="12">
        <v>1</v>
      </c>
      <c r="U872" s="13">
        <v>43843</v>
      </c>
      <c r="V872" s="18" t="s">
        <v>973</v>
      </c>
      <c r="W872" s="12" t="s">
        <v>92</v>
      </c>
      <c r="X872" s="12" t="s">
        <v>93</v>
      </c>
      <c r="Y872" s="17"/>
      <c r="Z872" s="75"/>
      <c r="AA872" s="27"/>
      <c r="AB872" s="27"/>
      <c r="AC872" s="27"/>
      <c r="AG872" s="24"/>
      <c r="AH872" s="24"/>
      <c r="AI872" s="24"/>
    </row>
    <row r="873" spans="1:35" hidden="1" x14ac:dyDescent="0.3">
      <c r="A873" s="12" t="s">
        <v>85</v>
      </c>
      <c r="B873" s="18">
        <v>66220</v>
      </c>
      <c r="C873" s="16" t="s">
        <v>565</v>
      </c>
      <c r="D873" s="18" t="s">
        <v>1</v>
      </c>
      <c r="E873" s="12" t="s">
        <v>1185</v>
      </c>
      <c r="F873" s="18" t="s">
        <v>87</v>
      </c>
      <c r="G873" s="12" t="s">
        <v>113</v>
      </c>
      <c r="H873" s="18" t="s">
        <v>96</v>
      </c>
      <c r="I873" s="18" t="s">
        <v>89</v>
      </c>
      <c r="J873" s="16" t="s">
        <v>969</v>
      </c>
      <c r="K873" s="16" t="s">
        <v>969</v>
      </c>
      <c r="L873" s="11" t="s">
        <v>1194</v>
      </c>
      <c r="M873" s="11" t="s">
        <v>92</v>
      </c>
      <c r="N873" s="64">
        <v>11814.43</v>
      </c>
      <c r="O873" s="63"/>
      <c r="P873" s="18" t="s">
        <v>970</v>
      </c>
      <c r="Q873" s="18" t="s">
        <v>4</v>
      </c>
      <c r="R873" s="18" t="s">
        <v>13</v>
      </c>
      <c r="S873" s="18" t="s">
        <v>25</v>
      </c>
      <c r="T873" s="12">
        <v>1</v>
      </c>
      <c r="U873" s="13">
        <v>43847</v>
      </c>
      <c r="V873" s="18" t="s">
        <v>974</v>
      </c>
      <c r="W873" s="12" t="s">
        <v>92</v>
      </c>
      <c r="X873" s="12" t="s">
        <v>93</v>
      </c>
      <c r="Y873" s="17"/>
      <c r="Z873" s="75"/>
      <c r="AA873" s="27"/>
      <c r="AB873" s="27"/>
      <c r="AC873" s="27"/>
      <c r="AG873" s="24"/>
      <c r="AH873" s="24"/>
      <c r="AI873" s="24"/>
    </row>
    <row r="874" spans="1:35" hidden="1" x14ac:dyDescent="0.3">
      <c r="A874" s="12" t="s">
        <v>85</v>
      </c>
      <c r="B874" s="18">
        <v>66220</v>
      </c>
      <c r="C874" s="16" t="s">
        <v>565</v>
      </c>
      <c r="D874" s="18" t="s">
        <v>1</v>
      </c>
      <c r="E874" s="12" t="s">
        <v>1185</v>
      </c>
      <c r="F874" s="18" t="s">
        <v>87</v>
      </c>
      <c r="G874" s="12" t="s">
        <v>113</v>
      </c>
      <c r="H874" s="18" t="s">
        <v>96</v>
      </c>
      <c r="I874" s="18" t="s">
        <v>89</v>
      </c>
      <c r="J874" s="16" t="s">
        <v>969</v>
      </c>
      <c r="K874" s="16" t="s">
        <v>969</v>
      </c>
      <c r="L874" s="11" t="s">
        <v>1194</v>
      </c>
      <c r="M874" s="11" t="s">
        <v>92</v>
      </c>
      <c r="N874" s="64">
        <v>11814.43</v>
      </c>
      <c r="O874" s="63"/>
      <c r="P874" s="18" t="s">
        <v>970</v>
      </c>
      <c r="Q874" s="18" t="s">
        <v>4</v>
      </c>
      <c r="R874" s="12" t="s">
        <v>13</v>
      </c>
      <c r="S874" s="18" t="s">
        <v>25</v>
      </c>
      <c r="T874" s="12">
        <v>1</v>
      </c>
      <c r="U874" s="13">
        <v>43879</v>
      </c>
      <c r="V874" s="18" t="s">
        <v>975</v>
      </c>
      <c r="W874" s="12" t="s">
        <v>92</v>
      </c>
      <c r="X874" s="12" t="s">
        <v>93</v>
      </c>
      <c r="Y874" s="17"/>
      <c r="Z874" s="75"/>
      <c r="AA874" s="27"/>
      <c r="AB874" s="27"/>
      <c r="AC874" s="27"/>
      <c r="AG874" s="24"/>
      <c r="AH874" s="24"/>
      <c r="AI874" s="24"/>
    </row>
    <row r="875" spans="1:35" hidden="1" x14ac:dyDescent="0.3">
      <c r="A875" s="12" t="s">
        <v>85</v>
      </c>
      <c r="B875" s="18">
        <v>66220</v>
      </c>
      <c r="C875" s="16" t="s">
        <v>565</v>
      </c>
      <c r="D875" s="18" t="s">
        <v>1</v>
      </c>
      <c r="E875" s="12" t="s">
        <v>1185</v>
      </c>
      <c r="F875" s="12" t="s">
        <v>87</v>
      </c>
      <c r="G875" s="12" t="s">
        <v>113</v>
      </c>
      <c r="H875" s="12" t="s">
        <v>96</v>
      </c>
      <c r="I875" s="12" t="s">
        <v>89</v>
      </c>
      <c r="J875" s="16" t="s">
        <v>969</v>
      </c>
      <c r="K875" s="11" t="s">
        <v>969</v>
      </c>
      <c r="L875" s="11" t="s">
        <v>1194</v>
      </c>
      <c r="M875" s="11" t="s">
        <v>976</v>
      </c>
      <c r="N875" s="64">
        <v>11814.43</v>
      </c>
      <c r="O875" s="63"/>
      <c r="P875" s="18" t="s">
        <v>970</v>
      </c>
      <c r="Q875" s="18" t="s">
        <v>4</v>
      </c>
      <c r="R875" s="18" t="s">
        <v>16</v>
      </c>
      <c r="S875" s="18" t="s">
        <v>64</v>
      </c>
      <c r="T875" s="12">
        <v>1</v>
      </c>
      <c r="U875" s="13">
        <v>43735</v>
      </c>
      <c r="V875" s="98" t="s">
        <v>977</v>
      </c>
      <c r="W875" s="18">
        <v>328192</v>
      </c>
      <c r="X875" s="12" t="s">
        <v>93</v>
      </c>
      <c r="Y875" s="17"/>
      <c r="Z875" s="75"/>
      <c r="AA875" s="27"/>
      <c r="AB875" s="27"/>
      <c r="AC875" s="27"/>
      <c r="AG875" s="24"/>
      <c r="AH875" s="24"/>
      <c r="AI875" s="24"/>
    </row>
    <row r="876" spans="1:35" hidden="1" x14ac:dyDescent="0.3">
      <c r="A876" s="12" t="s">
        <v>85</v>
      </c>
      <c r="B876" s="18">
        <v>66220</v>
      </c>
      <c r="C876" s="16" t="s">
        <v>565</v>
      </c>
      <c r="D876" s="18" t="s">
        <v>1</v>
      </c>
      <c r="E876" s="12" t="s">
        <v>1185</v>
      </c>
      <c r="F876" s="18" t="s">
        <v>87</v>
      </c>
      <c r="G876" s="12" t="s">
        <v>113</v>
      </c>
      <c r="H876" s="18" t="s">
        <v>96</v>
      </c>
      <c r="I876" s="18" t="s">
        <v>89</v>
      </c>
      <c r="J876" s="16" t="s">
        <v>969</v>
      </c>
      <c r="K876" s="16" t="s">
        <v>969</v>
      </c>
      <c r="L876" s="11" t="s">
        <v>1194</v>
      </c>
      <c r="M876" s="16" t="s">
        <v>976</v>
      </c>
      <c r="N876" s="64">
        <v>11814.43</v>
      </c>
      <c r="O876" s="63"/>
      <c r="P876" s="18" t="s">
        <v>970</v>
      </c>
      <c r="Q876" s="18" t="s">
        <v>4</v>
      </c>
      <c r="R876" s="18" t="s">
        <v>16</v>
      </c>
      <c r="S876" s="18" t="s">
        <v>64</v>
      </c>
      <c r="T876" s="12">
        <v>1</v>
      </c>
      <c r="U876" s="13">
        <v>43906</v>
      </c>
      <c r="V876" s="18" t="s">
        <v>978</v>
      </c>
      <c r="W876" s="12" t="s">
        <v>92</v>
      </c>
      <c r="X876" s="12" t="s">
        <v>93</v>
      </c>
      <c r="Y876" s="17"/>
      <c r="Z876" s="75"/>
      <c r="AA876" s="27"/>
      <c r="AB876" s="27"/>
      <c r="AC876" s="27"/>
      <c r="AG876" s="24"/>
      <c r="AH876" s="24"/>
      <c r="AI876" s="24"/>
    </row>
    <row r="877" spans="1:35" hidden="1" x14ac:dyDescent="0.3">
      <c r="A877" s="12" t="s">
        <v>85</v>
      </c>
      <c r="B877" s="18">
        <v>66220</v>
      </c>
      <c r="C877" s="16" t="s">
        <v>565</v>
      </c>
      <c r="D877" s="18" t="s">
        <v>1</v>
      </c>
      <c r="E877" s="12" t="s">
        <v>1185</v>
      </c>
      <c r="F877" s="18" t="s">
        <v>87</v>
      </c>
      <c r="G877" s="12" t="s">
        <v>113</v>
      </c>
      <c r="H877" s="18" t="s">
        <v>96</v>
      </c>
      <c r="I877" s="18" t="s">
        <v>89</v>
      </c>
      <c r="J877" s="16" t="s">
        <v>969</v>
      </c>
      <c r="K877" s="16" t="s">
        <v>969</v>
      </c>
      <c r="L877" s="11" t="s">
        <v>1194</v>
      </c>
      <c r="M877" s="16" t="s">
        <v>976</v>
      </c>
      <c r="N877" s="64">
        <v>11814.43</v>
      </c>
      <c r="O877" s="63"/>
      <c r="P877" s="18" t="s">
        <v>970</v>
      </c>
      <c r="Q877" s="18" t="s">
        <v>4</v>
      </c>
      <c r="R877" s="18" t="s">
        <v>16</v>
      </c>
      <c r="S877" s="18" t="s">
        <v>64</v>
      </c>
      <c r="T877" s="12">
        <v>1</v>
      </c>
      <c r="U877" s="13">
        <v>43943</v>
      </c>
      <c r="V877" s="18" t="s">
        <v>979</v>
      </c>
      <c r="W877" s="12" t="s">
        <v>92</v>
      </c>
      <c r="X877" s="12" t="s">
        <v>93</v>
      </c>
      <c r="Y877" s="17"/>
      <c r="Z877" s="75"/>
      <c r="AA877" s="27"/>
      <c r="AB877" s="27"/>
      <c r="AC877" s="27"/>
      <c r="AG877" s="24"/>
      <c r="AH877" s="24"/>
      <c r="AI877" s="24"/>
    </row>
    <row r="878" spans="1:35" hidden="1" x14ac:dyDescent="0.3">
      <c r="A878" s="12" t="s">
        <v>85</v>
      </c>
      <c r="B878" s="18">
        <v>66220</v>
      </c>
      <c r="C878" s="16" t="s">
        <v>565</v>
      </c>
      <c r="D878" s="18" t="s">
        <v>1</v>
      </c>
      <c r="E878" s="12" t="s">
        <v>1185</v>
      </c>
      <c r="F878" s="18" t="s">
        <v>87</v>
      </c>
      <c r="G878" s="12" t="s">
        <v>113</v>
      </c>
      <c r="H878" s="18" t="s">
        <v>96</v>
      </c>
      <c r="I878" s="18" t="s">
        <v>89</v>
      </c>
      <c r="J878" s="16" t="s">
        <v>969</v>
      </c>
      <c r="K878" s="16" t="s">
        <v>969</v>
      </c>
      <c r="L878" s="11" t="s">
        <v>1194</v>
      </c>
      <c r="M878" s="16" t="s">
        <v>976</v>
      </c>
      <c r="N878" s="64">
        <v>11814.43</v>
      </c>
      <c r="O878" s="63"/>
      <c r="P878" s="18" t="s">
        <v>970</v>
      </c>
      <c r="Q878" s="18" t="s">
        <v>4</v>
      </c>
      <c r="R878" s="18" t="s">
        <v>16</v>
      </c>
      <c r="S878" s="18" t="s">
        <v>64</v>
      </c>
      <c r="T878" s="12">
        <v>1</v>
      </c>
      <c r="U878" s="13">
        <v>43957</v>
      </c>
      <c r="V878" s="18" t="s">
        <v>980</v>
      </c>
      <c r="W878" s="12" t="s">
        <v>92</v>
      </c>
      <c r="X878" s="12" t="s">
        <v>93</v>
      </c>
      <c r="Y878" s="17"/>
      <c r="Z878" s="75"/>
      <c r="AA878" s="27"/>
      <c r="AB878" s="27"/>
      <c r="AC878" s="27"/>
      <c r="AG878" s="24"/>
      <c r="AH878" s="24"/>
      <c r="AI878" s="24"/>
    </row>
    <row r="879" spans="1:35" hidden="1" x14ac:dyDescent="0.3">
      <c r="A879" s="12" t="s">
        <v>85</v>
      </c>
      <c r="B879" s="18">
        <v>66220</v>
      </c>
      <c r="C879" s="16" t="s">
        <v>565</v>
      </c>
      <c r="D879" s="18" t="s">
        <v>1</v>
      </c>
      <c r="E879" s="12" t="s">
        <v>1185</v>
      </c>
      <c r="F879" s="18" t="s">
        <v>87</v>
      </c>
      <c r="G879" s="12" t="s">
        <v>113</v>
      </c>
      <c r="H879" s="18" t="s">
        <v>96</v>
      </c>
      <c r="I879" s="18" t="s">
        <v>89</v>
      </c>
      <c r="J879" s="16" t="s">
        <v>969</v>
      </c>
      <c r="K879" s="16" t="s">
        <v>969</v>
      </c>
      <c r="L879" s="11" t="s">
        <v>1194</v>
      </c>
      <c r="M879" s="16" t="s">
        <v>976</v>
      </c>
      <c r="N879" s="64">
        <v>11814.43</v>
      </c>
      <c r="O879" s="63"/>
      <c r="P879" s="18" t="s">
        <v>970</v>
      </c>
      <c r="Q879" s="18" t="s">
        <v>4</v>
      </c>
      <c r="R879" s="18" t="s">
        <v>16</v>
      </c>
      <c r="S879" s="18" t="s">
        <v>64</v>
      </c>
      <c r="T879" s="12">
        <v>1</v>
      </c>
      <c r="U879" s="13">
        <v>43998</v>
      </c>
      <c r="V879" s="18" t="s">
        <v>981</v>
      </c>
      <c r="W879" s="12" t="s">
        <v>92</v>
      </c>
      <c r="X879" s="12" t="s">
        <v>93</v>
      </c>
      <c r="Y879" s="17"/>
      <c r="Z879" s="75"/>
      <c r="AA879" s="27"/>
      <c r="AB879" s="27"/>
      <c r="AC879" s="27"/>
      <c r="AG879" s="24"/>
      <c r="AH879" s="24"/>
      <c r="AI879" s="24"/>
    </row>
    <row r="880" spans="1:35" hidden="1" x14ac:dyDescent="0.3">
      <c r="A880" s="12" t="s">
        <v>85</v>
      </c>
      <c r="B880" s="18">
        <v>66220</v>
      </c>
      <c r="C880" s="16" t="s">
        <v>565</v>
      </c>
      <c r="D880" s="18" t="s">
        <v>1</v>
      </c>
      <c r="E880" s="12" t="s">
        <v>1185</v>
      </c>
      <c r="F880" s="18" t="s">
        <v>87</v>
      </c>
      <c r="G880" s="12" t="s">
        <v>113</v>
      </c>
      <c r="H880" s="18" t="s">
        <v>96</v>
      </c>
      <c r="I880" s="18" t="s">
        <v>89</v>
      </c>
      <c r="J880" s="16" t="s">
        <v>969</v>
      </c>
      <c r="K880" s="16" t="s">
        <v>969</v>
      </c>
      <c r="L880" s="11" t="s">
        <v>1194</v>
      </c>
      <c r="M880" s="16" t="s">
        <v>976</v>
      </c>
      <c r="N880" s="64">
        <v>11814.43</v>
      </c>
      <c r="O880" s="63"/>
      <c r="P880" s="18" t="s">
        <v>970</v>
      </c>
      <c r="Q880" s="18" t="s">
        <v>4</v>
      </c>
      <c r="R880" s="18" t="s">
        <v>16</v>
      </c>
      <c r="S880" s="18" t="s">
        <v>64</v>
      </c>
      <c r="T880" s="12">
        <v>1</v>
      </c>
      <c r="U880" s="13">
        <v>44027</v>
      </c>
      <c r="V880" s="18" t="s">
        <v>982</v>
      </c>
      <c r="W880" s="12" t="s">
        <v>92</v>
      </c>
      <c r="X880" s="12" t="s">
        <v>93</v>
      </c>
      <c r="Y880" s="17"/>
      <c r="Z880" s="75"/>
      <c r="AA880" s="27"/>
      <c r="AB880" s="27"/>
      <c r="AC880" s="27"/>
      <c r="AG880" s="24"/>
      <c r="AH880" s="24"/>
      <c r="AI880" s="24"/>
    </row>
    <row r="881" spans="1:35" hidden="1" x14ac:dyDescent="0.3">
      <c r="A881" s="12" t="s">
        <v>85</v>
      </c>
      <c r="B881" s="18">
        <v>67927</v>
      </c>
      <c r="C881" s="16" t="s">
        <v>983</v>
      </c>
      <c r="D881" s="18" t="s">
        <v>1</v>
      </c>
      <c r="E881" s="12" t="s">
        <v>1185</v>
      </c>
      <c r="F881" s="18" t="s">
        <v>87</v>
      </c>
      <c r="G881" s="12" t="s">
        <v>113</v>
      </c>
      <c r="H881" s="18" t="s">
        <v>877</v>
      </c>
      <c r="I881" s="18" t="s">
        <v>878</v>
      </c>
      <c r="J881" s="16" t="s">
        <v>984</v>
      </c>
      <c r="K881" s="16" t="s">
        <v>984</v>
      </c>
      <c r="L881" s="11" t="s">
        <v>1197</v>
      </c>
      <c r="M881" s="16" t="s">
        <v>985</v>
      </c>
      <c r="N881" s="64">
        <v>5101.1899999999996</v>
      </c>
      <c r="O881" s="63"/>
      <c r="P881" s="18" t="s">
        <v>986</v>
      </c>
      <c r="Q881" s="18" t="s">
        <v>4</v>
      </c>
      <c r="R881" s="18" t="s">
        <v>13</v>
      </c>
      <c r="S881" s="18" t="s">
        <v>25</v>
      </c>
      <c r="T881" s="12">
        <v>1</v>
      </c>
      <c r="U881" s="13">
        <v>43962</v>
      </c>
      <c r="V881" s="18" t="s">
        <v>987</v>
      </c>
      <c r="W881" s="12" t="s">
        <v>92</v>
      </c>
      <c r="X881" s="12" t="s">
        <v>93</v>
      </c>
      <c r="Y881" s="17"/>
      <c r="Z881" s="75"/>
      <c r="AA881" s="27"/>
      <c r="AB881" s="27"/>
      <c r="AC881" s="27"/>
      <c r="AG881" s="24"/>
      <c r="AH881" s="24"/>
      <c r="AI881" s="24"/>
    </row>
    <row r="882" spans="1:35" hidden="1" x14ac:dyDescent="0.3">
      <c r="A882" s="12" t="s">
        <v>85</v>
      </c>
      <c r="B882" s="18">
        <v>68804</v>
      </c>
      <c r="C882" s="11" t="s">
        <v>136</v>
      </c>
      <c r="D882" s="18" t="s">
        <v>1</v>
      </c>
      <c r="E882" s="12" t="s">
        <v>1185</v>
      </c>
      <c r="F882" s="18" t="s">
        <v>132</v>
      </c>
      <c r="G882" s="12" t="s">
        <v>132</v>
      </c>
      <c r="H882" s="18" t="s">
        <v>137</v>
      </c>
      <c r="I882" s="18" t="s">
        <v>89</v>
      </c>
      <c r="J882" s="16" t="s">
        <v>626</v>
      </c>
      <c r="K882" s="16" t="s">
        <v>626</v>
      </c>
      <c r="L882" s="16" t="s">
        <v>1195</v>
      </c>
      <c r="M882" s="11" t="s">
        <v>92</v>
      </c>
      <c r="N882" s="65">
        <v>1818.41</v>
      </c>
      <c r="O882" s="63"/>
      <c r="P882" s="18"/>
      <c r="Q882" s="18" t="s">
        <v>4</v>
      </c>
      <c r="R882" s="18" t="s">
        <v>15</v>
      </c>
      <c r="S882" s="18" t="s">
        <v>22</v>
      </c>
      <c r="T882" s="12">
        <v>1</v>
      </c>
      <c r="U882" s="13">
        <v>43997</v>
      </c>
      <c r="V882" s="18" t="s">
        <v>628</v>
      </c>
      <c r="W882" s="12" t="s">
        <v>92</v>
      </c>
      <c r="X882" s="18" t="s">
        <v>105</v>
      </c>
      <c r="Y882" s="17"/>
      <c r="Z882" s="75"/>
      <c r="AA882" s="27"/>
      <c r="AB882" s="27"/>
      <c r="AC882" s="27"/>
      <c r="AG882" s="24"/>
      <c r="AH882" s="24"/>
      <c r="AI882" s="24"/>
    </row>
    <row r="883" spans="1:35" hidden="1" x14ac:dyDescent="0.3">
      <c r="A883" s="12" t="s">
        <v>85</v>
      </c>
      <c r="B883" s="18">
        <v>68804</v>
      </c>
      <c r="C883" s="11" t="s">
        <v>136</v>
      </c>
      <c r="D883" s="18" t="s">
        <v>1</v>
      </c>
      <c r="E883" s="12" t="s">
        <v>1185</v>
      </c>
      <c r="F883" s="18" t="s">
        <v>132</v>
      </c>
      <c r="G883" s="12" t="s">
        <v>132</v>
      </c>
      <c r="H883" s="18" t="s">
        <v>137</v>
      </c>
      <c r="I883" s="18" t="s">
        <v>89</v>
      </c>
      <c r="J883" s="16" t="s">
        <v>626</v>
      </c>
      <c r="K883" s="16" t="s">
        <v>626</v>
      </c>
      <c r="L883" s="16" t="s">
        <v>1195</v>
      </c>
      <c r="M883" s="11" t="s">
        <v>92</v>
      </c>
      <c r="N883" s="65">
        <v>1818.41</v>
      </c>
      <c r="O883" s="63"/>
      <c r="P883" s="18"/>
      <c r="Q883" s="18" t="s">
        <v>4</v>
      </c>
      <c r="R883" s="18" t="s">
        <v>15</v>
      </c>
      <c r="S883" s="18" t="s">
        <v>25</v>
      </c>
      <c r="T883" s="12">
        <v>1</v>
      </c>
      <c r="U883" s="13">
        <v>44005</v>
      </c>
      <c r="V883" s="18" t="s">
        <v>627</v>
      </c>
      <c r="W883" s="12" t="s">
        <v>92</v>
      </c>
      <c r="X883" s="34" t="s">
        <v>105</v>
      </c>
      <c r="Y883" s="17"/>
      <c r="Z883" s="75"/>
      <c r="AA883" s="27"/>
      <c r="AB883" s="27"/>
      <c r="AC883" s="27"/>
      <c r="AG883" s="24"/>
      <c r="AH883" s="24"/>
      <c r="AI883" s="24"/>
    </row>
    <row r="884" spans="1:35" hidden="1" x14ac:dyDescent="0.3">
      <c r="A884" s="12" t="s">
        <v>85</v>
      </c>
      <c r="B884" s="18">
        <v>68804</v>
      </c>
      <c r="C884" s="11" t="s">
        <v>136</v>
      </c>
      <c r="D884" s="18" t="s">
        <v>1</v>
      </c>
      <c r="E884" s="12" t="s">
        <v>1185</v>
      </c>
      <c r="F884" s="18" t="s">
        <v>132</v>
      </c>
      <c r="G884" s="12" t="s">
        <v>132</v>
      </c>
      <c r="H884" s="18" t="s">
        <v>137</v>
      </c>
      <c r="I884" s="18" t="s">
        <v>89</v>
      </c>
      <c r="J884" s="16" t="s">
        <v>626</v>
      </c>
      <c r="K884" s="16" t="s">
        <v>626</v>
      </c>
      <c r="L884" s="16" t="s">
        <v>1195</v>
      </c>
      <c r="M884" s="11" t="s">
        <v>92</v>
      </c>
      <c r="N884" s="65">
        <v>1818.41</v>
      </c>
      <c r="O884" s="63"/>
      <c r="P884" s="18"/>
      <c r="Q884" s="18" t="s">
        <v>4</v>
      </c>
      <c r="R884" s="18" t="s">
        <v>15</v>
      </c>
      <c r="S884" s="18" t="s">
        <v>25</v>
      </c>
      <c r="T884" s="12">
        <v>1</v>
      </c>
      <c r="U884" s="13">
        <v>44027</v>
      </c>
      <c r="V884" s="18" t="s">
        <v>629</v>
      </c>
      <c r="W884" s="12" t="s">
        <v>92</v>
      </c>
      <c r="X884" s="34" t="s">
        <v>105</v>
      </c>
      <c r="Y884" s="17"/>
      <c r="Z884" s="75"/>
      <c r="AA884" s="27"/>
      <c r="AB884" s="27"/>
      <c r="AC884" s="27"/>
      <c r="AG884" s="24"/>
      <c r="AH884" s="24"/>
      <c r="AI884" s="24"/>
    </row>
    <row r="885" spans="1:35" hidden="1" x14ac:dyDescent="0.3">
      <c r="A885" s="12" t="s">
        <v>85</v>
      </c>
      <c r="B885" s="18">
        <v>68804</v>
      </c>
      <c r="C885" s="11" t="s">
        <v>136</v>
      </c>
      <c r="D885" s="18" t="s">
        <v>1</v>
      </c>
      <c r="E885" s="12" t="s">
        <v>1185</v>
      </c>
      <c r="F885" s="18" t="s">
        <v>132</v>
      </c>
      <c r="G885" s="12" t="s">
        <v>132</v>
      </c>
      <c r="H885" s="18" t="s">
        <v>137</v>
      </c>
      <c r="I885" s="18" t="s">
        <v>89</v>
      </c>
      <c r="J885" s="16" t="s">
        <v>626</v>
      </c>
      <c r="K885" s="16" t="s">
        <v>626</v>
      </c>
      <c r="L885" s="16" t="s">
        <v>1195</v>
      </c>
      <c r="M885" s="11" t="s">
        <v>92</v>
      </c>
      <c r="N885" s="65">
        <v>1818.41</v>
      </c>
      <c r="O885" s="63"/>
      <c r="P885" s="18"/>
      <c r="Q885" s="18" t="s">
        <v>4</v>
      </c>
      <c r="R885" s="12" t="s">
        <v>15</v>
      </c>
      <c r="S885" s="18" t="s">
        <v>22</v>
      </c>
      <c r="T885" s="12">
        <v>1</v>
      </c>
      <c r="U885" s="13">
        <v>44027</v>
      </c>
      <c r="V885" s="18" t="s">
        <v>111</v>
      </c>
      <c r="W885" s="12" t="s">
        <v>92</v>
      </c>
      <c r="X885" s="34" t="s">
        <v>105</v>
      </c>
      <c r="Y885" s="17"/>
      <c r="Z885" s="75"/>
      <c r="AA885" s="27"/>
      <c r="AB885" s="27"/>
      <c r="AC885" s="27"/>
      <c r="AG885" s="24"/>
      <c r="AH885" s="24"/>
      <c r="AI885" s="24"/>
    </row>
    <row r="886" spans="1:35" hidden="1" x14ac:dyDescent="0.3">
      <c r="A886" s="12" t="s">
        <v>85</v>
      </c>
      <c r="B886" s="18">
        <v>68805</v>
      </c>
      <c r="C886" s="16" t="s">
        <v>136</v>
      </c>
      <c r="D886" s="18" t="s">
        <v>1</v>
      </c>
      <c r="E886" s="12" t="s">
        <v>1185</v>
      </c>
      <c r="F886" s="18" t="s">
        <v>87</v>
      </c>
      <c r="G886" s="12" t="s">
        <v>113</v>
      </c>
      <c r="H886" s="18" t="s">
        <v>137</v>
      </c>
      <c r="I886" s="18" t="s">
        <v>89</v>
      </c>
      <c r="J886" s="16" t="s">
        <v>138</v>
      </c>
      <c r="K886" s="16" t="s">
        <v>138</v>
      </c>
      <c r="L886" s="11" t="s">
        <v>1195</v>
      </c>
      <c r="M886" s="16" t="s">
        <v>139</v>
      </c>
      <c r="N886" s="65">
        <v>24522.58</v>
      </c>
      <c r="O886" s="63"/>
      <c r="P886" s="18" t="s">
        <v>91</v>
      </c>
      <c r="Q886" s="18" t="s">
        <v>4</v>
      </c>
      <c r="R886" s="18" t="s">
        <v>13</v>
      </c>
      <c r="S886" s="18" t="s">
        <v>25</v>
      </c>
      <c r="T886" s="12">
        <v>0</v>
      </c>
      <c r="U886" s="13"/>
      <c r="V886" s="12" t="s">
        <v>92</v>
      </c>
      <c r="W886" s="18" t="s">
        <v>92</v>
      </c>
      <c r="X886" s="12" t="s">
        <v>93</v>
      </c>
      <c r="Y886" s="17"/>
      <c r="Z886" s="75"/>
      <c r="AA886" s="27"/>
      <c r="AB886" s="27"/>
      <c r="AC886" s="27"/>
      <c r="AG886" s="24"/>
      <c r="AH886" s="24"/>
      <c r="AI886" s="24"/>
    </row>
    <row r="887" spans="1:35" hidden="1" x14ac:dyDescent="0.3">
      <c r="A887" s="12" t="s">
        <v>85</v>
      </c>
      <c r="B887" s="18">
        <v>68805</v>
      </c>
      <c r="C887" s="16" t="s">
        <v>136</v>
      </c>
      <c r="D887" s="18" t="s">
        <v>1</v>
      </c>
      <c r="E887" s="12" t="s">
        <v>1185</v>
      </c>
      <c r="F887" s="18" t="s">
        <v>87</v>
      </c>
      <c r="G887" s="12" t="s">
        <v>113</v>
      </c>
      <c r="H887" s="18" t="s">
        <v>137</v>
      </c>
      <c r="I887" s="18" t="s">
        <v>89</v>
      </c>
      <c r="J887" s="16" t="s">
        <v>138</v>
      </c>
      <c r="K887" s="16" t="s">
        <v>138</v>
      </c>
      <c r="L887" s="11" t="s">
        <v>1195</v>
      </c>
      <c r="M887" s="16" t="s">
        <v>139</v>
      </c>
      <c r="N887" s="65">
        <v>24522.58</v>
      </c>
      <c r="O887" s="63"/>
      <c r="P887" s="18" t="s">
        <v>91</v>
      </c>
      <c r="Q887" s="18" t="s">
        <v>4</v>
      </c>
      <c r="R887" s="18" t="s">
        <v>15</v>
      </c>
      <c r="S887" s="18" t="s">
        <v>14</v>
      </c>
      <c r="T887" s="12">
        <v>0</v>
      </c>
      <c r="U887" s="13"/>
      <c r="V887" s="12" t="s">
        <v>92</v>
      </c>
      <c r="W887" s="12" t="s">
        <v>92</v>
      </c>
      <c r="X887" s="18" t="s">
        <v>105</v>
      </c>
      <c r="Y887" s="17"/>
      <c r="Z887" s="75"/>
      <c r="AA887" s="27"/>
      <c r="AB887" s="27"/>
      <c r="AC887" s="27"/>
      <c r="AG887" s="24"/>
      <c r="AH887" s="24"/>
      <c r="AI887" s="24"/>
    </row>
    <row r="888" spans="1:35" hidden="1" x14ac:dyDescent="0.3">
      <c r="A888" s="12" t="s">
        <v>85</v>
      </c>
      <c r="B888" s="12">
        <v>70940</v>
      </c>
      <c r="C888" s="11" t="s">
        <v>136</v>
      </c>
      <c r="D888" s="12" t="s">
        <v>1</v>
      </c>
      <c r="E888" s="12" t="s">
        <v>1185</v>
      </c>
      <c r="F888" s="12" t="s">
        <v>132</v>
      </c>
      <c r="G888" s="12" t="s">
        <v>132</v>
      </c>
      <c r="H888" s="12" t="s">
        <v>609</v>
      </c>
      <c r="I888" s="12" t="s">
        <v>89</v>
      </c>
      <c r="J888" s="11" t="s">
        <v>863</v>
      </c>
      <c r="K888" s="11" t="s">
        <v>863</v>
      </c>
      <c r="L888" s="11" t="s">
        <v>1214</v>
      </c>
      <c r="M888" s="11" t="s">
        <v>864</v>
      </c>
      <c r="N888" s="57">
        <v>836744.67</v>
      </c>
      <c r="O888" s="59"/>
      <c r="P888" s="12">
        <v>0</v>
      </c>
      <c r="Q888" s="12" t="s">
        <v>4</v>
      </c>
      <c r="R888" s="12" t="s">
        <v>15</v>
      </c>
      <c r="S888" s="12" t="s">
        <v>62</v>
      </c>
      <c r="T888" s="12">
        <v>0</v>
      </c>
      <c r="U888" s="13"/>
      <c r="V888" s="12" t="s">
        <v>92</v>
      </c>
      <c r="W888" s="12" t="s">
        <v>92</v>
      </c>
      <c r="X888" s="12" t="s">
        <v>93</v>
      </c>
      <c r="Y888" s="13"/>
      <c r="Z888" s="75"/>
      <c r="AA888" s="27"/>
      <c r="AB888" s="27"/>
      <c r="AC888" s="27"/>
      <c r="AG888" s="24"/>
      <c r="AH888" s="24"/>
      <c r="AI888" s="24"/>
    </row>
    <row r="889" spans="1:35" hidden="1" x14ac:dyDescent="0.3">
      <c r="A889" s="12" t="s">
        <v>85</v>
      </c>
      <c r="B889" s="12">
        <v>71808</v>
      </c>
      <c r="C889" s="11" t="s">
        <v>136</v>
      </c>
      <c r="D889" s="12" t="s">
        <v>1</v>
      </c>
      <c r="E889" s="12" t="s">
        <v>1185</v>
      </c>
      <c r="F889" s="12" t="s">
        <v>132</v>
      </c>
      <c r="G889" s="12" t="s">
        <v>132</v>
      </c>
      <c r="H889" s="12" t="s">
        <v>609</v>
      </c>
      <c r="I889" s="12" t="s">
        <v>89</v>
      </c>
      <c r="J889" s="11" t="s">
        <v>863</v>
      </c>
      <c r="K889" s="11" t="s">
        <v>863</v>
      </c>
      <c r="L889" s="11" t="s">
        <v>1214</v>
      </c>
      <c r="M889" s="11" t="s">
        <v>864</v>
      </c>
      <c r="N889" s="64">
        <v>10453.700000000001</v>
      </c>
      <c r="O889" s="59"/>
      <c r="P889" s="12">
        <v>0</v>
      </c>
      <c r="Q889" s="12" t="s">
        <v>4</v>
      </c>
      <c r="R889" s="12" t="s">
        <v>99</v>
      </c>
      <c r="S889" s="12" t="s">
        <v>99</v>
      </c>
      <c r="T889" s="12">
        <v>1</v>
      </c>
      <c r="U889" s="13">
        <v>43711</v>
      </c>
      <c r="V889" s="12" t="s">
        <v>988</v>
      </c>
      <c r="W889" s="12" t="s">
        <v>92</v>
      </c>
      <c r="X889" s="12" t="s">
        <v>93</v>
      </c>
      <c r="Y889" s="13">
        <v>43709</v>
      </c>
      <c r="Z889" s="75"/>
      <c r="AA889" s="27"/>
      <c r="AB889" s="27"/>
      <c r="AC889" s="27"/>
      <c r="AG889" s="24"/>
      <c r="AH889" s="24"/>
      <c r="AI889" s="24"/>
    </row>
    <row r="890" spans="1:35" hidden="1" x14ac:dyDescent="0.3">
      <c r="A890" s="12" t="s">
        <v>85</v>
      </c>
      <c r="B890" s="12">
        <v>72536</v>
      </c>
      <c r="C890" s="11" t="s">
        <v>117</v>
      </c>
      <c r="D890" s="12" t="s">
        <v>1</v>
      </c>
      <c r="E890" s="12" t="s">
        <v>1185</v>
      </c>
      <c r="F890" s="12" t="s">
        <v>87</v>
      </c>
      <c r="G890" s="12" t="s">
        <v>113</v>
      </c>
      <c r="H890" s="12" t="s">
        <v>118</v>
      </c>
      <c r="I890" s="12" t="s">
        <v>119</v>
      </c>
      <c r="J890" s="11" t="s">
        <v>989</v>
      </c>
      <c r="K890" s="11" t="s">
        <v>989</v>
      </c>
      <c r="L890" s="11" t="s">
        <v>1194</v>
      </c>
      <c r="M890" s="11" t="s">
        <v>990</v>
      </c>
      <c r="N890" s="57">
        <v>776</v>
      </c>
      <c r="O890" s="59">
        <v>418.95</v>
      </c>
      <c r="P890" s="92" t="s">
        <v>1173</v>
      </c>
      <c r="Q890" s="12" t="s">
        <v>4</v>
      </c>
      <c r="R890" s="12" t="s">
        <v>13</v>
      </c>
      <c r="S890" s="12" t="s">
        <v>25</v>
      </c>
      <c r="T890" s="12">
        <v>1</v>
      </c>
      <c r="U890" s="13">
        <v>44028</v>
      </c>
      <c r="V890" s="12" t="s">
        <v>94</v>
      </c>
      <c r="W890" s="12" t="s">
        <v>92</v>
      </c>
      <c r="X890" s="12" t="s">
        <v>93</v>
      </c>
      <c r="Y890" s="13"/>
      <c r="Z890" s="75"/>
      <c r="AA890" s="27"/>
      <c r="AB890" s="27"/>
      <c r="AC890" s="27"/>
      <c r="AG890" s="24"/>
      <c r="AH890" s="24"/>
      <c r="AI890" s="24"/>
    </row>
    <row r="891" spans="1:35" hidden="1" x14ac:dyDescent="0.3">
      <c r="A891" s="12" t="s">
        <v>85</v>
      </c>
      <c r="B891" s="12">
        <v>76459</v>
      </c>
      <c r="C891" s="11" t="s">
        <v>174</v>
      </c>
      <c r="D891" s="12" t="s">
        <v>1</v>
      </c>
      <c r="E891" s="12" t="s">
        <v>1185</v>
      </c>
      <c r="F891" s="12" t="s">
        <v>87</v>
      </c>
      <c r="G891" s="12" t="s">
        <v>113</v>
      </c>
      <c r="H891" s="12" t="s">
        <v>175</v>
      </c>
      <c r="I891" s="12" t="s">
        <v>89</v>
      </c>
      <c r="J891" s="11" t="s">
        <v>1248</v>
      </c>
      <c r="K891" s="11" t="s">
        <v>1248</v>
      </c>
      <c r="L891" s="11" t="s">
        <v>1199</v>
      </c>
      <c r="M891" s="11" t="s">
        <v>991</v>
      </c>
      <c r="N891" s="57">
        <v>24737.4</v>
      </c>
      <c r="O891" s="57">
        <v>1779.54</v>
      </c>
      <c r="P891" s="12">
        <v>2009300</v>
      </c>
      <c r="Q891" s="12" t="s">
        <v>12</v>
      </c>
      <c r="R891" s="12" t="s">
        <v>99</v>
      </c>
      <c r="S891" s="12" t="s">
        <v>99</v>
      </c>
      <c r="T891" s="12">
        <v>1</v>
      </c>
      <c r="U891" s="13">
        <v>43999</v>
      </c>
      <c r="V891" s="12" t="s">
        <v>178</v>
      </c>
      <c r="W891" s="12" t="s">
        <v>92</v>
      </c>
      <c r="X891" s="12" t="s">
        <v>93</v>
      </c>
      <c r="Y891" s="13">
        <v>43999</v>
      </c>
      <c r="Z891" s="75"/>
      <c r="AA891" s="27"/>
      <c r="AB891" s="27"/>
      <c r="AC891" s="27"/>
      <c r="AG891" s="24"/>
      <c r="AH891" s="24"/>
      <c r="AI891" s="24"/>
    </row>
    <row r="892" spans="1:35" hidden="1" x14ac:dyDescent="0.3">
      <c r="A892" s="12" t="s">
        <v>85</v>
      </c>
      <c r="B892" s="12">
        <v>78230</v>
      </c>
      <c r="C892" s="11" t="s">
        <v>565</v>
      </c>
      <c r="D892" s="12" t="s">
        <v>1</v>
      </c>
      <c r="E892" s="12" t="s">
        <v>1185</v>
      </c>
      <c r="F892" s="12" t="s">
        <v>87</v>
      </c>
      <c r="G892" s="12" t="s">
        <v>113</v>
      </c>
      <c r="H892" s="12" t="s">
        <v>96</v>
      </c>
      <c r="I892" s="12" t="s">
        <v>89</v>
      </c>
      <c r="J892" s="16" t="s">
        <v>969</v>
      </c>
      <c r="K892" s="11" t="s">
        <v>969</v>
      </c>
      <c r="L892" s="11" t="s">
        <v>1194</v>
      </c>
      <c r="M892" s="11" t="s">
        <v>976</v>
      </c>
      <c r="N892" s="58">
        <v>1452</v>
      </c>
      <c r="O892" s="59"/>
      <c r="P892" s="12" t="s">
        <v>992</v>
      </c>
      <c r="Q892" s="12" t="s">
        <v>4</v>
      </c>
      <c r="R892" s="12" t="s">
        <v>16</v>
      </c>
      <c r="S892" s="12" t="s">
        <v>65</v>
      </c>
      <c r="T892" s="12">
        <v>1</v>
      </c>
      <c r="U892" s="13">
        <v>43665</v>
      </c>
      <c r="V892" s="12" t="s">
        <v>993</v>
      </c>
      <c r="W892" s="12">
        <v>328192</v>
      </c>
      <c r="X892" s="12" t="s">
        <v>108</v>
      </c>
      <c r="Y892" s="13"/>
      <c r="Z892" s="75"/>
      <c r="AA892" s="27"/>
      <c r="AB892" s="27"/>
      <c r="AC892" s="27"/>
      <c r="AG892" s="24"/>
      <c r="AH892" s="24"/>
      <c r="AI892" s="24"/>
    </row>
    <row r="893" spans="1:35" hidden="1" x14ac:dyDescent="0.3">
      <c r="A893" s="12" t="s">
        <v>85</v>
      </c>
      <c r="B893" s="12">
        <v>78230</v>
      </c>
      <c r="C893" s="11" t="s">
        <v>565</v>
      </c>
      <c r="D893" s="12" t="s">
        <v>1</v>
      </c>
      <c r="E893" s="12" t="s">
        <v>1185</v>
      </c>
      <c r="F893" s="12" t="s">
        <v>87</v>
      </c>
      <c r="G893" s="12" t="s">
        <v>113</v>
      </c>
      <c r="H893" s="12" t="s">
        <v>96</v>
      </c>
      <c r="I893" s="12" t="s">
        <v>89</v>
      </c>
      <c r="J893" s="16" t="s">
        <v>969</v>
      </c>
      <c r="K893" s="11" t="s">
        <v>969</v>
      </c>
      <c r="L893" s="11" t="s">
        <v>1194</v>
      </c>
      <c r="M893" s="11" t="s">
        <v>976</v>
      </c>
      <c r="N893" s="58">
        <v>1452</v>
      </c>
      <c r="O893" s="59"/>
      <c r="P893" s="12" t="s">
        <v>992</v>
      </c>
      <c r="Q893" s="12" t="s">
        <v>4</v>
      </c>
      <c r="R893" s="12" t="s">
        <v>13</v>
      </c>
      <c r="S893" s="12" t="s">
        <v>25</v>
      </c>
      <c r="T893" s="12">
        <v>1</v>
      </c>
      <c r="U893" s="13">
        <v>44028</v>
      </c>
      <c r="V893" s="12" t="s">
        <v>94</v>
      </c>
      <c r="W893" s="12" t="s">
        <v>92</v>
      </c>
      <c r="X893" s="12" t="s">
        <v>93</v>
      </c>
      <c r="Y893" s="13"/>
      <c r="Z893" s="75"/>
      <c r="AA893" s="27"/>
      <c r="AB893" s="27"/>
      <c r="AC893" s="27"/>
      <c r="AG893" s="24"/>
      <c r="AH893" s="24"/>
      <c r="AI893" s="24"/>
    </row>
    <row r="894" spans="1:35" hidden="1" x14ac:dyDescent="0.3">
      <c r="A894" s="12" t="s">
        <v>85</v>
      </c>
      <c r="B894" s="18">
        <v>78230</v>
      </c>
      <c r="C894" s="16" t="s">
        <v>565</v>
      </c>
      <c r="D894" s="12" t="s">
        <v>1</v>
      </c>
      <c r="E894" s="12" t="s">
        <v>1185</v>
      </c>
      <c r="F894" s="12" t="s">
        <v>87</v>
      </c>
      <c r="G894" s="12" t="s">
        <v>113</v>
      </c>
      <c r="H894" s="12" t="s">
        <v>96</v>
      </c>
      <c r="I894" s="12" t="s">
        <v>89</v>
      </c>
      <c r="J894" s="16" t="s">
        <v>969</v>
      </c>
      <c r="K894" s="11" t="s">
        <v>969</v>
      </c>
      <c r="L894" s="11" t="s">
        <v>1194</v>
      </c>
      <c r="M894" s="11" t="s">
        <v>976</v>
      </c>
      <c r="N894" s="58">
        <v>1452</v>
      </c>
      <c r="O894" s="59"/>
      <c r="P894" s="12" t="s">
        <v>992</v>
      </c>
      <c r="Q894" s="12" t="s">
        <v>4</v>
      </c>
      <c r="R894" s="12" t="s">
        <v>13</v>
      </c>
      <c r="S894" s="12" t="s">
        <v>25</v>
      </c>
      <c r="T894" s="12">
        <v>1</v>
      </c>
      <c r="U894" s="13"/>
      <c r="V894" s="12" t="s">
        <v>994</v>
      </c>
      <c r="W894" s="12" t="s">
        <v>92</v>
      </c>
      <c r="X894" s="12" t="s">
        <v>93</v>
      </c>
      <c r="Y894" s="17"/>
      <c r="Z894" s="75"/>
      <c r="AA894" s="27"/>
      <c r="AB894" s="27"/>
      <c r="AC894" s="27"/>
      <c r="AG894" s="24"/>
      <c r="AH894" s="24"/>
      <c r="AI894" s="24"/>
    </row>
    <row r="895" spans="1:35" hidden="1" x14ac:dyDescent="0.3">
      <c r="A895" s="12" t="s">
        <v>85</v>
      </c>
      <c r="B895" s="18">
        <v>78230</v>
      </c>
      <c r="C895" s="16" t="s">
        <v>565</v>
      </c>
      <c r="D895" s="12" t="s">
        <v>1</v>
      </c>
      <c r="E895" s="12" t="s">
        <v>1185</v>
      </c>
      <c r="F895" s="12" t="s">
        <v>87</v>
      </c>
      <c r="G895" s="12" t="s">
        <v>113</v>
      </c>
      <c r="H895" s="12" t="s">
        <v>96</v>
      </c>
      <c r="I895" s="12" t="s">
        <v>89</v>
      </c>
      <c r="J895" s="16" t="s">
        <v>969</v>
      </c>
      <c r="K895" s="11" t="s">
        <v>969</v>
      </c>
      <c r="L895" s="11" t="s">
        <v>1194</v>
      </c>
      <c r="M895" s="11" t="s">
        <v>976</v>
      </c>
      <c r="N895" s="58">
        <v>1452</v>
      </c>
      <c r="O895" s="59"/>
      <c r="P895" s="12" t="s">
        <v>992</v>
      </c>
      <c r="Q895" s="12" t="s">
        <v>4</v>
      </c>
      <c r="R895" s="12" t="s">
        <v>13</v>
      </c>
      <c r="S895" s="12" t="s">
        <v>25</v>
      </c>
      <c r="T895" s="12">
        <v>1</v>
      </c>
      <c r="U895" s="13">
        <v>43958</v>
      </c>
      <c r="V895" s="12" t="s">
        <v>995</v>
      </c>
      <c r="W895" s="12" t="s">
        <v>92</v>
      </c>
      <c r="X895" s="12" t="s">
        <v>93</v>
      </c>
      <c r="Y895" s="17"/>
      <c r="Z895" s="75"/>
      <c r="AA895" s="27"/>
      <c r="AB895" s="27"/>
      <c r="AC895" s="27"/>
      <c r="AG895" s="24"/>
      <c r="AH895" s="24"/>
      <c r="AI895" s="24"/>
    </row>
    <row r="896" spans="1:35" hidden="1" x14ac:dyDescent="0.3">
      <c r="A896" s="12" t="s">
        <v>85</v>
      </c>
      <c r="B896" s="18">
        <v>78230</v>
      </c>
      <c r="C896" s="16" t="s">
        <v>565</v>
      </c>
      <c r="D896" s="18" t="s">
        <v>1</v>
      </c>
      <c r="E896" s="12" t="s">
        <v>1185</v>
      </c>
      <c r="F896" s="18" t="s">
        <v>87</v>
      </c>
      <c r="G896" s="12" t="s">
        <v>113</v>
      </c>
      <c r="H896" s="18" t="s">
        <v>96</v>
      </c>
      <c r="I896" s="18" t="s">
        <v>89</v>
      </c>
      <c r="J896" s="16" t="s">
        <v>969</v>
      </c>
      <c r="K896" s="16" t="s">
        <v>969</v>
      </c>
      <c r="L896" s="11" t="s">
        <v>1194</v>
      </c>
      <c r="M896" s="16" t="s">
        <v>976</v>
      </c>
      <c r="N896" s="58">
        <v>1452</v>
      </c>
      <c r="O896" s="59"/>
      <c r="P896" s="18" t="s">
        <v>992</v>
      </c>
      <c r="Q896" s="18" t="s">
        <v>4</v>
      </c>
      <c r="R896" s="18" t="s">
        <v>13</v>
      </c>
      <c r="S896" s="18" t="s">
        <v>25</v>
      </c>
      <c r="T896" s="12">
        <v>1</v>
      </c>
      <c r="U896" s="13">
        <v>43998</v>
      </c>
      <c r="V896" s="18" t="s">
        <v>996</v>
      </c>
      <c r="W896" s="12" t="s">
        <v>92</v>
      </c>
      <c r="X896" s="12" t="s">
        <v>93</v>
      </c>
      <c r="Y896" s="17"/>
      <c r="Z896" s="75"/>
      <c r="AA896" s="27"/>
      <c r="AB896" s="27"/>
      <c r="AC896" s="27"/>
      <c r="AG896" s="24"/>
      <c r="AH896" s="24"/>
      <c r="AI896" s="24"/>
    </row>
    <row r="897" spans="1:35" hidden="1" x14ac:dyDescent="0.3">
      <c r="A897" s="12" t="s">
        <v>85</v>
      </c>
      <c r="B897" s="18">
        <v>78230</v>
      </c>
      <c r="C897" s="16" t="s">
        <v>565</v>
      </c>
      <c r="D897" s="18" t="s">
        <v>1</v>
      </c>
      <c r="E897" s="12" t="s">
        <v>1185</v>
      </c>
      <c r="F897" s="18" t="s">
        <v>87</v>
      </c>
      <c r="G897" s="12" t="s">
        <v>113</v>
      </c>
      <c r="H897" s="18" t="s">
        <v>96</v>
      </c>
      <c r="I897" s="18" t="s">
        <v>89</v>
      </c>
      <c r="J897" s="16" t="s">
        <v>969</v>
      </c>
      <c r="K897" s="16" t="s">
        <v>969</v>
      </c>
      <c r="L897" s="11" t="s">
        <v>1194</v>
      </c>
      <c r="M897" s="16" t="s">
        <v>976</v>
      </c>
      <c r="N897" s="58">
        <v>1452</v>
      </c>
      <c r="O897" s="59"/>
      <c r="P897" s="18" t="s">
        <v>992</v>
      </c>
      <c r="Q897" s="18" t="s">
        <v>4</v>
      </c>
      <c r="R897" s="18" t="s">
        <v>13</v>
      </c>
      <c r="S897" s="18" t="s">
        <v>25</v>
      </c>
      <c r="T897" s="12">
        <v>1</v>
      </c>
      <c r="U897" s="13">
        <v>44027</v>
      </c>
      <c r="V897" s="18" t="s">
        <v>996</v>
      </c>
      <c r="W897" s="12" t="s">
        <v>92</v>
      </c>
      <c r="X897" s="12" t="s">
        <v>93</v>
      </c>
      <c r="Y897" s="17"/>
      <c r="Z897" s="75"/>
      <c r="AA897" s="27"/>
      <c r="AB897" s="27"/>
      <c r="AC897" s="27"/>
      <c r="AG897" s="24"/>
      <c r="AH897" s="24"/>
      <c r="AI897" s="24"/>
    </row>
    <row r="898" spans="1:35" x14ac:dyDescent="0.3">
      <c r="A898" s="12" t="s">
        <v>85</v>
      </c>
      <c r="B898" s="18">
        <v>78599</v>
      </c>
      <c r="C898" s="16" t="s">
        <v>112</v>
      </c>
      <c r="D898" s="18" t="s">
        <v>1</v>
      </c>
      <c r="E898" s="12" t="s">
        <v>1185</v>
      </c>
      <c r="F898" s="18" t="s">
        <v>113</v>
      </c>
      <c r="G898" s="12" t="s">
        <v>113</v>
      </c>
      <c r="H898" s="18" t="s">
        <v>114</v>
      </c>
      <c r="I898" s="18" t="s">
        <v>115</v>
      </c>
      <c r="J898" s="16" t="s">
        <v>997</v>
      </c>
      <c r="K898" s="16" t="s">
        <v>997</v>
      </c>
      <c r="L898" s="11" t="s">
        <v>1212</v>
      </c>
      <c r="M898" s="16" t="s">
        <v>998</v>
      </c>
      <c r="N898" s="65">
        <v>18350.38</v>
      </c>
      <c r="O898" s="63"/>
      <c r="P898" s="18"/>
      <c r="Q898" s="18" t="s">
        <v>12</v>
      </c>
      <c r="R898" s="12" t="s">
        <v>99</v>
      </c>
      <c r="S898" s="12" t="s">
        <v>99</v>
      </c>
      <c r="T898" s="12">
        <v>0</v>
      </c>
      <c r="U898" s="13">
        <v>44362</v>
      </c>
      <c r="V898" s="12" t="s">
        <v>92</v>
      </c>
      <c r="W898" s="18" t="s">
        <v>92</v>
      </c>
      <c r="X898" s="18" t="s">
        <v>105</v>
      </c>
      <c r="Y898" s="13">
        <v>44362</v>
      </c>
      <c r="Z898" s="75"/>
      <c r="AA898" s="27"/>
      <c r="AB898" s="27"/>
      <c r="AC898" s="27"/>
      <c r="AG898" s="24"/>
      <c r="AH898" s="24"/>
      <c r="AI898" s="24"/>
    </row>
    <row r="899" spans="1:35" hidden="1" x14ac:dyDescent="0.3">
      <c r="A899" s="12" t="s">
        <v>85</v>
      </c>
      <c r="B899" s="18">
        <v>78933</v>
      </c>
      <c r="C899" s="16" t="s">
        <v>540</v>
      </c>
      <c r="D899" s="18" t="s">
        <v>1</v>
      </c>
      <c r="E899" s="12" t="s">
        <v>1185</v>
      </c>
      <c r="F899" s="18" t="s">
        <v>113</v>
      </c>
      <c r="G899" s="12" t="s">
        <v>113</v>
      </c>
      <c r="H899" s="18" t="s">
        <v>541</v>
      </c>
      <c r="I899" s="18" t="s">
        <v>542</v>
      </c>
      <c r="J899" s="16" t="s">
        <v>1283</v>
      </c>
      <c r="K899" s="16" t="s">
        <v>1233</v>
      </c>
      <c r="L899" s="16" t="s">
        <v>1195</v>
      </c>
      <c r="M899" s="16" t="s">
        <v>999</v>
      </c>
      <c r="N899" s="65">
        <v>50584.2</v>
      </c>
      <c r="O899" s="63">
        <v>534.42999999999995</v>
      </c>
      <c r="P899" s="18" t="s">
        <v>1000</v>
      </c>
      <c r="Q899" s="18" t="s">
        <v>4</v>
      </c>
      <c r="R899" s="18" t="s">
        <v>13</v>
      </c>
      <c r="S899" s="18" t="s">
        <v>25</v>
      </c>
      <c r="T899" s="12">
        <v>0</v>
      </c>
      <c r="U899" s="13"/>
      <c r="V899" s="12" t="s">
        <v>92</v>
      </c>
      <c r="W899" s="18" t="s">
        <v>92</v>
      </c>
      <c r="X899" s="12" t="s">
        <v>93</v>
      </c>
      <c r="Y899" s="17"/>
      <c r="Z899" s="75"/>
      <c r="AA899" s="27"/>
      <c r="AB899" s="27"/>
      <c r="AC899" s="27"/>
      <c r="AG899" s="24"/>
      <c r="AH899" s="24"/>
      <c r="AI899" s="24"/>
    </row>
    <row r="900" spans="1:35" hidden="1" x14ac:dyDescent="0.3">
      <c r="A900" s="12" t="s">
        <v>122</v>
      </c>
      <c r="B900" s="18">
        <v>89394</v>
      </c>
      <c r="C900" s="16" t="s">
        <v>1001</v>
      </c>
      <c r="D900" s="12" t="s">
        <v>417</v>
      </c>
      <c r="E900" s="18" t="s">
        <v>1184</v>
      </c>
      <c r="F900" s="18" t="s">
        <v>87</v>
      </c>
      <c r="G900" s="12" t="s">
        <v>113</v>
      </c>
      <c r="H900" s="18" t="s">
        <v>528</v>
      </c>
      <c r="I900" s="18" t="s">
        <v>125</v>
      </c>
      <c r="J900" s="16" t="s">
        <v>1002</v>
      </c>
      <c r="K900" s="16" t="s">
        <v>1002</v>
      </c>
      <c r="L900" s="11" t="s">
        <v>1212</v>
      </c>
      <c r="M900" s="16" t="s">
        <v>1003</v>
      </c>
      <c r="N900" s="65">
        <v>25241.03</v>
      </c>
      <c r="O900" s="63" t="s">
        <v>1004</v>
      </c>
      <c r="P900" s="18" t="s">
        <v>1005</v>
      </c>
      <c r="Q900" s="18" t="s">
        <v>4</v>
      </c>
      <c r="R900" s="18" t="s">
        <v>13</v>
      </c>
      <c r="S900" s="18" t="s">
        <v>25</v>
      </c>
      <c r="T900" s="12">
        <v>1</v>
      </c>
      <c r="U900" s="13">
        <v>43803</v>
      </c>
      <c r="V900" s="18" t="s">
        <v>1006</v>
      </c>
      <c r="W900" s="18" t="s">
        <v>92</v>
      </c>
      <c r="X900" s="34" t="s">
        <v>105</v>
      </c>
      <c r="Y900" s="17"/>
      <c r="Z900" s="75"/>
      <c r="AA900" s="27"/>
      <c r="AB900" s="27"/>
      <c r="AC900" s="27"/>
      <c r="AG900" s="24"/>
      <c r="AH900" s="24"/>
      <c r="AI900" s="24"/>
    </row>
    <row r="901" spans="1:35" hidden="1" x14ac:dyDescent="0.3">
      <c r="A901" s="12" t="s">
        <v>122</v>
      </c>
      <c r="B901" s="18">
        <v>89394</v>
      </c>
      <c r="C901" s="16" t="s">
        <v>1001</v>
      </c>
      <c r="D901" s="12" t="s">
        <v>417</v>
      </c>
      <c r="E901" s="18" t="s">
        <v>1184</v>
      </c>
      <c r="F901" s="18" t="s">
        <v>87</v>
      </c>
      <c r="G901" s="12" t="s">
        <v>113</v>
      </c>
      <c r="H901" s="18" t="s">
        <v>528</v>
      </c>
      <c r="I901" s="18" t="s">
        <v>125</v>
      </c>
      <c r="J901" s="16" t="s">
        <v>1002</v>
      </c>
      <c r="K901" s="16" t="s">
        <v>1002</v>
      </c>
      <c r="L901" s="11" t="s">
        <v>1212</v>
      </c>
      <c r="M901" s="11" t="s">
        <v>92</v>
      </c>
      <c r="N901" s="65">
        <v>25241.03</v>
      </c>
      <c r="O901" s="63" t="s">
        <v>1004</v>
      </c>
      <c r="P901" s="18" t="s">
        <v>1005</v>
      </c>
      <c r="Q901" s="18" t="s">
        <v>4</v>
      </c>
      <c r="R901" s="18" t="s">
        <v>13</v>
      </c>
      <c r="S901" s="18" t="s">
        <v>25</v>
      </c>
      <c r="T901" s="12">
        <v>1</v>
      </c>
      <c r="U901" s="13">
        <v>43857</v>
      </c>
      <c r="V901" s="18" t="s">
        <v>1007</v>
      </c>
      <c r="W901" s="12" t="s">
        <v>92</v>
      </c>
      <c r="X901" s="34" t="s">
        <v>105</v>
      </c>
      <c r="Y901" s="17"/>
      <c r="Z901" s="75"/>
      <c r="AA901" s="27"/>
      <c r="AB901" s="27"/>
      <c r="AC901" s="27"/>
      <c r="AG901" s="24"/>
      <c r="AH901" s="24"/>
      <c r="AI901" s="24"/>
    </row>
    <row r="902" spans="1:35" hidden="1" x14ac:dyDescent="0.3">
      <c r="A902" s="12" t="s">
        <v>122</v>
      </c>
      <c r="B902" s="18">
        <v>89394</v>
      </c>
      <c r="C902" s="16" t="s">
        <v>1001</v>
      </c>
      <c r="D902" s="12" t="s">
        <v>417</v>
      </c>
      <c r="E902" s="18" t="s">
        <v>1184</v>
      </c>
      <c r="F902" s="18" t="s">
        <v>87</v>
      </c>
      <c r="G902" s="12" t="s">
        <v>113</v>
      </c>
      <c r="H902" s="18" t="s">
        <v>528</v>
      </c>
      <c r="I902" s="18" t="s">
        <v>125</v>
      </c>
      <c r="J902" s="16" t="s">
        <v>1002</v>
      </c>
      <c r="K902" s="16" t="s">
        <v>1002</v>
      </c>
      <c r="L902" s="11" t="s">
        <v>1212</v>
      </c>
      <c r="M902" s="11" t="s">
        <v>92</v>
      </c>
      <c r="N902" s="65">
        <v>25241.03</v>
      </c>
      <c r="O902" s="63" t="s">
        <v>1004</v>
      </c>
      <c r="P902" s="18" t="s">
        <v>1005</v>
      </c>
      <c r="Q902" s="18" t="s">
        <v>4</v>
      </c>
      <c r="R902" s="18" t="s">
        <v>13</v>
      </c>
      <c r="S902" s="18" t="s">
        <v>25</v>
      </c>
      <c r="T902" s="12">
        <v>1</v>
      </c>
      <c r="U902" s="13">
        <v>43906</v>
      </c>
      <c r="V902" s="18" t="s">
        <v>1008</v>
      </c>
      <c r="W902" s="12" t="s">
        <v>92</v>
      </c>
      <c r="X902" s="34" t="s">
        <v>105</v>
      </c>
      <c r="Y902" s="17"/>
      <c r="Z902" s="75"/>
      <c r="AA902" s="27"/>
      <c r="AB902" s="27"/>
      <c r="AC902" s="27"/>
      <c r="AG902" s="24"/>
      <c r="AH902" s="24"/>
      <c r="AI902" s="24"/>
    </row>
    <row r="903" spans="1:35" hidden="1" x14ac:dyDescent="0.3">
      <c r="A903" s="12" t="s">
        <v>122</v>
      </c>
      <c r="B903" s="12">
        <v>89394</v>
      </c>
      <c r="C903" s="11" t="s">
        <v>1001</v>
      </c>
      <c r="D903" s="12" t="s">
        <v>417</v>
      </c>
      <c r="E903" s="18" t="s">
        <v>1184</v>
      </c>
      <c r="F903" s="12" t="s">
        <v>87</v>
      </c>
      <c r="G903" s="12" t="s">
        <v>113</v>
      </c>
      <c r="H903" s="12" t="s">
        <v>528</v>
      </c>
      <c r="I903" s="12" t="s">
        <v>125</v>
      </c>
      <c r="J903" s="11" t="s">
        <v>1002</v>
      </c>
      <c r="K903" s="11" t="s">
        <v>1002</v>
      </c>
      <c r="L903" s="11" t="s">
        <v>1212</v>
      </c>
      <c r="M903" s="11" t="s">
        <v>92</v>
      </c>
      <c r="N903" s="65">
        <v>25241.03</v>
      </c>
      <c r="O903" s="63" t="s">
        <v>1004</v>
      </c>
      <c r="P903" s="12" t="s">
        <v>1005</v>
      </c>
      <c r="Q903" s="12" t="s">
        <v>4</v>
      </c>
      <c r="R903" s="18" t="s">
        <v>16</v>
      </c>
      <c r="S903" s="12" t="s">
        <v>26</v>
      </c>
      <c r="T903" s="12">
        <v>1</v>
      </c>
      <c r="U903" s="13">
        <v>43962</v>
      </c>
      <c r="V903" s="12" t="s">
        <v>1009</v>
      </c>
      <c r="W903" s="12" t="s">
        <v>92</v>
      </c>
      <c r="X903" s="34" t="s">
        <v>105</v>
      </c>
      <c r="Y903" s="13"/>
      <c r="Z903" s="75"/>
      <c r="AA903" s="27"/>
      <c r="AB903" s="27"/>
      <c r="AC903" s="27"/>
      <c r="AG903" s="24"/>
      <c r="AH903" s="24"/>
      <c r="AI903" s="24"/>
    </row>
    <row r="904" spans="1:35" hidden="1" x14ac:dyDescent="0.3">
      <c r="A904" s="12" t="s">
        <v>85</v>
      </c>
      <c r="B904" s="12">
        <v>91617</v>
      </c>
      <c r="C904" s="11" t="s">
        <v>565</v>
      </c>
      <c r="D904" s="12" t="s">
        <v>1</v>
      </c>
      <c r="E904" s="12" t="s">
        <v>1185</v>
      </c>
      <c r="F904" s="12" t="s">
        <v>87</v>
      </c>
      <c r="G904" s="12" t="s">
        <v>113</v>
      </c>
      <c r="H904" s="12" t="s">
        <v>96</v>
      </c>
      <c r="I904" s="12" t="s">
        <v>89</v>
      </c>
      <c r="J904" s="11" t="s">
        <v>1266</v>
      </c>
      <c r="K904" s="11" t="s">
        <v>1010</v>
      </c>
      <c r="L904" s="11" t="s">
        <v>1194</v>
      </c>
      <c r="M904" s="11" t="s">
        <v>1011</v>
      </c>
      <c r="N904" s="58">
        <v>13665.09</v>
      </c>
      <c r="O904" s="58">
        <f>139.1+115</f>
        <v>254.1</v>
      </c>
      <c r="P904" s="12" t="s">
        <v>1012</v>
      </c>
      <c r="Q904" s="12" t="s">
        <v>4</v>
      </c>
      <c r="R904" s="12" t="s">
        <v>13</v>
      </c>
      <c r="S904" s="12" t="s">
        <v>25</v>
      </c>
      <c r="T904" s="12">
        <v>1</v>
      </c>
      <c r="U904" s="13">
        <v>44028</v>
      </c>
      <c r="V904" s="12" t="s">
        <v>94</v>
      </c>
      <c r="W904" s="12">
        <v>328192</v>
      </c>
      <c r="X904" s="12" t="s">
        <v>93</v>
      </c>
      <c r="Y904" s="13"/>
      <c r="Z904" s="75"/>
      <c r="AA904" s="27"/>
      <c r="AB904" s="27"/>
      <c r="AC904" s="27"/>
      <c r="AG904" s="24"/>
      <c r="AH904" s="24"/>
      <c r="AI904" s="24"/>
    </row>
    <row r="905" spans="1:35" hidden="1" x14ac:dyDescent="0.3">
      <c r="A905" s="12" t="s">
        <v>85</v>
      </c>
      <c r="B905" s="12">
        <v>91682</v>
      </c>
      <c r="C905" s="11" t="s">
        <v>1013</v>
      </c>
      <c r="D905" s="12" t="s">
        <v>1</v>
      </c>
      <c r="E905" s="12" t="s">
        <v>1185</v>
      </c>
      <c r="F905" s="12" t="s">
        <v>87</v>
      </c>
      <c r="G905" s="12" t="s">
        <v>113</v>
      </c>
      <c r="H905" s="12" t="s">
        <v>1014</v>
      </c>
      <c r="I905" s="12" t="s">
        <v>200</v>
      </c>
      <c r="J905" s="11" t="s">
        <v>1015</v>
      </c>
      <c r="K905" s="11" t="s">
        <v>1015</v>
      </c>
      <c r="L905" s="11" t="s">
        <v>1195</v>
      </c>
      <c r="M905" s="11" t="s">
        <v>1016</v>
      </c>
      <c r="N905" s="59">
        <v>300</v>
      </c>
      <c r="O905" s="59"/>
      <c r="P905" s="12" t="s">
        <v>1017</v>
      </c>
      <c r="Q905" s="12" t="s">
        <v>12</v>
      </c>
      <c r="R905" s="12" t="s">
        <v>99</v>
      </c>
      <c r="S905" s="12" t="s">
        <v>99</v>
      </c>
      <c r="T905" s="12">
        <v>1</v>
      </c>
      <c r="U905" s="13"/>
      <c r="V905" s="12" t="s">
        <v>1018</v>
      </c>
      <c r="W905" s="12" t="s">
        <v>92</v>
      </c>
      <c r="X905" s="12" t="s">
        <v>93</v>
      </c>
      <c r="Y905" s="13">
        <v>43497</v>
      </c>
      <c r="Z905" s="75"/>
      <c r="AA905" s="27"/>
      <c r="AB905" s="27"/>
      <c r="AC905" s="27"/>
      <c r="AG905" s="24"/>
      <c r="AH905" s="24"/>
      <c r="AI905" s="24"/>
    </row>
    <row r="906" spans="1:35" hidden="1" x14ac:dyDescent="0.3">
      <c r="A906" s="12" t="s">
        <v>85</v>
      </c>
      <c r="B906" s="12">
        <v>91683</v>
      </c>
      <c r="C906" s="11" t="s">
        <v>1013</v>
      </c>
      <c r="D906" s="12" t="s">
        <v>1</v>
      </c>
      <c r="E906" s="12" t="s">
        <v>1185</v>
      </c>
      <c r="F906" s="12" t="s">
        <v>87</v>
      </c>
      <c r="G906" s="12" t="s">
        <v>113</v>
      </c>
      <c r="H906" s="12" t="s">
        <v>1014</v>
      </c>
      <c r="I906" s="12" t="s">
        <v>200</v>
      </c>
      <c r="J906" s="11" t="s">
        <v>1019</v>
      </c>
      <c r="K906" s="11" t="s">
        <v>1019</v>
      </c>
      <c r="L906" s="11" t="s">
        <v>1195</v>
      </c>
      <c r="M906" s="11" t="s">
        <v>1016</v>
      </c>
      <c r="N906" s="59">
        <v>300</v>
      </c>
      <c r="O906" s="59"/>
      <c r="P906" s="12" t="s">
        <v>1020</v>
      </c>
      <c r="Q906" s="12" t="s">
        <v>12</v>
      </c>
      <c r="R906" s="12" t="s">
        <v>99</v>
      </c>
      <c r="S906" s="12" t="s">
        <v>99</v>
      </c>
      <c r="T906" s="12">
        <v>1</v>
      </c>
      <c r="U906" s="13"/>
      <c r="V906" s="12" t="s">
        <v>1018</v>
      </c>
      <c r="W906" s="12" t="s">
        <v>92</v>
      </c>
      <c r="X906" s="12" t="s">
        <v>93</v>
      </c>
      <c r="Y906" s="13">
        <v>43497</v>
      </c>
      <c r="Z906" s="75"/>
      <c r="AA906" s="27"/>
      <c r="AB906" s="27"/>
      <c r="AC906" s="27"/>
      <c r="AG906" s="24"/>
      <c r="AH906" s="24"/>
      <c r="AI906" s="24"/>
    </row>
    <row r="907" spans="1:35" hidden="1" x14ac:dyDescent="0.3">
      <c r="A907" s="12" t="s">
        <v>85</v>
      </c>
      <c r="B907" s="12">
        <v>91684</v>
      </c>
      <c r="C907" s="11" t="s">
        <v>1013</v>
      </c>
      <c r="D907" s="12" t="s">
        <v>1</v>
      </c>
      <c r="E907" s="12" t="s">
        <v>1185</v>
      </c>
      <c r="F907" s="12" t="s">
        <v>87</v>
      </c>
      <c r="G907" s="12" t="s">
        <v>113</v>
      </c>
      <c r="H907" s="12" t="s">
        <v>1014</v>
      </c>
      <c r="I907" s="12" t="s">
        <v>200</v>
      </c>
      <c r="J907" s="11" t="s">
        <v>1021</v>
      </c>
      <c r="K907" s="11" t="s">
        <v>1021</v>
      </c>
      <c r="L907" s="11" t="s">
        <v>1195</v>
      </c>
      <c r="M907" s="11" t="s">
        <v>1016</v>
      </c>
      <c r="N907" s="59">
        <v>300</v>
      </c>
      <c r="O907" s="59"/>
      <c r="P907" s="12" t="s">
        <v>1022</v>
      </c>
      <c r="Q907" s="12" t="s">
        <v>12</v>
      </c>
      <c r="R907" s="12" t="s">
        <v>99</v>
      </c>
      <c r="S907" s="12" t="s">
        <v>99</v>
      </c>
      <c r="T907" s="12">
        <v>1</v>
      </c>
      <c r="U907" s="13"/>
      <c r="V907" s="12" t="s">
        <v>1018</v>
      </c>
      <c r="W907" s="12" t="s">
        <v>92</v>
      </c>
      <c r="X907" s="12" t="s">
        <v>93</v>
      </c>
      <c r="Y907" s="13">
        <v>43497</v>
      </c>
      <c r="Z907" s="75"/>
      <c r="AA907" s="27"/>
      <c r="AB907" s="27"/>
      <c r="AC907" s="27"/>
      <c r="AG907" s="24"/>
      <c r="AH907" s="24"/>
      <c r="AI907" s="24"/>
    </row>
    <row r="908" spans="1:35" hidden="1" x14ac:dyDescent="0.3">
      <c r="A908" s="12" t="s">
        <v>85</v>
      </c>
      <c r="B908" s="18">
        <v>91685</v>
      </c>
      <c r="C908" s="16" t="s">
        <v>1013</v>
      </c>
      <c r="D908" s="18" t="s">
        <v>1</v>
      </c>
      <c r="E908" s="12" t="s">
        <v>1185</v>
      </c>
      <c r="F908" s="18" t="s">
        <v>87</v>
      </c>
      <c r="G908" s="12" t="s">
        <v>113</v>
      </c>
      <c r="H908" s="18" t="s">
        <v>1014</v>
      </c>
      <c r="I908" s="18" t="s">
        <v>200</v>
      </c>
      <c r="J908" s="16" t="s">
        <v>1023</v>
      </c>
      <c r="K908" s="16" t="s">
        <v>1023</v>
      </c>
      <c r="L908" s="11" t="s">
        <v>1195</v>
      </c>
      <c r="M908" s="16" t="s">
        <v>1016</v>
      </c>
      <c r="N908" s="59">
        <v>300</v>
      </c>
      <c r="O908" s="59"/>
      <c r="P908" s="18" t="s">
        <v>1024</v>
      </c>
      <c r="Q908" s="18" t="s">
        <v>12</v>
      </c>
      <c r="R908" s="12" t="s">
        <v>99</v>
      </c>
      <c r="S908" s="12" t="s">
        <v>99</v>
      </c>
      <c r="T908" s="12">
        <v>1</v>
      </c>
      <c r="U908" s="13"/>
      <c r="V908" s="18" t="s">
        <v>1018</v>
      </c>
      <c r="W908" s="18" t="s">
        <v>92</v>
      </c>
      <c r="X908" s="12" t="s">
        <v>93</v>
      </c>
      <c r="Y908" s="17">
        <v>43497</v>
      </c>
      <c r="Z908" s="75"/>
      <c r="AA908" s="27"/>
      <c r="AB908" s="27"/>
      <c r="AC908" s="27"/>
      <c r="AG908" s="24"/>
      <c r="AH908" s="24"/>
      <c r="AI908" s="24"/>
    </row>
    <row r="909" spans="1:35" hidden="1" x14ac:dyDescent="0.3">
      <c r="A909" s="12" t="s">
        <v>85</v>
      </c>
      <c r="B909" s="12">
        <v>91686</v>
      </c>
      <c r="C909" s="11" t="s">
        <v>1013</v>
      </c>
      <c r="D909" s="12" t="s">
        <v>1</v>
      </c>
      <c r="E909" s="12" t="s">
        <v>1185</v>
      </c>
      <c r="F909" s="12" t="s">
        <v>87</v>
      </c>
      <c r="G909" s="12" t="s">
        <v>113</v>
      </c>
      <c r="H909" s="12" t="s">
        <v>1014</v>
      </c>
      <c r="I909" s="12" t="s">
        <v>200</v>
      </c>
      <c r="J909" s="11" t="s">
        <v>1025</v>
      </c>
      <c r="K909" s="11" t="s">
        <v>1025</v>
      </c>
      <c r="L909" s="11" t="s">
        <v>1195</v>
      </c>
      <c r="M909" s="11" t="s">
        <v>1016</v>
      </c>
      <c r="N909" s="59">
        <v>300</v>
      </c>
      <c r="O909" s="59"/>
      <c r="P909" s="12" t="s">
        <v>1026</v>
      </c>
      <c r="Q909" s="12" t="s">
        <v>12</v>
      </c>
      <c r="R909" s="12" t="s">
        <v>99</v>
      </c>
      <c r="S909" s="12" t="s">
        <v>99</v>
      </c>
      <c r="T909" s="12">
        <v>1</v>
      </c>
      <c r="U909" s="13"/>
      <c r="V909" s="12" t="s">
        <v>1018</v>
      </c>
      <c r="W909" s="12" t="s">
        <v>92</v>
      </c>
      <c r="X909" s="12" t="s">
        <v>108</v>
      </c>
      <c r="Y909" s="13">
        <v>43497</v>
      </c>
      <c r="Z909" s="75"/>
      <c r="AA909" s="27"/>
      <c r="AB909" s="27"/>
      <c r="AC909" s="27"/>
      <c r="AG909" s="24"/>
      <c r="AH909" s="24"/>
      <c r="AI909" s="24"/>
    </row>
    <row r="910" spans="1:35" hidden="1" x14ac:dyDescent="0.3">
      <c r="A910" s="12" t="s">
        <v>85</v>
      </c>
      <c r="B910" s="12">
        <v>91686</v>
      </c>
      <c r="C910" s="11" t="s">
        <v>1013</v>
      </c>
      <c r="D910" s="12" t="s">
        <v>1</v>
      </c>
      <c r="E910" s="12" t="s">
        <v>1185</v>
      </c>
      <c r="F910" s="12" t="s">
        <v>87</v>
      </c>
      <c r="G910" s="12" t="s">
        <v>113</v>
      </c>
      <c r="H910" s="12" t="s">
        <v>1014</v>
      </c>
      <c r="I910" s="12" t="s">
        <v>200</v>
      </c>
      <c r="J910" s="11" t="s">
        <v>1025</v>
      </c>
      <c r="K910" s="11" t="s">
        <v>1025</v>
      </c>
      <c r="L910" s="11" t="s">
        <v>1195</v>
      </c>
      <c r="M910" s="11" t="s">
        <v>1016</v>
      </c>
      <c r="N910" s="59">
        <v>300</v>
      </c>
      <c r="O910" s="59"/>
      <c r="P910" s="12" t="s">
        <v>1026</v>
      </c>
      <c r="Q910" s="12" t="s">
        <v>12</v>
      </c>
      <c r="R910" s="12" t="s">
        <v>99</v>
      </c>
      <c r="S910" s="12" t="s">
        <v>99</v>
      </c>
      <c r="T910" s="12">
        <v>1</v>
      </c>
      <c r="U910" s="13">
        <v>44028</v>
      </c>
      <c r="V910" s="12" t="s">
        <v>94</v>
      </c>
      <c r="W910" s="12" t="s">
        <v>92</v>
      </c>
      <c r="X910" s="12" t="s">
        <v>93</v>
      </c>
      <c r="Y910" s="13">
        <v>44095</v>
      </c>
      <c r="Z910" s="75"/>
      <c r="AA910" s="27"/>
      <c r="AB910" s="27"/>
      <c r="AC910" s="27"/>
      <c r="AG910" s="24"/>
      <c r="AH910" s="24"/>
      <c r="AI910" s="24"/>
    </row>
    <row r="911" spans="1:35" hidden="1" x14ac:dyDescent="0.3">
      <c r="A911" s="12" t="s">
        <v>85</v>
      </c>
      <c r="B911" s="12">
        <v>91687</v>
      </c>
      <c r="C911" s="11" t="s">
        <v>1013</v>
      </c>
      <c r="D911" s="12" t="s">
        <v>1</v>
      </c>
      <c r="E911" s="12" t="s">
        <v>1185</v>
      </c>
      <c r="F911" s="12" t="s">
        <v>87</v>
      </c>
      <c r="G911" s="12" t="s">
        <v>113</v>
      </c>
      <c r="H911" s="12" t="s">
        <v>1014</v>
      </c>
      <c r="I911" s="12" t="s">
        <v>200</v>
      </c>
      <c r="J911" s="11" t="s">
        <v>1027</v>
      </c>
      <c r="K911" s="11" t="s">
        <v>1027</v>
      </c>
      <c r="L911" s="11" t="s">
        <v>1195</v>
      </c>
      <c r="M911" s="11" t="s">
        <v>1016</v>
      </c>
      <c r="N911" s="59">
        <v>300</v>
      </c>
      <c r="O911" s="59"/>
      <c r="P911" s="12" t="s">
        <v>1028</v>
      </c>
      <c r="Q911" s="12" t="s">
        <v>12</v>
      </c>
      <c r="R911" s="12" t="s">
        <v>99</v>
      </c>
      <c r="S911" s="12" t="s">
        <v>99</v>
      </c>
      <c r="T911" s="12">
        <v>1</v>
      </c>
      <c r="U911" s="13"/>
      <c r="V911" s="12" t="s">
        <v>1018</v>
      </c>
      <c r="W911" s="12" t="s">
        <v>92</v>
      </c>
      <c r="X911" s="12" t="s">
        <v>93</v>
      </c>
      <c r="Y911" s="13">
        <v>43497</v>
      </c>
      <c r="Z911" s="75"/>
      <c r="AA911" s="27"/>
      <c r="AB911" s="27"/>
      <c r="AC911" s="27"/>
      <c r="AG911" s="24"/>
      <c r="AH911" s="24"/>
      <c r="AI911" s="24"/>
    </row>
    <row r="912" spans="1:35" hidden="1" x14ac:dyDescent="0.3">
      <c r="A912" s="12" t="s">
        <v>85</v>
      </c>
      <c r="B912" s="12">
        <v>91688</v>
      </c>
      <c r="C912" s="11" t="s">
        <v>1013</v>
      </c>
      <c r="D912" s="12" t="s">
        <v>1</v>
      </c>
      <c r="E912" s="12" t="s">
        <v>1185</v>
      </c>
      <c r="F912" s="12" t="s">
        <v>87</v>
      </c>
      <c r="G912" s="12" t="s">
        <v>113</v>
      </c>
      <c r="H912" s="12" t="s">
        <v>1014</v>
      </c>
      <c r="I912" s="12" t="s">
        <v>200</v>
      </c>
      <c r="J912" s="11" t="s">
        <v>1029</v>
      </c>
      <c r="K912" s="11" t="s">
        <v>1029</v>
      </c>
      <c r="L912" s="11" t="s">
        <v>1195</v>
      </c>
      <c r="M912" s="11" t="s">
        <v>1016</v>
      </c>
      <c r="N912" s="59">
        <v>300</v>
      </c>
      <c r="O912" s="59"/>
      <c r="P912" s="12" t="s">
        <v>1030</v>
      </c>
      <c r="Q912" s="12" t="s">
        <v>12</v>
      </c>
      <c r="R912" s="12" t="s">
        <v>99</v>
      </c>
      <c r="S912" s="12" t="s">
        <v>99</v>
      </c>
      <c r="T912" s="12">
        <v>1</v>
      </c>
      <c r="U912" s="13"/>
      <c r="V912" s="12" t="s">
        <v>1018</v>
      </c>
      <c r="W912" s="12" t="s">
        <v>92</v>
      </c>
      <c r="X912" s="12" t="s">
        <v>93</v>
      </c>
      <c r="Y912" s="13">
        <v>43497</v>
      </c>
      <c r="Z912" s="75"/>
      <c r="AA912" s="27"/>
      <c r="AB912" s="27"/>
      <c r="AC912" s="27"/>
      <c r="AG912" s="24"/>
      <c r="AH912" s="24"/>
      <c r="AI912" s="24"/>
    </row>
    <row r="913" spans="1:35" hidden="1" x14ac:dyDescent="0.3">
      <c r="A913" s="12" t="s">
        <v>85</v>
      </c>
      <c r="B913" s="12">
        <v>91689</v>
      </c>
      <c r="C913" s="11" t="s">
        <v>1013</v>
      </c>
      <c r="D913" s="12" t="s">
        <v>1</v>
      </c>
      <c r="E913" s="12" t="s">
        <v>1185</v>
      </c>
      <c r="F913" s="12" t="s">
        <v>87</v>
      </c>
      <c r="G913" s="12" t="s">
        <v>113</v>
      </c>
      <c r="H913" s="12" t="s">
        <v>1014</v>
      </c>
      <c r="I913" s="12" t="s">
        <v>200</v>
      </c>
      <c r="J913" s="11" t="s">
        <v>1031</v>
      </c>
      <c r="K913" s="11" t="s">
        <v>1031</v>
      </c>
      <c r="L913" s="11" t="s">
        <v>1195</v>
      </c>
      <c r="M913" s="11" t="s">
        <v>1016</v>
      </c>
      <c r="N913" s="59">
        <v>300</v>
      </c>
      <c r="O913" s="59"/>
      <c r="P913" s="12" t="s">
        <v>1032</v>
      </c>
      <c r="Q913" s="12" t="s">
        <v>12</v>
      </c>
      <c r="R913" s="12" t="s">
        <v>99</v>
      </c>
      <c r="S913" s="12" t="s">
        <v>99</v>
      </c>
      <c r="T913" s="12">
        <v>1</v>
      </c>
      <c r="U913" s="13"/>
      <c r="V913" s="12" t="s">
        <v>1018</v>
      </c>
      <c r="W913" s="12" t="s">
        <v>92</v>
      </c>
      <c r="X913" s="12" t="s">
        <v>93</v>
      </c>
      <c r="Y913" s="13">
        <v>43497</v>
      </c>
      <c r="Z913" s="75"/>
      <c r="AA913" s="27"/>
      <c r="AB913" s="27"/>
      <c r="AC913" s="27"/>
      <c r="AG913" s="24"/>
      <c r="AH913" s="24"/>
      <c r="AI913" s="24"/>
    </row>
    <row r="914" spans="1:35" hidden="1" x14ac:dyDescent="0.3">
      <c r="A914" s="12" t="s">
        <v>85</v>
      </c>
      <c r="B914" s="18">
        <v>96536</v>
      </c>
      <c r="C914" s="16" t="s">
        <v>1033</v>
      </c>
      <c r="D914" s="18" t="s">
        <v>1</v>
      </c>
      <c r="E914" s="12" t="s">
        <v>1185</v>
      </c>
      <c r="F914" s="18" t="s">
        <v>87</v>
      </c>
      <c r="G914" s="12" t="s">
        <v>87</v>
      </c>
      <c r="H914" s="18" t="s">
        <v>195</v>
      </c>
      <c r="I914" s="18" t="s">
        <v>115</v>
      </c>
      <c r="J914" s="16" t="s">
        <v>1034</v>
      </c>
      <c r="K914" s="16" t="s">
        <v>1034</v>
      </c>
      <c r="L914" s="16" t="s">
        <v>1195</v>
      </c>
      <c r="M914" s="16" t="s">
        <v>1035</v>
      </c>
      <c r="N914" s="65">
        <v>23954.799999999999</v>
      </c>
      <c r="O914" s="63"/>
      <c r="P914" s="18" t="s">
        <v>1036</v>
      </c>
      <c r="Q914" s="18" t="s">
        <v>4</v>
      </c>
      <c r="R914" s="18" t="s">
        <v>15</v>
      </c>
      <c r="S914" s="12" t="s">
        <v>33</v>
      </c>
      <c r="T914" s="12">
        <v>1</v>
      </c>
      <c r="U914" s="13">
        <v>43753</v>
      </c>
      <c r="V914" s="18" t="s">
        <v>1037</v>
      </c>
      <c r="W914" s="12" t="s">
        <v>92</v>
      </c>
      <c r="X914" s="12" t="s">
        <v>93</v>
      </c>
      <c r="Y914" s="17"/>
      <c r="Z914" s="75"/>
      <c r="AA914" s="27"/>
      <c r="AB914" s="27"/>
      <c r="AC914" s="27"/>
      <c r="AG914" s="24"/>
      <c r="AH914" s="24"/>
      <c r="AI914" s="24"/>
    </row>
    <row r="915" spans="1:35" hidden="1" x14ac:dyDescent="0.3">
      <c r="A915" s="12" t="s">
        <v>85</v>
      </c>
      <c r="B915" s="12">
        <v>96536</v>
      </c>
      <c r="C915" s="11" t="s">
        <v>1033</v>
      </c>
      <c r="D915" s="12" t="s">
        <v>1</v>
      </c>
      <c r="E915" s="12" t="s">
        <v>1185</v>
      </c>
      <c r="F915" s="12" t="s">
        <v>87</v>
      </c>
      <c r="G915" s="12" t="s">
        <v>87</v>
      </c>
      <c r="H915" s="12" t="s">
        <v>195</v>
      </c>
      <c r="I915" s="12" t="s">
        <v>115</v>
      </c>
      <c r="J915" s="11" t="s">
        <v>1034</v>
      </c>
      <c r="K915" s="11" t="s">
        <v>1034</v>
      </c>
      <c r="L915" s="16" t="s">
        <v>1195</v>
      </c>
      <c r="M915" s="11" t="s">
        <v>1035</v>
      </c>
      <c r="N915" s="65">
        <v>23954.799999999999</v>
      </c>
      <c r="O915" s="63"/>
      <c r="P915" s="12" t="s">
        <v>1036</v>
      </c>
      <c r="Q915" s="12" t="s">
        <v>4</v>
      </c>
      <c r="R915" s="12" t="s">
        <v>15</v>
      </c>
      <c r="S915" s="12" t="s">
        <v>33</v>
      </c>
      <c r="T915" s="12">
        <v>1</v>
      </c>
      <c r="U915" s="13">
        <v>43814</v>
      </c>
      <c r="V915" s="12" t="s">
        <v>1038</v>
      </c>
      <c r="W915" s="12" t="s">
        <v>92</v>
      </c>
      <c r="X915" s="12" t="s">
        <v>93</v>
      </c>
      <c r="Y915" s="13"/>
      <c r="Z915" s="75"/>
      <c r="AA915" s="27"/>
      <c r="AB915" s="27"/>
      <c r="AC915" s="27"/>
      <c r="AG915" s="24"/>
      <c r="AH915" s="24"/>
      <c r="AI915" s="24"/>
    </row>
    <row r="916" spans="1:35" hidden="1" x14ac:dyDescent="0.3">
      <c r="A916" s="12" t="s">
        <v>85</v>
      </c>
      <c r="B916" s="12">
        <v>96536</v>
      </c>
      <c r="C916" s="11" t="s">
        <v>1033</v>
      </c>
      <c r="D916" s="12" t="s">
        <v>1</v>
      </c>
      <c r="E916" s="12" t="s">
        <v>1185</v>
      </c>
      <c r="F916" s="12" t="s">
        <v>87</v>
      </c>
      <c r="G916" s="12" t="s">
        <v>87</v>
      </c>
      <c r="H916" s="12" t="s">
        <v>195</v>
      </c>
      <c r="I916" s="12" t="s">
        <v>115</v>
      </c>
      <c r="J916" s="11" t="s">
        <v>1034</v>
      </c>
      <c r="K916" s="11" t="s">
        <v>1034</v>
      </c>
      <c r="L916" s="16" t="s">
        <v>1195</v>
      </c>
      <c r="M916" s="11" t="s">
        <v>1035</v>
      </c>
      <c r="N916" s="65">
        <v>23954.799999999999</v>
      </c>
      <c r="O916" s="63"/>
      <c r="P916" s="12" t="s">
        <v>1036</v>
      </c>
      <c r="Q916" s="12" t="s">
        <v>4</v>
      </c>
      <c r="R916" s="12" t="s">
        <v>15</v>
      </c>
      <c r="S916" s="12" t="s">
        <v>33</v>
      </c>
      <c r="T916" s="12">
        <v>1</v>
      </c>
      <c r="U916" s="13">
        <v>43847</v>
      </c>
      <c r="V916" s="12" t="s">
        <v>1039</v>
      </c>
      <c r="W916" s="12" t="s">
        <v>92</v>
      </c>
      <c r="X916" s="12" t="s">
        <v>93</v>
      </c>
      <c r="Y916" s="13"/>
      <c r="Z916" s="75"/>
      <c r="AA916" s="27"/>
      <c r="AB916" s="27"/>
      <c r="AC916" s="27"/>
      <c r="AG916" s="24"/>
      <c r="AH916" s="24"/>
      <c r="AI916" s="24"/>
    </row>
    <row r="917" spans="1:35" hidden="1" x14ac:dyDescent="0.3">
      <c r="A917" s="12" t="s">
        <v>85</v>
      </c>
      <c r="B917" s="12">
        <v>96536</v>
      </c>
      <c r="C917" s="11" t="s">
        <v>1033</v>
      </c>
      <c r="D917" s="12" t="s">
        <v>1</v>
      </c>
      <c r="E917" s="12" t="s">
        <v>1185</v>
      </c>
      <c r="F917" s="12" t="s">
        <v>87</v>
      </c>
      <c r="G917" s="12" t="s">
        <v>87</v>
      </c>
      <c r="H917" s="12" t="s">
        <v>195</v>
      </c>
      <c r="I917" s="12" t="s">
        <v>115</v>
      </c>
      <c r="J917" s="11" t="s">
        <v>1034</v>
      </c>
      <c r="K917" s="11" t="s">
        <v>1034</v>
      </c>
      <c r="L917" s="16" t="s">
        <v>1195</v>
      </c>
      <c r="M917" s="11" t="s">
        <v>1035</v>
      </c>
      <c r="N917" s="65">
        <v>23954.799999999999</v>
      </c>
      <c r="O917" s="63"/>
      <c r="P917" s="12" t="s">
        <v>1036</v>
      </c>
      <c r="Q917" s="12" t="s">
        <v>4</v>
      </c>
      <c r="R917" s="12" t="s">
        <v>15</v>
      </c>
      <c r="S917" s="12" t="s">
        <v>33</v>
      </c>
      <c r="T917" s="12">
        <v>1</v>
      </c>
      <c r="U917" s="13">
        <v>43878</v>
      </c>
      <c r="V917" s="12" t="s">
        <v>1040</v>
      </c>
      <c r="W917" s="12" t="s">
        <v>92</v>
      </c>
      <c r="X917" s="12" t="s">
        <v>93</v>
      </c>
      <c r="Y917" s="13"/>
      <c r="Z917" s="75"/>
      <c r="AA917" s="27"/>
      <c r="AB917" s="27"/>
      <c r="AC917" s="27"/>
      <c r="AG917" s="24"/>
      <c r="AH917" s="24"/>
      <c r="AI917" s="24"/>
    </row>
    <row r="918" spans="1:35" hidden="1" x14ac:dyDescent="0.3">
      <c r="A918" s="12" t="s">
        <v>85</v>
      </c>
      <c r="B918" s="12">
        <v>96536</v>
      </c>
      <c r="C918" s="11" t="s">
        <v>1033</v>
      </c>
      <c r="D918" s="12" t="s">
        <v>1</v>
      </c>
      <c r="E918" s="12" t="s">
        <v>1185</v>
      </c>
      <c r="F918" s="12" t="s">
        <v>87</v>
      </c>
      <c r="G918" s="12" t="s">
        <v>87</v>
      </c>
      <c r="H918" s="12" t="s">
        <v>195</v>
      </c>
      <c r="I918" s="12" t="s">
        <v>115</v>
      </c>
      <c r="J918" s="11" t="s">
        <v>1034</v>
      </c>
      <c r="K918" s="11" t="s">
        <v>1034</v>
      </c>
      <c r="L918" s="16" t="s">
        <v>1195</v>
      </c>
      <c r="M918" s="11" t="s">
        <v>1035</v>
      </c>
      <c r="N918" s="65">
        <v>23954.799999999999</v>
      </c>
      <c r="O918" s="63"/>
      <c r="P918" s="12" t="s">
        <v>1036</v>
      </c>
      <c r="Q918" s="12" t="s">
        <v>4</v>
      </c>
      <c r="R918" s="12" t="s">
        <v>15</v>
      </c>
      <c r="S918" s="12" t="s">
        <v>33</v>
      </c>
      <c r="T918" s="12">
        <v>1</v>
      </c>
      <c r="U918" s="13"/>
      <c r="V918" s="12" t="s">
        <v>1041</v>
      </c>
      <c r="W918" s="12" t="s">
        <v>92</v>
      </c>
      <c r="X918" s="12" t="s">
        <v>93</v>
      </c>
      <c r="Y918" s="13"/>
      <c r="Z918" s="75"/>
      <c r="AA918" s="27"/>
      <c r="AB918" s="27"/>
      <c r="AC918" s="27"/>
      <c r="AG918" s="24"/>
      <c r="AH918" s="24"/>
      <c r="AI918" s="24"/>
    </row>
    <row r="919" spans="1:35" hidden="1" x14ac:dyDescent="0.3">
      <c r="A919" s="12" t="s">
        <v>85</v>
      </c>
      <c r="B919" s="18">
        <v>96536</v>
      </c>
      <c r="C919" s="16" t="s">
        <v>1033</v>
      </c>
      <c r="D919" s="18" t="s">
        <v>1</v>
      </c>
      <c r="E919" s="12" t="s">
        <v>1185</v>
      </c>
      <c r="F919" s="18" t="s">
        <v>87</v>
      </c>
      <c r="G919" s="12" t="s">
        <v>87</v>
      </c>
      <c r="H919" s="18" t="s">
        <v>195</v>
      </c>
      <c r="I919" s="18" t="s">
        <v>115</v>
      </c>
      <c r="J919" s="16" t="s">
        <v>1034</v>
      </c>
      <c r="K919" s="16" t="s">
        <v>1034</v>
      </c>
      <c r="L919" s="16" t="s">
        <v>1195</v>
      </c>
      <c r="M919" s="16" t="s">
        <v>1035</v>
      </c>
      <c r="N919" s="65">
        <v>23954.799999999999</v>
      </c>
      <c r="O919" s="63"/>
      <c r="P919" s="18" t="s">
        <v>1036</v>
      </c>
      <c r="Q919" s="18" t="s">
        <v>4</v>
      </c>
      <c r="R919" s="18" t="s">
        <v>15</v>
      </c>
      <c r="S919" s="12" t="s">
        <v>33</v>
      </c>
      <c r="T919" s="12">
        <v>1</v>
      </c>
      <c r="U919" s="13"/>
      <c r="V919" s="18" t="s">
        <v>1042</v>
      </c>
      <c r="W919" s="12" t="s">
        <v>92</v>
      </c>
      <c r="X919" s="12" t="s">
        <v>93</v>
      </c>
      <c r="Y919" s="17"/>
      <c r="Z919" s="75"/>
      <c r="AA919" s="27"/>
      <c r="AB919" s="27"/>
      <c r="AC919" s="27"/>
      <c r="AG919" s="24"/>
      <c r="AH919" s="24"/>
      <c r="AI919" s="24"/>
    </row>
    <row r="920" spans="1:35" hidden="1" x14ac:dyDescent="0.3">
      <c r="A920" s="12" t="s">
        <v>85</v>
      </c>
      <c r="B920" s="18">
        <v>96536</v>
      </c>
      <c r="C920" s="16" t="s">
        <v>1033</v>
      </c>
      <c r="D920" s="18" t="s">
        <v>1</v>
      </c>
      <c r="E920" s="12" t="s">
        <v>1185</v>
      </c>
      <c r="F920" s="18" t="s">
        <v>87</v>
      </c>
      <c r="G920" s="12" t="s">
        <v>87</v>
      </c>
      <c r="H920" s="18" t="s">
        <v>195</v>
      </c>
      <c r="I920" s="18" t="s">
        <v>115</v>
      </c>
      <c r="J920" s="16" t="s">
        <v>1034</v>
      </c>
      <c r="K920" s="16" t="s">
        <v>1034</v>
      </c>
      <c r="L920" s="16" t="s">
        <v>1195</v>
      </c>
      <c r="M920" s="16" t="s">
        <v>1035</v>
      </c>
      <c r="N920" s="65">
        <v>23954.799999999999</v>
      </c>
      <c r="O920" s="63"/>
      <c r="P920" s="18" t="s">
        <v>1036</v>
      </c>
      <c r="Q920" s="18" t="s">
        <v>4</v>
      </c>
      <c r="R920" s="18" t="s">
        <v>15</v>
      </c>
      <c r="S920" s="12" t="s">
        <v>33</v>
      </c>
      <c r="T920" s="12">
        <v>1</v>
      </c>
      <c r="U920" s="13">
        <v>43906</v>
      </c>
      <c r="V920" s="18" t="s">
        <v>1043</v>
      </c>
      <c r="W920" s="12" t="s">
        <v>92</v>
      </c>
      <c r="X920" s="12" t="s">
        <v>93</v>
      </c>
      <c r="Y920" s="17"/>
      <c r="Z920" s="75"/>
      <c r="AA920" s="27"/>
      <c r="AB920" s="27"/>
      <c r="AC920" s="27"/>
      <c r="AG920" s="24"/>
      <c r="AH920" s="24"/>
      <c r="AI920" s="24"/>
    </row>
    <row r="921" spans="1:35" hidden="1" x14ac:dyDescent="0.3">
      <c r="A921" s="12" t="s">
        <v>85</v>
      </c>
      <c r="B921" s="12">
        <v>96536</v>
      </c>
      <c r="C921" s="11" t="s">
        <v>1033</v>
      </c>
      <c r="D921" s="12" t="s">
        <v>1</v>
      </c>
      <c r="E921" s="12" t="s">
        <v>1185</v>
      </c>
      <c r="F921" s="12" t="s">
        <v>87</v>
      </c>
      <c r="G921" s="12" t="s">
        <v>87</v>
      </c>
      <c r="H921" s="12" t="s">
        <v>195</v>
      </c>
      <c r="I921" s="12" t="s">
        <v>115</v>
      </c>
      <c r="J921" s="11" t="s">
        <v>1034</v>
      </c>
      <c r="K921" s="11" t="s">
        <v>1034</v>
      </c>
      <c r="L921" s="16" t="s">
        <v>1195</v>
      </c>
      <c r="M921" s="11" t="s">
        <v>1035</v>
      </c>
      <c r="N921" s="65">
        <v>23954.799999999999</v>
      </c>
      <c r="O921" s="63"/>
      <c r="P921" s="12" t="s">
        <v>1036</v>
      </c>
      <c r="Q921" s="12" t="s">
        <v>4</v>
      </c>
      <c r="R921" s="12" t="s">
        <v>15</v>
      </c>
      <c r="S921" s="12" t="s">
        <v>33</v>
      </c>
      <c r="T921" s="12">
        <v>1</v>
      </c>
      <c r="U921" s="13">
        <v>43938</v>
      </c>
      <c r="V921" s="12" t="s">
        <v>1044</v>
      </c>
      <c r="W921" s="12" t="s">
        <v>92</v>
      </c>
      <c r="X921" s="12" t="s">
        <v>93</v>
      </c>
      <c r="Y921" s="13"/>
      <c r="Z921" s="75"/>
      <c r="AA921" s="27"/>
      <c r="AB921" s="27"/>
      <c r="AC921" s="27"/>
      <c r="AG921" s="24"/>
      <c r="AH921" s="24"/>
      <c r="AI921" s="24"/>
    </row>
    <row r="922" spans="1:35" hidden="1" x14ac:dyDescent="0.3">
      <c r="A922" s="12" t="s">
        <v>85</v>
      </c>
      <c r="B922" s="12">
        <v>96536</v>
      </c>
      <c r="C922" s="11" t="s">
        <v>1033</v>
      </c>
      <c r="D922" s="12" t="s">
        <v>1</v>
      </c>
      <c r="E922" s="12" t="s">
        <v>1185</v>
      </c>
      <c r="F922" s="12" t="s">
        <v>87</v>
      </c>
      <c r="G922" s="12" t="s">
        <v>87</v>
      </c>
      <c r="H922" s="12" t="s">
        <v>195</v>
      </c>
      <c r="I922" s="12" t="s">
        <v>115</v>
      </c>
      <c r="J922" s="11" t="s">
        <v>1034</v>
      </c>
      <c r="K922" s="11" t="s">
        <v>1034</v>
      </c>
      <c r="L922" s="16" t="s">
        <v>1195</v>
      </c>
      <c r="M922" s="11" t="s">
        <v>1035</v>
      </c>
      <c r="N922" s="65">
        <v>23954.799999999999</v>
      </c>
      <c r="O922" s="63"/>
      <c r="P922" s="12" t="s">
        <v>1036</v>
      </c>
      <c r="Q922" s="12" t="s">
        <v>4</v>
      </c>
      <c r="R922" s="12" t="s">
        <v>15</v>
      </c>
      <c r="S922" s="12" t="s">
        <v>33</v>
      </c>
      <c r="T922" s="12">
        <v>1</v>
      </c>
      <c r="U922" s="13">
        <v>43962</v>
      </c>
      <c r="V922" s="12" t="s">
        <v>1045</v>
      </c>
      <c r="W922" s="12" t="s">
        <v>92</v>
      </c>
      <c r="X922" s="12" t="s">
        <v>93</v>
      </c>
      <c r="Y922" s="13"/>
      <c r="Z922" s="75"/>
      <c r="AA922" s="27"/>
      <c r="AB922" s="27"/>
      <c r="AC922" s="27"/>
      <c r="AG922" s="24"/>
      <c r="AH922" s="24"/>
      <c r="AI922" s="24"/>
    </row>
    <row r="923" spans="1:35" hidden="1" x14ac:dyDescent="0.3">
      <c r="A923" s="12" t="s">
        <v>85</v>
      </c>
      <c r="B923" s="12">
        <v>96536</v>
      </c>
      <c r="C923" s="11" t="s">
        <v>1033</v>
      </c>
      <c r="D923" s="12" t="s">
        <v>1</v>
      </c>
      <c r="E923" s="12" t="s">
        <v>1185</v>
      </c>
      <c r="F923" s="12" t="s">
        <v>87</v>
      </c>
      <c r="G923" s="12" t="s">
        <v>87</v>
      </c>
      <c r="H923" s="12" t="s">
        <v>195</v>
      </c>
      <c r="I923" s="12" t="s">
        <v>115</v>
      </c>
      <c r="J923" s="11" t="s">
        <v>1034</v>
      </c>
      <c r="K923" s="11" t="s">
        <v>1034</v>
      </c>
      <c r="L923" s="16" t="s">
        <v>1195</v>
      </c>
      <c r="M923" s="11" t="s">
        <v>1035</v>
      </c>
      <c r="N923" s="65">
        <v>23954.799999999999</v>
      </c>
      <c r="O923" s="63"/>
      <c r="P923" s="12" t="s">
        <v>1036</v>
      </c>
      <c r="Q923" s="12" t="s">
        <v>4</v>
      </c>
      <c r="R923" s="12" t="s">
        <v>15</v>
      </c>
      <c r="S923" s="12" t="s">
        <v>33</v>
      </c>
      <c r="T923" s="12">
        <v>1</v>
      </c>
      <c r="U923" s="13">
        <v>43998</v>
      </c>
      <c r="V923" s="12" t="s">
        <v>1046</v>
      </c>
      <c r="W923" s="12" t="s">
        <v>92</v>
      </c>
      <c r="X923" s="12" t="s">
        <v>93</v>
      </c>
      <c r="Y923" s="13"/>
      <c r="Z923" s="75"/>
      <c r="AA923" s="27"/>
      <c r="AB923" s="27"/>
      <c r="AC923" s="27"/>
      <c r="AG923" s="24"/>
      <c r="AH923" s="24"/>
      <c r="AI923" s="24"/>
    </row>
    <row r="924" spans="1:35" hidden="1" x14ac:dyDescent="0.3">
      <c r="A924" s="12" t="s">
        <v>85</v>
      </c>
      <c r="B924" s="12">
        <v>96536</v>
      </c>
      <c r="C924" s="11" t="s">
        <v>1033</v>
      </c>
      <c r="D924" s="12" t="s">
        <v>1</v>
      </c>
      <c r="E924" s="12" t="s">
        <v>1185</v>
      </c>
      <c r="F924" s="12" t="s">
        <v>87</v>
      </c>
      <c r="G924" s="12" t="s">
        <v>87</v>
      </c>
      <c r="H924" s="12" t="s">
        <v>195</v>
      </c>
      <c r="I924" s="12" t="s">
        <v>115</v>
      </c>
      <c r="J924" s="11" t="s">
        <v>1034</v>
      </c>
      <c r="K924" s="11" t="s">
        <v>1034</v>
      </c>
      <c r="L924" s="16" t="s">
        <v>1195</v>
      </c>
      <c r="M924" s="11" t="s">
        <v>1035</v>
      </c>
      <c r="N924" s="65">
        <v>23954.799999999999</v>
      </c>
      <c r="O924" s="63"/>
      <c r="P924" s="12" t="s">
        <v>1036</v>
      </c>
      <c r="Q924" s="12" t="s">
        <v>4</v>
      </c>
      <c r="R924" s="12" t="s">
        <v>15</v>
      </c>
      <c r="S924" s="12" t="s">
        <v>33</v>
      </c>
      <c r="T924" s="12">
        <v>1</v>
      </c>
      <c r="U924" s="13">
        <v>44028</v>
      </c>
      <c r="V924" s="12" t="s">
        <v>1047</v>
      </c>
      <c r="W924" s="12" t="s">
        <v>92</v>
      </c>
      <c r="X924" s="12" t="s">
        <v>93</v>
      </c>
      <c r="Y924" s="13"/>
      <c r="Z924" s="75"/>
      <c r="AA924" s="27"/>
      <c r="AB924" s="27"/>
      <c r="AC924" s="27"/>
      <c r="AG924" s="24"/>
      <c r="AH924" s="24"/>
      <c r="AI924" s="24"/>
    </row>
    <row r="925" spans="1:35" hidden="1" x14ac:dyDescent="0.3">
      <c r="A925" s="12" t="s">
        <v>85</v>
      </c>
      <c r="B925" s="18">
        <v>103702</v>
      </c>
      <c r="C925" s="16" t="s">
        <v>1033</v>
      </c>
      <c r="D925" s="18" t="s">
        <v>1</v>
      </c>
      <c r="E925" s="12" t="s">
        <v>1185</v>
      </c>
      <c r="F925" s="18" t="s">
        <v>87</v>
      </c>
      <c r="G925" s="12" t="s">
        <v>87</v>
      </c>
      <c r="H925" s="18" t="s">
        <v>195</v>
      </c>
      <c r="I925" s="18" t="s">
        <v>115</v>
      </c>
      <c r="J925" s="16" t="s">
        <v>1034</v>
      </c>
      <c r="K925" s="16" t="s">
        <v>1034</v>
      </c>
      <c r="L925" s="16" t="s">
        <v>1195</v>
      </c>
      <c r="M925" s="16" t="s">
        <v>1048</v>
      </c>
      <c r="N925" s="63">
        <v>491.44</v>
      </c>
      <c r="O925" s="63"/>
      <c r="P925" s="18" t="s">
        <v>1049</v>
      </c>
      <c r="Q925" s="18" t="s">
        <v>12</v>
      </c>
      <c r="R925" s="12" t="s">
        <v>99</v>
      </c>
      <c r="S925" s="12" t="s">
        <v>99</v>
      </c>
      <c r="T925" s="12">
        <v>1</v>
      </c>
      <c r="U925" s="13">
        <v>43755</v>
      </c>
      <c r="V925" s="18" t="s">
        <v>1050</v>
      </c>
      <c r="W925" s="18" t="s">
        <v>92</v>
      </c>
      <c r="X925" s="12" t="s">
        <v>93</v>
      </c>
      <c r="Y925" s="17">
        <v>43755</v>
      </c>
      <c r="Z925" s="75"/>
      <c r="AA925" s="27"/>
      <c r="AB925" s="27"/>
      <c r="AC925" s="27"/>
      <c r="AG925" s="24"/>
      <c r="AH925" s="24"/>
      <c r="AI925" s="24"/>
    </row>
    <row r="926" spans="1:35" hidden="1" x14ac:dyDescent="0.3">
      <c r="A926" s="12" t="s">
        <v>85</v>
      </c>
      <c r="B926" s="12">
        <v>106982</v>
      </c>
      <c r="C926" s="11" t="s">
        <v>520</v>
      </c>
      <c r="D926" s="12" t="s">
        <v>1</v>
      </c>
      <c r="E926" s="12" t="s">
        <v>1185</v>
      </c>
      <c r="F926" s="12" t="s">
        <v>113</v>
      </c>
      <c r="G926" s="12" t="s">
        <v>113</v>
      </c>
      <c r="H926" s="12" t="s">
        <v>521</v>
      </c>
      <c r="I926" s="12" t="s">
        <v>115</v>
      </c>
      <c r="J926" s="11" t="s">
        <v>1216</v>
      </c>
      <c r="K926" s="11" t="s">
        <v>1216</v>
      </c>
      <c r="L926" s="11" t="s">
        <v>1212</v>
      </c>
      <c r="M926" s="11" t="s">
        <v>523</v>
      </c>
      <c r="N926" s="58">
        <v>16954.98</v>
      </c>
      <c r="O926" s="59"/>
      <c r="P926" s="12"/>
      <c r="Q926" s="12" t="s">
        <v>12</v>
      </c>
      <c r="R926" s="12" t="s">
        <v>99</v>
      </c>
      <c r="S926" s="12" t="s">
        <v>99</v>
      </c>
      <c r="T926" s="12">
        <v>0</v>
      </c>
      <c r="U926" s="13">
        <v>44362</v>
      </c>
      <c r="V926" s="12" t="s">
        <v>92</v>
      </c>
      <c r="W926" s="12" t="s">
        <v>92</v>
      </c>
      <c r="X926" s="18" t="s">
        <v>105</v>
      </c>
      <c r="Y926" s="13">
        <v>44362</v>
      </c>
      <c r="Z926" s="75"/>
      <c r="AA926" s="27"/>
      <c r="AB926" s="27"/>
      <c r="AC926" s="27"/>
      <c r="AG926" s="24"/>
      <c r="AH926" s="24"/>
      <c r="AI926" s="24"/>
    </row>
    <row r="927" spans="1:35" hidden="1" x14ac:dyDescent="0.3">
      <c r="A927" s="12" t="s">
        <v>85</v>
      </c>
      <c r="B927" s="12">
        <v>111187</v>
      </c>
      <c r="C927" s="11" t="s">
        <v>1051</v>
      </c>
      <c r="D927" s="12" t="s">
        <v>1</v>
      </c>
      <c r="E927" s="12" t="s">
        <v>1185</v>
      </c>
      <c r="F927" s="12" t="s">
        <v>87</v>
      </c>
      <c r="G927" s="12" t="s">
        <v>87</v>
      </c>
      <c r="H927" s="12" t="s">
        <v>1052</v>
      </c>
      <c r="I927" s="12" t="s">
        <v>125</v>
      </c>
      <c r="J927" s="11" t="s">
        <v>1053</v>
      </c>
      <c r="K927" s="11" t="s">
        <v>1053</v>
      </c>
      <c r="L927" s="11" t="s">
        <v>1194</v>
      </c>
      <c r="M927" s="11" t="s">
        <v>1054</v>
      </c>
      <c r="N927" s="57">
        <v>30000</v>
      </c>
      <c r="O927" s="59"/>
      <c r="P927" s="12">
        <v>130258</v>
      </c>
      <c r="Q927" s="12" t="s">
        <v>12</v>
      </c>
      <c r="R927" s="12" t="s">
        <v>99</v>
      </c>
      <c r="S927" s="12" t="s">
        <v>99</v>
      </c>
      <c r="T927" s="12">
        <v>0</v>
      </c>
      <c r="U927" s="13"/>
      <c r="V927" s="12" t="s">
        <v>92</v>
      </c>
      <c r="W927" s="12" t="s">
        <v>92</v>
      </c>
      <c r="X927" s="12" t="s">
        <v>135</v>
      </c>
      <c r="Y927" s="13"/>
      <c r="Z927" s="75"/>
      <c r="AA927" s="27"/>
      <c r="AB927" s="27"/>
      <c r="AC927" s="27"/>
      <c r="AG927" s="24"/>
      <c r="AH927" s="24"/>
      <c r="AI927" s="24"/>
    </row>
    <row r="928" spans="1:35" hidden="1" x14ac:dyDescent="0.3">
      <c r="A928" s="12" t="s">
        <v>85</v>
      </c>
      <c r="B928" s="18">
        <v>118649</v>
      </c>
      <c r="C928" s="16" t="s">
        <v>1051</v>
      </c>
      <c r="D928" s="18" t="s">
        <v>1</v>
      </c>
      <c r="E928" s="12" t="s">
        <v>1185</v>
      </c>
      <c r="F928" s="12" t="s">
        <v>87</v>
      </c>
      <c r="G928" s="12" t="s">
        <v>113</v>
      </c>
      <c r="H928" s="18" t="s">
        <v>1052</v>
      </c>
      <c r="I928" s="18" t="s">
        <v>125</v>
      </c>
      <c r="J928" s="16" t="s">
        <v>1232</v>
      </c>
      <c r="K928" s="16" t="s">
        <v>1232</v>
      </c>
      <c r="L928" s="11" t="s">
        <v>1212</v>
      </c>
      <c r="M928" s="16" t="s">
        <v>1055</v>
      </c>
      <c r="N928" s="65">
        <v>21925.25</v>
      </c>
      <c r="O928" s="63"/>
      <c r="P928" s="18"/>
      <c r="Q928" s="18" t="s">
        <v>12</v>
      </c>
      <c r="R928" s="12" t="s">
        <v>99</v>
      </c>
      <c r="S928" s="12" t="s">
        <v>99</v>
      </c>
      <c r="T928" s="12">
        <v>1</v>
      </c>
      <c r="U928" s="13">
        <v>44012</v>
      </c>
      <c r="V928" s="18" t="s">
        <v>1056</v>
      </c>
      <c r="W928" s="12" t="s">
        <v>92</v>
      </c>
      <c r="X928" s="12" t="s">
        <v>93</v>
      </c>
      <c r="Y928" s="17">
        <v>44012</v>
      </c>
      <c r="Z928" s="75"/>
      <c r="AA928" s="27"/>
      <c r="AB928" s="27"/>
      <c r="AC928" s="27"/>
      <c r="AG928" s="24"/>
      <c r="AH928" s="24"/>
      <c r="AI928" s="24"/>
    </row>
    <row r="929" spans="1:35" hidden="1" x14ac:dyDescent="0.3">
      <c r="A929" s="12" t="s">
        <v>85</v>
      </c>
      <c r="B929" s="18">
        <v>118963</v>
      </c>
      <c r="C929" s="16" t="s">
        <v>333</v>
      </c>
      <c r="D929" s="12" t="s">
        <v>1</v>
      </c>
      <c r="E929" s="12" t="s">
        <v>1185</v>
      </c>
      <c r="F929" s="12" t="s">
        <v>87</v>
      </c>
      <c r="G929" s="12" t="s">
        <v>113</v>
      </c>
      <c r="H929" s="12" t="s">
        <v>334</v>
      </c>
      <c r="I929" s="12" t="s">
        <v>89</v>
      </c>
      <c r="J929" s="11" t="s">
        <v>1247</v>
      </c>
      <c r="K929" s="11" t="s">
        <v>1247</v>
      </c>
      <c r="L929" s="11" t="s">
        <v>1212</v>
      </c>
      <c r="M929" s="11" t="s">
        <v>1057</v>
      </c>
      <c r="N929" s="57">
        <v>32245.07</v>
      </c>
      <c r="O929" s="57">
        <v>2147.09</v>
      </c>
      <c r="P929" s="46" t="s">
        <v>1058</v>
      </c>
      <c r="Q929" s="12" t="s">
        <v>12</v>
      </c>
      <c r="R929" s="12" t="s">
        <v>99</v>
      </c>
      <c r="S929" s="12" t="s">
        <v>99</v>
      </c>
      <c r="T929" s="12">
        <v>1</v>
      </c>
      <c r="U929" s="13">
        <v>43586</v>
      </c>
      <c r="V929" s="12" t="s">
        <v>1059</v>
      </c>
      <c r="W929" s="18" t="s">
        <v>92</v>
      </c>
      <c r="X929" s="12" t="s">
        <v>93</v>
      </c>
      <c r="Y929" s="17">
        <v>43586</v>
      </c>
      <c r="Z929" s="75"/>
      <c r="AA929" s="27"/>
      <c r="AB929" s="27"/>
      <c r="AC929" s="27"/>
      <c r="AG929" s="24"/>
      <c r="AH929" s="24"/>
      <c r="AI929" s="24"/>
    </row>
    <row r="930" spans="1:35" hidden="1" x14ac:dyDescent="0.3">
      <c r="A930" s="12" t="s">
        <v>85</v>
      </c>
      <c r="B930" s="18">
        <v>129886</v>
      </c>
      <c r="C930" s="16" t="s">
        <v>674</v>
      </c>
      <c r="D930" s="18" t="s">
        <v>1</v>
      </c>
      <c r="E930" s="12" t="s">
        <v>1185</v>
      </c>
      <c r="F930" s="18" t="s">
        <v>87</v>
      </c>
      <c r="G930" s="12" t="s">
        <v>113</v>
      </c>
      <c r="H930" s="18" t="s">
        <v>675</v>
      </c>
      <c r="I930" s="18" t="s">
        <v>115</v>
      </c>
      <c r="J930" s="16" t="s">
        <v>1060</v>
      </c>
      <c r="K930" s="16" t="s">
        <v>1060</v>
      </c>
      <c r="L930" s="16" t="s">
        <v>1224</v>
      </c>
      <c r="M930" s="16" t="s">
        <v>1061</v>
      </c>
      <c r="N930" s="65">
        <f>45.4574*10000</f>
        <v>454574</v>
      </c>
      <c r="O930" s="63"/>
      <c r="P930" s="18" t="s">
        <v>91</v>
      </c>
      <c r="Q930" s="18" t="s">
        <v>12</v>
      </c>
      <c r="R930" s="12" t="s">
        <v>99</v>
      </c>
      <c r="S930" s="12" t="s">
        <v>99</v>
      </c>
      <c r="T930" s="12">
        <v>1</v>
      </c>
      <c r="U930" s="13">
        <v>43928</v>
      </c>
      <c r="V930" s="18" t="s">
        <v>252</v>
      </c>
      <c r="W930" s="12" t="s">
        <v>92</v>
      </c>
      <c r="X930" s="12" t="s">
        <v>93</v>
      </c>
      <c r="Y930" s="17">
        <v>44099</v>
      </c>
      <c r="Z930" s="75"/>
      <c r="AA930" s="27"/>
      <c r="AB930" s="27"/>
      <c r="AC930" s="27"/>
      <c r="AG930" s="24"/>
      <c r="AH930" s="24"/>
      <c r="AI930" s="24"/>
    </row>
    <row r="931" spans="1:35" hidden="1" x14ac:dyDescent="0.3">
      <c r="A931" s="12" t="s">
        <v>85</v>
      </c>
      <c r="B931" s="18">
        <v>129887</v>
      </c>
      <c r="C931" s="16" t="s">
        <v>674</v>
      </c>
      <c r="D931" s="18" t="s">
        <v>1</v>
      </c>
      <c r="E931" s="12" t="s">
        <v>1185</v>
      </c>
      <c r="F931" s="18" t="s">
        <v>87</v>
      </c>
      <c r="G931" s="12" t="s">
        <v>113</v>
      </c>
      <c r="H931" s="18" t="s">
        <v>675</v>
      </c>
      <c r="I931" s="18" t="s">
        <v>115</v>
      </c>
      <c r="J931" s="16" t="s">
        <v>1060</v>
      </c>
      <c r="K931" s="16" t="s">
        <v>1060</v>
      </c>
      <c r="L931" s="16" t="s">
        <v>1224</v>
      </c>
      <c r="M931" s="16" t="s">
        <v>1061</v>
      </c>
      <c r="N931" s="65">
        <f>120.6818*10000</f>
        <v>1206818</v>
      </c>
      <c r="O931" s="63"/>
      <c r="P931" s="18" t="s">
        <v>91</v>
      </c>
      <c r="Q931" s="12" t="s">
        <v>12</v>
      </c>
      <c r="R931" s="12" t="s">
        <v>99</v>
      </c>
      <c r="S931" s="12" t="s">
        <v>99</v>
      </c>
      <c r="T931" s="12">
        <v>1</v>
      </c>
      <c r="U931" s="13">
        <v>43928</v>
      </c>
      <c r="V931" s="18" t="s">
        <v>252</v>
      </c>
      <c r="W931" s="12" t="s">
        <v>92</v>
      </c>
      <c r="X931" s="12" t="s">
        <v>93</v>
      </c>
      <c r="Y931" s="17">
        <v>44099</v>
      </c>
      <c r="Z931" s="75"/>
      <c r="AA931" s="27"/>
      <c r="AB931" s="27"/>
      <c r="AC931" s="27"/>
      <c r="AG931" s="24"/>
      <c r="AH931" s="24"/>
      <c r="AI931" s="24"/>
    </row>
    <row r="932" spans="1:35" hidden="1" x14ac:dyDescent="0.3">
      <c r="A932" s="12" t="s">
        <v>85</v>
      </c>
      <c r="B932" s="18">
        <v>129888</v>
      </c>
      <c r="C932" s="16" t="s">
        <v>674</v>
      </c>
      <c r="D932" s="18" t="s">
        <v>1</v>
      </c>
      <c r="E932" s="12" t="s">
        <v>1185</v>
      </c>
      <c r="F932" s="18" t="s">
        <v>87</v>
      </c>
      <c r="G932" s="12" t="s">
        <v>113</v>
      </c>
      <c r="H932" s="18" t="s">
        <v>675</v>
      </c>
      <c r="I932" s="18" t="s">
        <v>115</v>
      </c>
      <c r="J932" s="16" t="s">
        <v>1060</v>
      </c>
      <c r="K932" s="16" t="s">
        <v>1060</v>
      </c>
      <c r="L932" s="16" t="s">
        <v>1224</v>
      </c>
      <c r="M932" s="16" t="s">
        <v>1061</v>
      </c>
      <c r="N932" s="65">
        <f>98.6885*10000</f>
        <v>986885</v>
      </c>
      <c r="O932" s="63"/>
      <c r="P932" s="18" t="s">
        <v>91</v>
      </c>
      <c r="Q932" s="18" t="s">
        <v>12</v>
      </c>
      <c r="R932" s="12" t="s">
        <v>99</v>
      </c>
      <c r="S932" s="12" t="s">
        <v>99</v>
      </c>
      <c r="T932" s="12">
        <v>1</v>
      </c>
      <c r="U932" s="13">
        <v>43928</v>
      </c>
      <c r="V932" s="18" t="s">
        <v>252</v>
      </c>
      <c r="W932" s="12" t="s">
        <v>92</v>
      </c>
      <c r="X932" s="12" t="s">
        <v>93</v>
      </c>
      <c r="Y932" s="17">
        <v>44099</v>
      </c>
      <c r="Z932" s="75"/>
      <c r="AA932" s="27"/>
      <c r="AB932" s="27"/>
      <c r="AC932" s="27"/>
      <c r="AG932" s="24"/>
      <c r="AH932" s="24"/>
      <c r="AI932" s="24"/>
    </row>
    <row r="933" spans="1:35" hidden="1" x14ac:dyDescent="0.3">
      <c r="A933" s="12" t="s">
        <v>85</v>
      </c>
      <c r="B933" s="18">
        <v>129889</v>
      </c>
      <c r="C933" s="16" t="s">
        <v>674</v>
      </c>
      <c r="D933" s="18" t="s">
        <v>1</v>
      </c>
      <c r="E933" s="12" t="s">
        <v>1185</v>
      </c>
      <c r="F933" s="18" t="s">
        <v>87</v>
      </c>
      <c r="G933" s="12" t="s">
        <v>113</v>
      </c>
      <c r="H933" s="18" t="s">
        <v>675</v>
      </c>
      <c r="I933" s="18" t="s">
        <v>115</v>
      </c>
      <c r="J933" s="16" t="s">
        <v>1060</v>
      </c>
      <c r="K933" s="16" t="s">
        <v>1060</v>
      </c>
      <c r="L933" s="16" t="s">
        <v>1224</v>
      </c>
      <c r="M933" s="16" t="s">
        <v>1061</v>
      </c>
      <c r="N933" s="65">
        <f>1.0866*10000</f>
        <v>10866</v>
      </c>
      <c r="O933" s="63"/>
      <c r="P933" s="18" t="s">
        <v>91</v>
      </c>
      <c r="Q933" s="18" t="s">
        <v>12</v>
      </c>
      <c r="R933" s="12" t="s">
        <v>99</v>
      </c>
      <c r="S933" s="12" t="s">
        <v>99</v>
      </c>
      <c r="T933" s="12">
        <v>1</v>
      </c>
      <c r="U933" s="13">
        <v>43928</v>
      </c>
      <c r="V933" s="18" t="s">
        <v>252</v>
      </c>
      <c r="W933" s="12" t="s">
        <v>92</v>
      </c>
      <c r="X933" s="12" t="s">
        <v>93</v>
      </c>
      <c r="Y933" s="13">
        <v>44068</v>
      </c>
      <c r="Z933" s="75"/>
      <c r="AA933" s="27"/>
      <c r="AB933" s="27"/>
      <c r="AC933" s="27"/>
      <c r="AG933" s="24"/>
      <c r="AH933" s="24"/>
      <c r="AI933" s="24"/>
    </row>
    <row r="934" spans="1:35" hidden="1" x14ac:dyDescent="0.3">
      <c r="A934" s="12" t="s">
        <v>85</v>
      </c>
      <c r="B934" s="12">
        <v>167236</v>
      </c>
      <c r="C934" s="11" t="s">
        <v>1033</v>
      </c>
      <c r="D934" s="12" t="s">
        <v>1</v>
      </c>
      <c r="E934" s="12" t="s">
        <v>1185</v>
      </c>
      <c r="F934" s="12" t="s">
        <v>113</v>
      </c>
      <c r="G934" s="12" t="s">
        <v>132</v>
      </c>
      <c r="H934" s="12" t="s">
        <v>195</v>
      </c>
      <c r="I934" s="12" t="s">
        <v>115</v>
      </c>
      <c r="J934" s="11" t="s">
        <v>1062</v>
      </c>
      <c r="K934" s="11" t="s">
        <v>1062</v>
      </c>
      <c r="L934" s="11" t="s">
        <v>1195</v>
      </c>
      <c r="M934" s="11" t="s">
        <v>1063</v>
      </c>
      <c r="N934" s="66">
        <v>232889.33</v>
      </c>
      <c r="O934" s="59"/>
      <c r="P934" s="12" t="s">
        <v>1064</v>
      </c>
      <c r="Q934" s="12" t="s">
        <v>4</v>
      </c>
      <c r="R934" s="12" t="s">
        <v>15</v>
      </c>
      <c r="S934" s="12" t="s">
        <v>1065</v>
      </c>
      <c r="T934" s="12">
        <v>1</v>
      </c>
      <c r="U934" s="13">
        <v>43738</v>
      </c>
      <c r="V934" s="12" t="s">
        <v>1066</v>
      </c>
      <c r="W934" s="12" t="s">
        <v>92</v>
      </c>
      <c r="X934" s="12" t="s">
        <v>105</v>
      </c>
      <c r="Y934" s="13"/>
      <c r="Z934" s="75"/>
      <c r="AA934" s="27"/>
      <c r="AB934" s="27"/>
      <c r="AC934" s="27"/>
      <c r="AG934" s="24"/>
      <c r="AH934" s="24"/>
      <c r="AI934" s="24"/>
    </row>
    <row r="935" spans="1:35" hidden="1" x14ac:dyDescent="0.3">
      <c r="A935" s="12" t="s">
        <v>85</v>
      </c>
      <c r="B935" s="12">
        <v>167236</v>
      </c>
      <c r="C935" s="11" t="s">
        <v>1033</v>
      </c>
      <c r="D935" s="12" t="s">
        <v>1</v>
      </c>
      <c r="E935" s="12" t="s">
        <v>1185</v>
      </c>
      <c r="F935" s="12" t="s">
        <v>113</v>
      </c>
      <c r="G935" s="12" t="s">
        <v>132</v>
      </c>
      <c r="H935" s="12" t="s">
        <v>195</v>
      </c>
      <c r="I935" s="12" t="s">
        <v>115</v>
      </c>
      <c r="J935" s="11" t="s">
        <v>1062</v>
      </c>
      <c r="K935" s="11" t="s">
        <v>1062</v>
      </c>
      <c r="L935" s="11" t="s">
        <v>1195</v>
      </c>
      <c r="M935" s="11" t="s">
        <v>1063</v>
      </c>
      <c r="N935" s="66">
        <v>232889.33</v>
      </c>
      <c r="O935" s="59"/>
      <c r="P935" s="12" t="s">
        <v>1064</v>
      </c>
      <c r="Q935" s="12" t="s">
        <v>4</v>
      </c>
      <c r="R935" s="12" t="s">
        <v>15</v>
      </c>
      <c r="S935" s="12" t="s">
        <v>1065</v>
      </c>
      <c r="T935" s="12">
        <v>1</v>
      </c>
      <c r="U935" s="13">
        <v>43991</v>
      </c>
      <c r="V935" s="12" t="s">
        <v>1067</v>
      </c>
      <c r="W935" s="12" t="s">
        <v>92</v>
      </c>
      <c r="X935" s="12" t="s">
        <v>105</v>
      </c>
      <c r="Y935" s="13"/>
      <c r="Z935" s="75"/>
      <c r="AA935" s="27"/>
      <c r="AB935" s="27"/>
      <c r="AC935" s="27"/>
      <c r="AG935" s="24"/>
      <c r="AH935" s="24"/>
      <c r="AI935" s="24"/>
    </row>
    <row r="936" spans="1:35" hidden="1" x14ac:dyDescent="0.3">
      <c r="A936" s="12" t="s">
        <v>85</v>
      </c>
      <c r="B936" s="12">
        <v>167236</v>
      </c>
      <c r="C936" s="11" t="s">
        <v>1033</v>
      </c>
      <c r="D936" s="12" t="s">
        <v>1</v>
      </c>
      <c r="E936" s="12" t="s">
        <v>1185</v>
      </c>
      <c r="F936" s="12" t="s">
        <v>113</v>
      </c>
      <c r="G936" s="12" t="s">
        <v>132</v>
      </c>
      <c r="H936" s="12" t="s">
        <v>195</v>
      </c>
      <c r="I936" s="12" t="s">
        <v>115</v>
      </c>
      <c r="J936" s="11" t="s">
        <v>1062</v>
      </c>
      <c r="K936" s="11" t="s">
        <v>1062</v>
      </c>
      <c r="L936" s="11" t="s">
        <v>1195</v>
      </c>
      <c r="M936" s="11" t="s">
        <v>1063</v>
      </c>
      <c r="N936" s="66">
        <v>232889.33</v>
      </c>
      <c r="O936" s="59"/>
      <c r="P936" s="12" t="s">
        <v>1064</v>
      </c>
      <c r="Q936" s="12" t="s">
        <v>4</v>
      </c>
      <c r="R936" s="12" t="s">
        <v>21</v>
      </c>
      <c r="S936" s="12" t="s">
        <v>25</v>
      </c>
      <c r="T936" s="12">
        <v>1</v>
      </c>
      <c r="U936" s="13">
        <v>43895</v>
      </c>
      <c r="V936" s="12" t="s">
        <v>156</v>
      </c>
      <c r="W936" s="12" t="s">
        <v>92</v>
      </c>
      <c r="X936" s="15" t="s">
        <v>93</v>
      </c>
      <c r="Y936" s="13"/>
      <c r="Z936" s="75"/>
      <c r="AA936" s="27"/>
      <c r="AB936" s="27"/>
      <c r="AC936" s="27"/>
      <c r="AG936" s="24"/>
      <c r="AH936" s="24"/>
      <c r="AI936" s="24"/>
    </row>
    <row r="937" spans="1:35" hidden="1" x14ac:dyDescent="0.3">
      <c r="A937" s="12" t="s">
        <v>85</v>
      </c>
      <c r="B937" s="12">
        <v>167236</v>
      </c>
      <c r="C937" s="11" t="s">
        <v>1033</v>
      </c>
      <c r="D937" s="12" t="s">
        <v>1</v>
      </c>
      <c r="E937" s="12" t="s">
        <v>1185</v>
      </c>
      <c r="F937" s="12" t="s">
        <v>113</v>
      </c>
      <c r="G937" s="12" t="s">
        <v>132</v>
      </c>
      <c r="H937" s="12" t="s">
        <v>195</v>
      </c>
      <c r="I937" s="12" t="s">
        <v>115</v>
      </c>
      <c r="J937" s="11" t="s">
        <v>1062</v>
      </c>
      <c r="K937" s="11" t="s">
        <v>1062</v>
      </c>
      <c r="L937" s="11" t="s">
        <v>1195</v>
      </c>
      <c r="M937" s="11" t="s">
        <v>1063</v>
      </c>
      <c r="N937" s="66">
        <v>232889.33</v>
      </c>
      <c r="O937" s="59"/>
      <c r="P937" s="12" t="s">
        <v>1064</v>
      </c>
      <c r="Q937" s="12" t="s">
        <v>4</v>
      </c>
      <c r="R937" s="12" t="s">
        <v>21</v>
      </c>
      <c r="S937" s="12" t="s">
        <v>25</v>
      </c>
      <c r="T937" s="12">
        <v>1</v>
      </c>
      <c r="U937" s="13">
        <v>43902</v>
      </c>
      <c r="V937" s="12" t="s">
        <v>157</v>
      </c>
      <c r="W937" s="12" t="s">
        <v>92</v>
      </c>
      <c r="X937" s="15" t="s">
        <v>93</v>
      </c>
      <c r="Y937" s="13"/>
      <c r="Z937" s="75"/>
      <c r="AA937" s="27"/>
      <c r="AB937" s="27"/>
      <c r="AC937" s="27"/>
      <c r="AG937" s="24"/>
      <c r="AH937" s="24"/>
      <c r="AI937" s="24"/>
    </row>
    <row r="938" spans="1:35" hidden="1" x14ac:dyDescent="0.3">
      <c r="A938" s="12" t="s">
        <v>85</v>
      </c>
      <c r="B938" s="12">
        <v>167236</v>
      </c>
      <c r="C938" s="11" t="s">
        <v>1033</v>
      </c>
      <c r="D938" s="12" t="s">
        <v>1</v>
      </c>
      <c r="E938" s="12" t="s">
        <v>1185</v>
      </c>
      <c r="F938" s="12" t="s">
        <v>113</v>
      </c>
      <c r="G938" s="12" t="s">
        <v>132</v>
      </c>
      <c r="H938" s="12" t="s">
        <v>195</v>
      </c>
      <c r="I938" s="12" t="s">
        <v>115</v>
      </c>
      <c r="J938" s="11" t="s">
        <v>1062</v>
      </c>
      <c r="K938" s="11" t="s">
        <v>1062</v>
      </c>
      <c r="L938" s="11" t="s">
        <v>1195</v>
      </c>
      <c r="M938" s="11" t="s">
        <v>1063</v>
      </c>
      <c r="N938" s="66">
        <v>232889.33</v>
      </c>
      <c r="O938" s="59"/>
      <c r="P938" s="12" t="s">
        <v>1064</v>
      </c>
      <c r="Q938" s="12" t="s">
        <v>4</v>
      </c>
      <c r="R938" s="12" t="s">
        <v>21</v>
      </c>
      <c r="S938" s="12" t="s">
        <v>25</v>
      </c>
      <c r="T938" s="12">
        <v>1</v>
      </c>
      <c r="U938" s="13">
        <v>43992</v>
      </c>
      <c r="V938" s="12" t="s">
        <v>158</v>
      </c>
      <c r="W938" s="12" t="s">
        <v>92</v>
      </c>
      <c r="X938" s="15" t="s">
        <v>93</v>
      </c>
      <c r="Y938" s="13"/>
      <c r="Z938" s="75"/>
      <c r="AA938" s="27"/>
      <c r="AB938" s="27"/>
      <c r="AC938" s="27"/>
      <c r="AG938" s="24"/>
      <c r="AH938" s="24"/>
      <c r="AI938" s="24"/>
    </row>
    <row r="939" spans="1:35" hidden="1" x14ac:dyDescent="0.3">
      <c r="A939" s="12" t="s">
        <v>85</v>
      </c>
      <c r="B939" s="12">
        <v>167236</v>
      </c>
      <c r="C939" s="11" t="s">
        <v>1033</v>
      </c>
      <c r="D939" s="12" t="s">
        <v>1</v>
      </c>
      <c r="E939" s="12" t="s">
        <v>1185</v>
      </c>
      <c r="F939" s="12" t="s">
        <v>113</v>
      </c>
      <c r="G939" s="12" t="s">
        <v>132</v>
      </c>
      <c r="H939" s="12" t="s">
        <v>195</v>
      </c>
      <c r="I939" s="12" t="s">
        <v>115</v>
      </c>
      <c r="J939" s="11" t="s">
        <v>1062</v>
      </c>
      <c r="K939" s="11" t="s">
        <v>1062</v>
      </c>
      <c r="L939" s="11" t="s">
        <v>1195</v>
      </c>
      <c r="M939" s="11" t="s">
        <v>1063</v>
      </c>
      <c r="N939" s="66">
        <v>232889.33</v>
      </c>
      <c r="O939" s="59"/>
      <c r="P939" s="12" t="s">
        <v>1064</v>
      </c>
      <c r="Q939" s="12" t="s">
        <v>4</v>
      </c>
      <c r="R939" s="12" t="s">
        <v>21</v>
      </c>
      <c r="S939" s="12" t="s">
        <v>25</v>
      </c>
      <c r="T939" s="12">
        <v>1</v>
      </c>
      <c r="U939" s="13">
        <v>43997</v>
      </c>
      <c r="V939" s="12" t="s">
        <v>159</v>
      </c>
      <c r="W939" s="12" t="s">
        <v>92</v>
      </c>
      <c r="X939" s="15" t="s">
        <v>93</v>
      </c>
      <c r="Y939" s="13"/>
      <c r="Z939" s="75"/>
      <c r="AA939" s="27"/>
      <c r="AB939" s="27"/>
      <c r="AC939" s="27"/>
      <c r="AG939" s="24"/>
      <c r="AH939" s="24"/>
      <c r="AI939" s="24"/>
    </row>
    <row r="940" spans="1:35" hidden="1" x14ac:dyDescent="0.3">
      <c r="A940" s="12" t="s">
        <v>85</v>
      </c>
      <c r="B940" s="18">
        <v>167236</v>
      </c>
      <c r="C940" s="16" t="s">
        <v>1033</v>
      </c>
      <c r="D940" s="12" t="s">
        <v>1</v>
      </c>
      <c r="E940" s="12" t="s">
        <v>1185</v>
      </c>
      <c r="F940" s="12" t="s">
        <v>113</v>
      </c>
      <c r="G940" s="12" t="s">
        <v>132</v>
      </c>
      <c r="H940" s="12" t="s">
        <v>195</v>
      </c>
      <c r="I940" s="12" t="s">
        <v>115</v>
      </c>
      <c r="J940" s="11" t="s">
        <v>1062</v>
      </c>
      <c r="K940" s="11" t="s">
        <v>1062</v>
      </c>
      <c r="L940" s="11" t="s">
        <v>1195</v>
      </c>
      <c r="M940" s="11" t="s">
        <v>1063</v>
      </c>
      <c r="N940" s="66">
        <v>232889.33</v>
      </c>
      <c r="O940" s="59"/>
      <c r="P940" s="12" t="s">
        <v>1064</v>
      </c>
      <c r="Q940" s="12" t="s">
        <v>4</v>
      </c>
      <c r="R940" s="12" t="s">
        <v>21</v>
      </c>
      <c r="S940" s="12" t="s">
        <v>25</v>
      </c>
      <c r="T940" s="12">
        <v>1</v>
      </c>
      <c r="U940" s="13">
        <v>43999</v>
      </c>
      <c r="V940" s="12" t="s">
        <v>160</v>
      </c>
      <c r="W940" s="12" t="s">
        <v>92</v>
      </c>
      <c r="X940" s="15" t="s">
        <v>93</v>
      </c>
      <c r="Y940" s="17"/>
      <c r="Z940" s="75"/>
      <c r="AA940" s="27"/>
      <c r="AB940" s="27"/>
      <c r="AC940" s="27"/>
      <c r="AG940" s="24"/>
      <c r="AH940" s="24"/>
      <c r="AI940" s="24"/>
    </row>
    <row r="941" spans="1:35" hidden="1" x14ac:dyDescent="0.3">
      <c r="A941" s="12" t="s">
        <v>85</v>
      </c>
      <c r="B941" s="12">
        <v>167236</v>
      </c>
      <c r="C941" s="11" t="s">
        <v>1033</v>
      </c>
      <c r="D941" s="12" t="s">
        <v>1</v>
      </c>
      <c r="E941" s="12" t="s">
        <v>1185</v>
      </c>
      <c r="F941" s="12" t="s">
        <v>113</v>
      </c>
      <c r="G941" s="12" t="s">
        <v>132</v>
      </c>
      <c r="H941" s="12" t="s">
        <v>195</v>
      </c>
      <c r="I941" s="12" t="s">
        <v>115</v>
      </c>
      <c r="J941" s="11" t="s">
        <v>1062</v>
      </c>
      <c r="K941" s="11" t="s">
        <v>1062</v>
      </c>
      <c r="L941" s="11" t="s">
        <v>1195</v>
      </c>
      <c r="M941" s="11" t="s">
        <v>1063</v>
      </c>
      <c r="N941" s="66">
        <v>232889.33</v>
      </c>
      <c r="O941" s="59"/>
      <c r="P941" s="12" t="s">
        <v>1064</v>
      </c>
      <c r="Q941" s="12" t="s">
        <v>4</v>
      </c>
      <c r="R941" s="12" t="s">
        <v>21</v>
      </c>
      <c r="S941" s="12" t="s">
        <v>25</v>
      </c>
      <c r="T941" s="12">
        <v>1</v>
      </c>
      <c r="U941" s="13">
        <v>44014</v>
      </c>
      <c r="V941" s="12" t="s">
        <v>161</v>
      </c>
      <c r="W941" s="12" t="s">
        <v>92</v>
      </c>
      <c r="X941" s="15" t="s">
        <v>93</v>
      </c>
      <c r="Y941" s="13"/>
      <c r="Z941" s="75"/>
      <c r="AA941" s="27"/>
      <c r="AB941" s="27"/>
      <c r="AC941" s="27"/>
      <c r="AG941" s="24"/>
      <c r="AH941" s="24"/>
      <c r="AI941" s="24"/>
    </row>
    <row r="942" spans="1:35" hidden="1" x14ac:dyDescent="0.3">
      <c r="A942" s="12" t="s">
        <v>85</v>
      </c>
      <c r="B942" s="12">
        <v>167236</v>
      </c>
      <c r="C942" s="11" t="s">
        <v>1033</v>
      </c>
      <c r="D942" s="12" t="s">
        <v>1</v>
      </c>
      <c r="E942" s="12" t="s">
        <v>1185</v>
      </c>
      <c r="F942" s="12" t="s">
        <v>113</v>
      </c>
      <c r="G942" s="12" t="s">
        <v>132</v>
      </c>
      <c r="H942" s="12" t="s">
        <v>195</v>
      </c>
      <c r="I942" s="12" t="s">
        <v>115</v>
      </c>
      <c r="J942" s="11" t="s">
        <v>1062</v>
      </c>
      <c r="K942" s="11" t="s">
        <v>1062</v>
      </c>
      <c r="L942" s="11" t="s">
        <v>1195</v>
      </c>
      <c r="M942" s="11" t="s">
        <v>1063</v>
      </c>
      <c r="N942" s="66">
        <v>232889.33</v>
      </c>
      <c r="O942" s="59"/>
      <c r="P942" s="12" t="s">
        <v>1064</v>
      </c>
      <c r="Q942" s="12" t="s">
        <v>4</v>
      </c>
      <c r="R942" s="12" t="s">
        <v>15</v>
      </c>
      <c r="S942" s="12" t="s">
        <v>1065</v>
      </c>
      <c r="T942" s="12">
        <v>1</v>
      </c>
      <c r="U942" s="13">
        <v>44035</v>
      </c>
      <c r="V942" s="12" t="s">
        <v>1068</v>
      </c>
      <c r="W942" s="12" t="s">
        <v>92</v>
      </c>
      <c r="X942" s="18" t="s">
        <v>105</v>
      </c>
      <c r="Y942" s="13"/>
      <c r="Z942" s="75"/>
      <c r="AA942" s="27"/>
      <c r="AB942" s="27"/>
      <c r="AC942" s="27"/>
      <c r="AG942" s="24"/>
      <c r="AH942" s="24"/>
      <c r="AI942" s="24"/>
    </row>
    <row r="943" spans="1:35" hidden="1" x14ac:dyDescent="0.3">
      <c r="A943" s="12" t="s">
        <v>85</v>
      </c>
      <c r="B943" s="12">
        <v>169306</v>
      </c>
      <c r="C943" s="11" t="s">
        <v>527</v>
      </c>
      <c r="D943" s="12" t="s">
        <v>1</v>
      </c>
      <c r="E943" s="12" t="s">
        <v>1185</v>
      </c>
      <c r="F943" s="12" t="s">
        <v>87</v>
      </c>
      <c r="G943" s="12" t="s">
        <v>113</v>
      </c>
      <c r="H943" s="12" t="s">
        <v>528</v>
      </c>
      <c r="I943" s="12" t="s">
        <v>125</v>
      </c>
      <c r="J943" s="11" t="s">
        <v>529</v>
      </c>
      <c r="K943" s="11" t="s">
        <v>529</v>
      </c>
      <c r="L943" s="11" t="s">
        <v>1212</v>
      </c>
      <c r="M943" s="11" t="s">
        <v>537</v>
      </c>
      <c r="N943" s="57">
        <v>14000</v>
      </c>
      <c r="O943" s="59"/>
      <c r="P943" s="12" t="s">
        <v>1069</v>
      </c>
      <c r="Q943" s="12" t="s">
        <v>4</v>
      </c>
      <c r="R943" s="12" t="s">
        <v>13</v>
      </c>
      <c r="S943" s="12" t="s">
        <v>25</v>
      </c>
      <c r="T943" s="12">
        <v>1</v>
      </c>
      <c r="U943" s="13">
        <v>44028</v>
      </c>
      <c r="V943" s="12" t="s">
        <v>94</v>
      </c>
      <c r="W943" s="12" t="s">
        <v>92</v>
      </c>
      <c r="X943" s="12" t="s">
        <v>93</v>
      </c>
      <c r="Y943" s="13"/>
      <c r="Z943" s="75"/>
      <c r="AA943" s="27"/>
      <c r="AB943" s="27"/>
      <c r="AC943" s="27"/>
      <c r="AG943" s="24"/>
      <c r="AH943" s="24"/>
      <c r="AI943" s="24"/>
    </row>
    <row r="944" spans="1:35" hidden="1" x14ac:dyDescent="0.3">
      <c r="A944" s="12" t="s">
        <v>85</v>
      </c>
      <c r="B944" s="12">
        <v>178667</v>
      </c>
      <c r="C944" s="11" t="s">
        <v>1070</v>
      </c>
      <c r="D944" s="12" t="s">
        <v>1</v>
      </c>
      <c r="E944" s="12" t="s">
        <v>1185</v>
      </c>
      <c r="F944" s="12" t="s">
        <v>87</v>
      </c>
      <c r="G944" s="12" t="s">
        <v>87</v>
      </c>
      <c r="H944" s="12" t="s">
        <v>528</v>
      </c>
      <c r="I944" s="12" t="s">
        <v>125</v>
      </c>
      <c r="J944" s="11" t="s">
        <v>1071</v>
      </c>
      <c r="K944" s="11" t="s">
        <v>1071</v>
      </c>
      <c r="L944" s="11" t="s">
        <v>1197</v>
      </c>
      <c r="M944" s="11" t="s">
        <v>1072</v>
      </c>
      <c r="N944" s="57">
        <v>2693.13</v>
      </c>
      <c r="O944" s="59" t="s">
        <v>289</v>
      </c>
      <c r="P944" s="12" t="s">
        <v>1073</v>
      </c>
      <c r="Q944" s="12" t="s">
        <v>4</v>
      </c>
      <c r="R944" s="12" t="s">
        <v>15</v>
      </c>
      <c r="S944" s="12" t="s">
        <v>25</v>
      </c>
      <c r="T944" s="12">
        <v>0</v>
      </c>
      <c r="U944" s="13"/>
      <c r="V944" s="12" t="s">
        <v>92</v>
      </c>
      <c r="W944" s="12" t="s">
        <v>92</v>
      </c>
      <c r="X944" s="18" t="s">
        <v>1074</v>
      </c>
      <c r="Y944" s="13"/>
      <c r="Z944" s="75"/>
      <c r="AA944" s="27"/>
      <c r="AB944" s="27"/>
      <c r="AC944" s="27"/>
      <c r="AG944" s="24"/>
      <c r="AH944" s="24"/>
      <c r="AI944" s="24"/>
    </row>
    <row r="945" spans="1:35" hidden="1" x14ac:dyDescent="0.3">
      <c r="A945" s="12" t="s">
        <v>85</v>
      </c>
      <c r="B945" s="18">
        <v>195794</v>
      </c>
      <c r="C945" s="16" t="s">
        <v>1051</v>
      </c>
      <c r="D945" s="18" t="s">
        <v>1</v>
      </c>
      <c r="E945" s="12" t="s">
        <v>1185</v>
      </c>
      <c r="F945" s="12" t="s">
        <v>87</v>
      </c>
      <c r="G945" s="12" t="s">
        <v>113</v>
      </c>
      <c r="H945" s="18" t="s">
        <v>1052</v>
      </c>
      <c r="I945" s="18" t="s">
        <v>125</v>
      </c>
      <c r="J945" s="16" t="s">
        <v>1075</v>
      </c>
      <c r="K945" s="16" t="s">
        <v>1075</v>
      </c>
      <c r="L945" s="16" t="s">
        <v>1194</v>
      </c>
      <c r="M945" s="16" t="s">
        <v>1076</v>
      </c>
      <c r="N945" s="63">
        <v>0</v>
      </c>
      <c r="O945" s="63">
        <v>373.01</v>
      </c>
      <c r="P945" s="18"/>
      <c r="Q945" s="18" t="s">
        <v>12</v>
      </c>
      <c r="R945" s="12" t="s">
        <v>99</v>
      </c>
      <c r="S945" s="12" t="s">
        <v>99</v>
      </c>
      <c r="T945" s="12">
        <v>1</v>
      </c>
      <c r="U945" s="13">
        <v>44012</v>
      </c>
      <c r="V945" s="18" t="s">
        <v>1077</v>
      </c>
      <c r="W945" s="12" t="s">
        <v>92</v>
      </c>
      <c r="X945" s="12" t="s">
        <v>93</v>
      </c>
      <c r="Y945" s="17">
        <v>44012</v>
      </c>
      <c r="Z945" s="75"/>
      <c r="AA945" s="27"/>
      <c r="AB945" s="27"/>
      <c r="AC945" s="27"/>
      <c r="AG945" s="24"/>
      <c r="AH945" s="24"/>
      <c r="AI945" s="24"/>
    </row>
    <row r="946" spans="1:35" hidden="1" x14ac:dyDescent="0.3">
      <c r="A946" s="12" t="s">
        <v>85</v>
      </c>
      <c r="B946" s="18">
        <v>346579</v>
      </c>
      <c r="C946" s="16" t="s">
        <v>1078</v>
      </c>
      <c r="D946" s="18" t="s">
        <v>1</v>
      </c>
      <c r="E946" s="12" t="s">
        <v>1185</v>
      </c>
      <c r="F946" s="18" t="s">
        <v>87</v>
      </c>
      <c r="G946" s="12" t="s">
        <v>113</v>
      </c>
      <c r="H946" s="18" t="s">
        <v>1079</v>
      </c>
      <c r="I946" s="18" t="s">
        <v>200</v>
      </c>
      <c r="J946" s="16" t="s">
        <v>1242</v>
      </c>
      <c r="K946" s="16" t="s">
        <v>1242</v>
      </c>
      <c r="L946" s="11" t="s">
        <v>1212</v>
      </c>
      <c r="M946" s="16" t="s">
        <v>1080</v>
      </c>
      <c r="N946" s="64">
        <v>26871.05</v>
      </c>
      <c r="O946" s="65">
        <v>6360</v>
      </c>
      <c r="P946" s="18" t="s">
        <v>1081</v>
      </c>
      <c r="Q946" s="12" t="s">
        <v>4</v>
      </c>
      <c r="R946" s="18" t="s">
        <v>13</v>
      </c>
      <c r="S946" s="18" t="s">
        <v>25</v>
      </c>
      <c r="T946" s="12">
        <v>1</v>
      </c>
      <c r="U946" s="13">
        <v>44028</v>
      </c>
      <c r="V946" s="18" t="s">
        <v>94</v>
      </c>
      <c r="W946" s="12" t="s">
        <v>92</v>
      </c>
      <c r="X946" s="12" t="s">
        <v>93</v>
      </c>
      <c r="Y946" s="17"/>
      <c r="Z946" s="75"/>
      <c r="AA946" s="27"/>
      <c r="AB946" s="27"/>
      <c r="AC946" s="27"/>
      <c r="AG946" s="24"/>
      <c r="AH946" s="24"/>
      <c r="AI946" s="24"/>
    </row>
    <row r="947" spans="1:35" hidden="1" x14ac:dyDescent="0.3">
      <c r="A947" s="12" t="s">
        <v>85</v>
      </c>
      <c r="B947" s="12" t="s">
        <v>56</v>
      </c>
      <c r="C947" s="11" t="s">
        <v>820</v>
      </c>
      <c r="D947" s="12" t="s">
        <v>1</v>
      </c>
      <c r="E947" s="12" t="s">
        <v>1185</v>
      </c>
      <c r="F947" s="12" t="s">
        <v>113</v>
      </c>
      <c r="G947" s="12" t="s">
        <v>87</v>
      </c>
      <c r="H947" s="12" t="s">
        <v>153</v>
      </c>
      <c r="I947" s="12" t="s">
        <v>115</v>
      </c>
      <c r="J947" s="11" t="s">
        <v>821</v>
      </c>
      <c r="K947" s="11" t="s">
        <v>821</v>
      </c>
      <c r="L947" s="11" t="s">
        <v>1194</v>
      </c>
      <c r="M947" s="11" t="s">
        <v>822</v>
      </c>
      <c r="N947" s="57">
        <v>172005.53</v>
      </c>
      <c r="O947" s="59"/>
      <c r="P947" s="12" t="s">
        <v>1082</v>
      </c>
      <c r="Q947" s="12" t="s">
        <v>4</v>
      </c>
      <c r="R947" s="12" t="s">
        <v>15</v>
      </c>
      <c r="S947" s="12" t="s">
        <v>29</v>
      </c>
      <c r="T947" s="12">
        <v>1</v>
      </c>
      <c r="U947" s="13">
        <v>43671</v>
      </c>
      <c r="V947" s="12" t="s">
        <v>1083</v>
      </c>
      <c r="W947" s="12" t="s">
        <v>92</v>
      </c>
      <c r="X947" s="12" t="s">
        <v>93</v>
      </c>
      <c r="Y947" s="13"/>
      <c r="Z947" s="75"/>
      <c r="AA947" s="27"/>
      <c r="AB947" s="27"/>
      <c r="AC947" s="27"/>
      <c r="AG947" s="24"/>
      <c r="AH947" s="24"/>
      <c r="AI947" s="24"/>
    </row>
    <row r="948" spans="1:35" hidden="1" x14ac:dyDescent="0.3">
      <c r="A948" s="12" t="s">
        <v>85</v>
      </c>
      <c r="B948" s="12" t="s">
        <v>56</v>
      </c>
      <c r="C948" s="11" t="s">
        <v>820</v>
      </c>
      <c r="D948" s="12" t="s">
        <v>1</v>
      </c>
      <c r="E948" s="12" t="s">
        <v>1185</v>
      </c>
      <c r="F948" s="12" t="s">
        <v>113</v>
      </c>
      <c r="G948" s="12" t="s">
        <v>87</v>
      </c>
      <c r="H948" s="12" t="s">
        <v>153</v>
      </c>
      <c r="I948" s="12" t="s">
        <v>115</v>
      </c>
      <c r="J948" s="11" t="s">
        <v>821</v>
      </c>
      <c r="K948" s="11" t="s">
        <v>821</v>
      </c>
      <c r="L948" s="11" t="s">
        <v>1194</v>
      </c>
      <c r="M948" s="11" t="s">
        <v>822</v>
      </c>
      <c r="N948" s="57">
        <v>172005.53</v>
      </c>
      <c r="O948" s="59"/>
      <c r="P948" s="12" t="s">
        <v>1082</v>
      </c>
      <c r="Q948" s="12" t="s">
        <v>4</v>
      </c>
      <c r="R948" s="12" t="s">
        <v>15</v>
      </c>
      <c r="S948" s="12" t="s">
        <v>29</v>
      </c>
      <c r="T948" s="12">
        <v>1</v>
      </c>
      <c r="U948" s="13">
        <v>43725</v>
      </c>
      <c r="V948" s="12" t="s">
        <v>1084</v>
      </c>
      <c r="W948" s="12" t="s">
        <v>92</v>
      </c>
      <c r="X948" s="12" t="s">
        <v>93</v>
      </c>
      <c r="Y948" s="13"/>
      <c r="Z948" s="75"/>
      <c r="AA948" s="27"/>
      <c r="AB948" s="27"/>
      <c r="AC948" s="27"/>
      <c r="AG948" s="24"/>
      <c r="AH948" s="24"/>
      <c r="AI948" s="24"/>
    </row>
    <row r="949" spans="1:35" hidden="1" x14ac:dyDescent="0.3">
      <c r="A949" s="12" t="s">
        <v>85</v>
      </c>
      <c r="B949" s="12" t="s">
        <v>56</v>
      </c>
      <c r="C949" s="11" t="s">
        <v>820</v>
      </c>
      <c r="D949" s="12" t="s">
        <v>1</v>
      </c>
      <c r="E949" s="12" t="s">
        <v>1185</v>
      </c>
      <c r="F949" s="12" t="s">
        <v>113</v>
      </c>
      <c r="G949" s="12" t="s">
        <v>87</v>
      </c>
      <c r="H949" s="12" t="s">
        <v>153</v>
      </c>
      <c r="I949" s="12" t="s">
        <v>115</v>
      </c>
      <c r="J949" s="11" t="s">
        <v>821</v>
      </c>
      <c r="K949" s="11" t="s">
        <v>821</v>
      </c>
      <c r="L949" s="11" t="s">
        <v>1194</v>
      </c>
      <c r="M949" s="11" t="s">
        <v>822</v>
      </c>
      <c r="N949" s="57">
        <v>172005.53</v>
      </c>
      <c r="O949" s="59"/>
      <c r="P949" s="12" t="s">
        <v>1082</v>
      </c>
      <c r="Q949" s="12" t="s">
        <v>4</v>
      </c>
      <c r="R949" s="12" t="s">
        <v>15</v>
      </c>
      <c r="S949" s="12" t="s">
        <v>29</v>
      </c>
      <c r="T949" s="12">
        <v>1</v>
      </c>
      <c r="U949" s="13">
        <v>43753</v>
      </c>
      <c r="V949" s="12" t="s">
        <v>1085</v>
      </c>
      <c r="W949" s="12" t="s">
        <v>92</v>
      </c>
      <c r="X949" s="12" t="s">
        <v>93</v>
      </c>
      <c r="Y949" s="13"/>
      <c r="Z949" s="75"/>
      <c r="AA949" s="27"/>
      <c r="AB949" s="27"/>
      <c r="AC949" s="27"/>
      <c r="AG949" s="24"/>
      <c r="AH949" s="24"/>
      <c r="AI949" s="24"/>
    </row>
    <row r="950" spans="1:35" hidden="1" x14ac:dyDescent="0.3">
      <c r="A950" s="12" t="s">
        <v>85</v>
      </c>
      <c r="B950" s="12" t="s">
        <v>56</v>
      </c>
      <c r="C950" s="11" t="s">
        <v>820</v>
      </c>
      <c r="D950" s="12" t="s">
        <v>1</v>
      </c>
      <c r="E950" s="12" t="s">
        <v>1185</v>
      </c>
      <c r="F950" s="12" t="s">
        <v>113</v>
      </c>
      <c r="G950" s="12" t="s">
        <v>87</v>
      </c>
      <c r="H950" s="12" t="s">
        <v>153</v>
      </c>
      <c r="I950" s="12" t="s">
        <v>115</v>
      </c>
      <c r="J950" s="11" t="s">
        <v>821</v>
      </c>
      <c r="K950" s="11" t="s">
        <v>821</v>
      </c>
      <c r="L950" s="11" t="s">
        <v>1194</v>
      </c>
      <c r="M950" s="11" t="s">
        <v>822</v>
      </c>
      <c r="N950" s="57">
        <v>172005.53</v>
      </c>
      <c r="O950" s="59"/>
      <c r="P950" s="12" t="s">
        <v>1082</v>
      </c>
      <c r="Q950" s="12" t="s">
        <v>4</v>
      </c>
      <c r="R950" s="12" t="s">
        <v>15</v>
      </c>
      <c r="S950" s="12" t="s">
        <v>29</v>
      </c>
      <c r="T950" s="12">
        <v>1</v>
      </c>
      <c r="U950" s="13">
        <v>43837</v>
      </c>
      <c r="V950" s="12" t="s">
        <v>1086</v>
      </c>
      <c r="W950" s="12" t="s">
        <v>92</v>
      </c>
      <c r="X950" s="12" t="s">
        <v>93</v>
      </c>
      <c r="Y950" s="13"/>
      <c r="Z950" s="75"/>
      <c r="AA950" s="27"/>
      <c r="AB950" s="27"/>
      <c r="AC950" s="27"/>
      <c r="AG950" s="24"/>
      <c r="AH950" s="24"/>
      <c r="AI950" s="24"/>
    </row>
    <row r="951" spans="1:35" hidden="1" x14ac:dyDescent="0.3">
      <c r="A951" s="12" t="s">
        <v>85</v>
      </c>
      <c r="B951" s="12" t="s">
        <v>56</v>
      </c>
      <c r="C951" s="11" t="s">
        <v>820</v>
      </c>
      <c r="D951" s="12" t="s">
        <v>1</v>
      </c>
      <c r="E951" s="12" t="s">
        <v>1185</v>
      </c>
      <c r="F951" s="12" t="s">
        <v>113</v>
      </c>
      <c r="G951" s="12" t="s">
        <v>87</v>
      </c>
      <c r="H951" s="12" t="s">
        <v>153</v>
      </c>
      <c r="I951" s="12" t="s">
        <v>115</v>
      </c>
      <c r="J951" s="11" t="s">
        <v>821</v>
      </c>
      <c r="K951" s="11" t="s">
        <v>821</v>
      </c>
      <c r="L951" s="11" t="s">
        <v>1194</v>
      </c>
      <c r="M951" s="11" t="s">
        <v>822</v>
      </c>
      <c r="N951" s="57">
        <v>172005.53</v>
      </c>
      <c r="O951" s="59"/>
      <c r="P951" s="12" t="s">
        <v>1082</v>
      </c>
      <c r="Q951" s="12" t="s">
        <v>4</v>
      </c>
      <c r="R951" s="12" t="s">
        <v>15</v>
      </c>
      <c r="S951" s="12" t="s">
        <v>29</v>
      </c>
      <c r="T951" s="12">
        <v>1</v>
      </c>
      <c r="U951" s="13">
        <v>43843</v>
      </c>
      <c r="V951" s="12" t="s">
        <v>1087</v>
      </c>
      <c r="W951" s="12" t="s">
        <v>92</v>
      </c>
      <c r="X951" s="12" t="s">
        <v>93</v>
      </c>
      <c r="Y951" s="13"/>
      <c r="Z951" s="75"/>
      <c r="AA951" s="27"/>
      <c r="AB951" s="27"/>
      <c r="AC951" s="27"/>
      <c r="AG951" s="24"/>
      <c r="AH951" s="24"/>
      <c r="AI951" s="24"/>
    </row>
    <row r="952" spans="1:35" hidden="1" x14ac:dyDescent="0.3">
      <c r="A952" s="12" t="s">
        <v>85</v>
      </c>
      <c r="B952" s="18" t="s">
        <v>56</v>
      </c>
      <c r="C952" s="16" t="s">
        <v>820</v>
      </c>
      <c r="D952" s="18" t="s">
        <v>1</v>
      </c>
      <c r="E952" s="12" t="s">
        <v>1185</v>
      </c>
      <c r="F952" s="18" t="s">
        <v>113</v>
      </c>
      <c r="G952" s="12" t="s">
        <v>87</v>
      </c>
      <c r="H952" s="18" t="s">
        <v>153</v>
      </c>
      <c r="I952" s="18" t="s">
        <v>115</v>
      </c>
      <c r="J952" s="16" t="s">
        <v>821</v>
      </c>
      <c r="K952" s="16" t="s">
        <v>821</v>
      </c>
      <c r="L952" s="11" t="s">
        <v>1194</v>
      </c>
      <c r="M952" s="16" t="s">
        <v>822</v>
      </c>
      <c r="N952" s="57">
        <v>172005.53</v>
      </c>
      <c r="O952" s="59"/>
      <c r="P952" s="18" t="s">
        <v>1082</v>
      </c>
      <c r="Q952" s="18" t="s">
        <v>4</v>
      </c>
      <c r="R952" s="18" t="s">
        <v>15</v>
      </c>
      <c r="S952" s="18" t="s">
        <v>29</v>
      </c>
      <c r="T952" s="12">
        <v>1</v>
      </c>
      <c r="U952" s="13">
        <v>43847</v>
      </c>
      <c r="V952" s="18" t="s">
        <v>1088</v>
      </c>
      <c r="W952" s="12" t="s">
        <v>92</v>
      </c>
      <c r="X952" s="12" t="s">
        <v>93</v>
      </c>
      <c r="Y952" s="17"/>
      <c r="Z952" s="75"/>
      <c r="AA952" s="27"/>
      <c r="AB952" s="27"/>
      <c r="AC952" s="27"/>
      <c r="AG952" s="24"/>
      <c r="AH952" s="24"/>
      <c r="AI952" s="24"/>
    </row>
    <row r="953" spans="1:35" hidden="1" x14ac:dyDescent="0.3">
      <c r="A953" s="12" t="s">
        <v>85</v>
      </c>
      <c r="B953" s="12" t="s">
        <v>56</v>
      </c>
      <c r="C953" s="11" t="s">
        <v>820</v>
      </c>
      <c r="D953" s="12" t="s">
        <v>1</v>
      </c>
      <c r="E953" s="12" t="s">
        <v>1185</v>
      </c>
      <c r="F953" s="12" t="s">
        <v>113</v>
      </c>
      <c r="G953" s="12" t="s">
        <v>87</v>
      </c>
      <c r="H953" s="12" t="s">
        <v>153</v>
      </c>
      <c r="I953" s="12" t="s">
        <v>115</v>
      </c>
      <c r="J953" s="11" t="s">
        <v>821</v>
      </c>
      <c r="K953" s="11" t="s">
        <v>821</v>
      </c>
      <c r="L953" s="11" t="s">
        <v>1194</v>
      </c>
      <c r="M953" s="11" t="s">
        <v>822</v>
      </c>
      <c r="N953" s="57">
        <v>172005.53</v>
      </c>
      <c r="O953" s="59"/>
      <c r="P953" s="12" t="s">
        <v>1082</v>
      </c>
      <c r="Q953" s="12" t="s">
        <v>4</v>
      </c>
      <c r="R953" s="12" t="s">
        <v>15</v>
      </c>
      <c r="S953" s="12" t="s">
        <v>29</v>
      </c>
      <c r="T953" s="12">
        <v>1</v>
      </c>
      <c r="U953" s="13">
        <v>43906</v>
      </c>
      <c r="V953" s="12" t="s">
        <v>1089</v>
      </c>
      <c r="W953" s="12" t="s">
        <v>92</v>
      </c>
      <c r="X953" s="12" t="s">
        <v>93</v>
      </c>
      <c r="Y953" s="13"/>
      <c r="Z953" s="75"/>
      <c r="AA953" s="27"/>
      <c r="AB953" s="27"/>
      <c r="AC953" s="27"/>
      <c r="AG953" s="24"/>
      <c r="AH953" s="24"/>
      <c r="AI953" s="24"/>
    </row>
    <row r="954" spans="1:35" hidden="1" x14ac:dyDescent="0.3">
      <c r="A954" s="12" t="s">
        <v>85</v>
      </c>
      <c r="B954" s="12" t="s">
        <v>56</v>
      </c>
      <c r="C954" s="11" t="s">
        <v>820</v>
      </c>
      <c r="D954" s="12" t="s">
        <v>1</v>
      </c>
      <c r="E954" s="12" t="s">
        <v>1185</v>
      </c>
      <c r="F954" s="12" t="s">
        <v>113</v>
      </c>
      <c r="G954" s="12" t="s">
        <v>87</v>
      </c>
      <c r="H954" s="12" t="s">
        <v>153</v>
      </c>
      <c r="I954" s="12" t="s">
        <v>115</v>
      </c>
      <c r="J954" s="11" t="s">
        <v>821</v>
      </c>
      <c r="K954" s="11" t="s">
        <v>821</v>
      </c>
      <c r="L954" s="11" t="s">
        <v>1194</v>
      </c>
      <c r="M954" s="11" t="s">
        <v>822</v>
      </c>
      <c r="N954" s="57">
        <v>172005.53</v>
      </c>
      <c r="O954" s="59"/>
      <c r="P954" s="12" t="s">
        <v>1082</v>
      </c>
      <c r="Q954" s="12" t="s">
        <v>4</v>
      </c>
      <c r="R954" s="12" t="s">
        <v>15</v>
      </c>
      <c r="S954" s="12" t="s">
        <v>29</v>
      </c>
      <c r="T954" s="12">
        <v>1</v>
      </c>
      <c r="U954" s="13">
        <v>43938</v>
      </c>
      <c r="V954" s="12" t="s">
        <v>1090</v>
      </c>
      <c r="W954" s="12" t="s">
        <v>92</v>
      </c>
      <c r="X954" s="12" t="s">
        <v>93</v>
      </c>
      <c r="Y954" s="13"/>
      <c r="Z954" s="75"/>
      <c r="AA954" s="27"/>
      <c r="AB954" s="27"/>
      <c r="AC954" s="27"/>
      <c r="AG954" s="24"/>
      <c r="AH954" s="24"/>
      <c r="AI954" s="24"/>
    </row>
    <row r="955" spans="1:35" hidden="1" x14ac:dyDescent="0.3">
      <c r="A955" s="12" t="s">
        <v>85</v>
      </c>
      <c r="B955" s="12" t="s">
        <v>56</v>
      </c>
      <c r="C955" s="11" t="s">
        <v>820</v>
      </c>
      <c r="D955" s="12" t="s">
        <v>1</v>
      </c>
      <c r="E955" s="12" t="s">
        <v>1185</v>
      </c>
      <c r="F955" s="12" t="s">
        <v>113</v>
      </c>
      <c r="G955" s="12" t="s">
        <v>87</v>
      </c>
      <c r="H955" s="12" t="s">
        <v>153</v>
      </c>
      <c r="I955" s="12" t="s">
        <v>115</v>
      </c>
      <c r="J955" s="11" t="s">
        <v>821</v>
      </c>
      <c r="K955" s="11" t="s">
        <v>821</v>
      </c>
      <c r="L955" s="11" t="s">
        <v>1194</v>
      </c>
      <c r="M955" s="11" t="s">
        <v>822</v>
      </c>
      <c r="N955" s="57">
        <v>172005.53</v>
      </c>
      <c r="O955" s="59"/>
      <c r="P955" s="12" t="s">
        <v>1082</v>
      </c>
      <c r="Q955" s="12" t="s">
        <v>4</v>
      </c>
      <c r="R955" s="12" t="s">
        <v>15</v>
      </c>
      <c r="S955" s="12" t="s">
        <v>29</v>
      </c>
      <c r="T955" s="12">
        <v>1</v>
      </c>
      <c r="U955" s="13">
        <v>43962</v>
      </c>
      <c r="V955" s="12" t="s">
        <v>1091</v>
      </c>
      <c r="W955" s="12" t="s">
        <v>92</v>
      </c>
      <c r="X955" s="12" t="s">
        <v>93</v>
      </c>
      <c r="Y955" s="13"/>
      <c r="Z955" s="75"/>
      <c r="AA955" s="27"/>
      <c r="AB955" s="27"/>
      <c r="AC955" s="27"/>
      <c r="AG955" s="24"/>
      <c r="AH955" s="24"/>
      <c r="AI955" s="24"/>
    </row>
    <row r="956" spans="1:35" hidden="1" x14ac:dyDescent="0.3">
      <c r="A956" s="12" t="s">
        <v>85</v>
      </c>
      <c r="B956" s="12" t="s">
        <v>56</v>
      </c>
      <c r="C956" s="11" t="s">
        <v>820</v>
      </c>
      <c r="D956" s="12" t="s">
        <v>1</v>
      </c>
      <c r="E956" s="12" t="s">
        <v>1185</v>
      </c>
      <c r="F956" s="12" t="s">
        <v>113</v>
      </c>
      <c r="G956" s="12" t="s">
        <v>87</v>
      </c>
      <c r="H956" s="12" t="s">
        <v>153</v>
      </c>
      <c r="I956" s="12" t="s">
        <v>115</v>
      </c>
      <c r="J956" s="11" t="s">
        <v>821</v>
      </c>
      <c r="K956" s="11" t="s">
        <v>821</v>
      </c>
      <c r="L956" s="11" t="s">
        <v>1194</v>
      </c>
      <c r="M956" s="11" t="s">
        <v>822</v>
      </c>
      <c r="N956" s="57">
        <v>172005.53</v>
      </c>
      <c r="O956" s="59"/>
      <c r="P956" s="12" t="s">
        <v>1082</v>
      </c>
      <c r="Q956" s="12" t="s">
        <v>4</v>
      </c>
      <c r="R956" s="12" t="s">
        <v>15</v>
      </c>
      <c r="S956" s="12" t="s">
        <v>29</v>
      </c>
      <c r="T956" s="12">
        <v>1</v>
      </c>
      <c r="U956" s="13">
        <v>43998</v>
      </c>
      <c r="V956" s="12" t="s">
        <v>1092</v>
      </c>
      <c r="W956" s="12" t="s">
        <v>92</v>
      </c>
      <c r="X956" s="12" t="s">
        <v>93</v>
      </c>
      <c r="Y956" s="13"/>
      <c r="Z956" s="75"/>
      <c r="AA956" s="27"/>
      <c r="AB956" s="27"/>
      <c r="AC956" s="27"/>
      <c r="AG956" s="24"/>
      <c r="AH956" s="24"/>
      <c r="AI956" s="24"/>
    </row>
    <row r="957" spans="1:35" hidden="1" x14ac:dyDescent="0.3">
      <c r="A957" s="12" t="s">
        <v>85</v>
      </c>
      <c r="B957" s="18" t="s">
        <v>56</v>
      </c>
      <c r="C957" s="16" t="s">
        <v>820</v>
      </c>
      <c r="D957" s="18" t="s">
        <v>1</v>
      </c>
      <c r="E957" s="12" t="s">
        <v>1185</v>
      </c>
      <c r="F957" s="18" t="s">
        <v>113</v>
      </c>
      <c r="G957" s="12" t="s">
        <v>87</v>
      </c>
      <c r="H957" s="18" t="s">
        <v>153</v>
      </c>
      <c r="I957" s="18" t="s">
        <v>115</v>
      </c>
      <c r="J957" s="16" t="s">
        <v>821</v>
      </c>
      <c r="K957" s="16" t="s">
        <v>821</v>
      </c>
      <c r="L957" s="11" t="s">
        <v>1194</v>
      </c>
      <c r="M957" s="16" t="s">
        <v>822</v>
      </c>
      <c r="N957" s="57">
        <v>172005.53</v>
      </c>
      <c r="O957" s="59"/>
      <c r="P957" s="18" t="s">
        <v>1082</v>
      </c>
      <c r="Q957" s="18" t="s">
        <v>4</v>
      </c>
      <c r="R957" s="18" t="s">
        <v>15</v>
      </c>
      <c r="S957" s="18" t="s">
        <v>29</v>
      </c>
      <c r="T957" s="12">
        <v>1</v>
      </c>
      <c r="U957" s="13">
        <v>44028</v>
      </c>
      <c r="V957" s="18" t="s">
        <v>1093</v>
      </c>
      <c r="W957" s="12" t="s">
        <v>92</v>
      </c>
      <c r="X957" s="12" t="s">
        <v>93</v>
      </c>
      <c r="Y957" s="17"/>
      <c r="Z957" s="75"/>
      <c r="AA957" s="27"/>
      <c r="AB957" s="27"/>
      <c r="AC957" s="27"/>
      <c r="AG957" s="24"/>
      <c r="AH957" s="24"/>
      <c r="AI957" s="24"/>
    </row>
    <row r="958" spans="1:35" hidden="1" x14ac:dyDescent="0.3">
      <c r="A958" s="12" t="s">
        <v>85</v>
      </c>
      <c r="B958" s="18">
        <v>2635</v>
      </c>
      <c r="C958" s="16" t="s">
        <v>95</v>
      </c>
      <c r="D958" s="18" t="s">
        <v>1</v>
      </c>
      <c r="E958" s="12" t="s">
        <v>1185</v>
      </c>
      <c r="F958" s="34" t="s">
        <v>87</v>
      </c>
      <c r="G958" s="12" t="s">
        <v>113</v>
      </c>
      <c r="H958" s="34" t="s">
        <v>96</v>
      </c>
      <c r="I958" s="34" t="s">
        <v>89</v>
      </c>
      <c r="J958" s="19" t="s">
        <v>291</v>
      </c>
      <c r="K958" s="19" t="s">
        <v>291</v>
      </c>
      <c r="L958" s="19" t="s">
        <v>1195</v>
      </c>
      <c r="M958" s="19" t="s">
        <v>1094</v>
      </c>
      <c r="N958" s="64">
        <v>402.56</v>
      </c>
      <c r="O958" s="67"/>
      <c r="P958" s="34"/>
      <c r="Q958" s="18" t="s">
        <v>12</v>
      </c>
      <c r="R958" s="12" t="s">
        <v>99</v>
      </c>
      <c r="S958" s="12" t="s">
        <v>99</v>
      </c>
      <c r="T958" s="12">
        <v>1</v>
      </c>
      <c r="U958" s="13">
        <v>44043</v>
      </c>
      <c r="V958" s="17" t="s">
        <v>1095</v>
      </c>
      <c r="W958" s="12" t="s">
        <v>92</v>
      </c>
      <c r="X958" s="12" t="s">
        <v>93</v>
      </c>
      <c r="Y958" s="13">
        <v>44043</v>
      </c>
      <c r="Z958" s="75"/>
    </row>
    <row r="959" spans="1:35" hidden="1" x14ac:dyDescent="0.3">
      <c r="A959" s="12" t="s">
        <v>85</v>
      </c>
      <c r="B959" s="12">
        <v>28579</v>
      </c>
      <c r="C959" s="11" t="s">
        <v>95</v>
      </c>
      <c r="D959" s="12" t="s">
        <v>417</v>
      </c>
      <c r="E959" s="12" t="s">
        <v>1185</v>
      </c>
      <c r="F959" s="12" t="s">
        <v>87</v>
      </c>
      <c r="G959" s="12" t="s">
        <v>87</v>
      </c>
      <c r="H959" s="12" t="s">
        <v>96</v>
      </c>
      <c r="I959" s="12" t="s">
        <v>89</v>
      </c>
      <c r="J959" s="12"/>
      <c r="K959" s="11" t="s">
        <v>581</v>
      </c>
      <c r="L959" s="11"/>
      <c r="M959" s="11" t="s">
        <v>582</v>
      </c>
      <c r="N959" s="57">
        <v>99272.99</v>
      </c>
      <c r="O959" s="62"/>
      <c r="P959" s="12">
        <v>0</v>
      </c>
      <c r="Q959" s="12" t="s">
        <v>12</v>
      </c>
      <c r="R959" s="12" t="s">
        <v>15</v>
      </c>
      <c r="S959" s="12" t="s">
        <v>53</v>
      </c>
      <c r="T959" s="12">
        <v>1</v>
      </c>
      <c r="U959" s="13">
        <v>44091</v>
      </c>
      <c r="V959" s="12" t="s">
        <v>1096</v>
      </c>
      <c r="W959" s="12" t="s">
        <v>584</v>
      </c>
      <c r="X959" s="12" t="s">
        <v>93</v>
      </c>
      <c r="Y959" s="13"/>
      <c r="Z959" s="75"/>
      <c r="AA959" s="24"/>
      <c r="AC959" s="24"/>
      <c r="AD959" s="24"/>
      <c r="AE959" s="24"/>
      <c r="AF959" s="24"/>
      <c r="AG959" s="24"/>
      <c r="AH959" s="24"/>
      <c r="AI959" s="24"/>
    </row>
    <row r="960" spans="1:35" hidden="1" x14ac:dyDescent="0.3">
      <c r="A960" s="12" t="s">
        <v>85</v>
      </c>
      <c r="B960" s="12">
        <v>20182</v>
      </c>
      <c r="C960" s="11" t="s">
        <v>95</v>
      </c>
      <c r="D960" s="12" t="s">
        <v>1</v>
      </c>
      <c r="E960" s="12" t="s">
        <v>1185</v>
      </c>
      <c r="F960" s="12" t="s">
        <v>132</v>
      </c>
      <c r="G960" s="12" t="s">
        <v>87</v>
      </c>
      <c r="H960" s="12" t="s">
        <v>96</v>
      </c>
      <c r="I960" s="12" t="s">
        <v>89</v>
      </c>
      <c r="J960" s="11" t="s">
        <v>293</v>
      </c>
      <c r="K960" s="11" t="s">
        <v>293</v>
      </c>
      <c r="L960" s="11" t="s">
        <v>1202</v>
      </c>
      <c r="M960" s="11" t="s">
        <v>92</v>
      </c>
      <c r="N960" s="58">
        <v>660</v>
      </c>
      <c r="O960" s="59"/>
      <c r="P960" s="12" t="s">
        <v>499</v>
      </c>
      <c r="Q960" s="12" t="s">
        <v>4</v>
      </c>
      <c r="R960" s="12" t="s">
        <v>15</v>
      </c>
      <c r="S960" s="12" t="s">
        <v>29</v>
      </c>
      <c r="T960" s="12">
        <v>1</v>
      </c>
      <c r="U960" s="13">
        <v>44063</v>
      </c>
      <c r="V960" s="12" t="s">
        <v>1097</v>
      </c>
      <c r="W960" s="12" t="s">
        <v>92</v>
      </c>
      <c r="X960" s="12" t="s">
        <v>93</v>
      </c>
      <c r="Y960" s="13"/>
      <c r="Z960" s="75"/>
      <c r="AA960" s="24"/>
      <c r="AC960" s="24"/>
      <c r="AD960" s="24"/>
      <c r="AE960" s="24"/>
      <c r="AF960" s="24"/>
      <c r="AG960" s="24"/>
      <c r="AH960" s="24"/>
      <c r="AI960" s="24"/>
    </row>
    <row r="961" spans="1:35" hidden="1" x14ac:dyDescent="0.3">
      <c r="A961" s="12" t="s">
        <v>85</v>
      </c>
      <c r="B961" s="12">
        <v>15026</v>
      </c>
      <c r="C961" s="11" t="s">
        <v>130</v>
      </c>
      <c r="D961" s="12" t="s">
        <v>1</v>
      </c>
      <c r="E961" s="12" t="s">
        <v>1185</v>
      </c>
      <c r="F961" s="12" t="s">
        <v>87</v>
      </c>
      <c r="G961" s="12" t="s">
        <v>113</v>
      </c>
      <c r="H961" s="12" t="s">
        <v>96</v>
      </c>
      <c r="I961" s="12" t="s">
        <v>89</v>
      </c>
      <c r="J961" s="11" t="s">
        <v>205</v>
      </c>
      <c r="K961" s="11" t="s">
        <v>205</v>
      </c>
      <c r="L961" s="11" t="s">
        <v>1212</v>
      </c>
      <c r="M961" s="11" t="s">
        <v>206</v>
      </c>
      <c r="N961" s="58">
        <v>56730.3</v>
      </c>
      <c r="O961" s="59"/>
      <c r="P961" s="12" t="s">
        <v>415</v>
      </c>
      <c r="Q961" s="12" t="s">
        <v>4</v>
      </c>
      <c r="R961" s="12" t="s">
        <v>15</v>
      </c>
      <c r="S961" s="12" t="s">
        <v>41</v>
      </c>
      <c r="T961" s="12">
        <v>1</v>
      </c>
      <c r="U961" s="13">
        <v>44089</v>
      </c>
      <c r="V961" s="12" t="s">
        <v>1098</v>
      </c>
      <c r="W961" s="12" t="s">
        <v>92</v>
      </c>
      <c r="X961" s="12" t="s">
        <v>93</v>
      </c>
      <c r="Y961" s="13"/>
      <c r="Z961" s="75"/>
      <c r="AA961" s="24"/>
      <c r="AC961" s="24"/>
      <c r="AD961" s="24"/>
      <c r="AE961" s="24"/>
      <c r="AF961" s="24"/>
      <c r="AG961" s="24"/>
      <c r="AH961" s="24"/>
      <c r="AI961" s="24"/>
    </row>
    <row r="962" spans="1:35" hidden="1" x14ac:dyDescent="0.3">
      <c r="A962" s="12" t="s">
        <v>85</v>
      </c>
      <c r="B962" s="12">
        <v>15171</v>
      </c>
      <c r="C962" s="11" t="s">
        <v>130</v>
      </c>
      <c r="D962" s="12" t="s">
        <v>417</v>
      </c>
      <c r="E962" s="12" t="s">
        <v>1179</v>
      </c>
      <c r="F962" s="12" t="s">
        <v>87</v>
      </c>
      <c r="G962" s="12" t="s">
        <v>113</v>
      </c>
      <c r="H962" s="12" t="s">
        <v>96</v>
      </c>
      <c r="I962" s="12" t="s">
        <v>89</v>
      </c>
      <c r="J962" s="11" t="s">
        <v>418</v>
      </c>
      <c r="K962" s="11" t="s">
        <v>418</v>
      </c>
      <c r="L962" s="11"/>
      <c r="M962" s="11" t="s">
        <v>419</v>
      </c>
      <c r="N962" s="58">
        <v>567.88</v>
      </c>
      <c r="O962" s="59">
        <v>351.86</v>
      </c>
      <c r="P962" s="12" t="s">
        <v>420</v>
      </c>
      <c r="Q962" s="12" t="s">
        <v>4</v>
      </c>
      <c r="R962" s="12" t="s">
        <v>16</v>
      </c>
      <c r="S962" s="12" t="s">
        <v>26</v>
      </c>
      <c r="T962" s="12">
        <v>1</v>
      </c>
      <c r="U962" s="13">
        <v>44076</v>
      </c>
      <c r="V962" s="12" t="s">
        <v>1099</v>
      </c>
      <c r="W962" s="12" t="s">
        <v>92</v>
      </c>
      <c r="X962" s="12" t="s">
        <v>93</v>
      </c>
      <c r="Y962" s="13"/>
      <c r="Z962" s="75"/>
      <c r="AA962" s="24"/>
      <c r="AC962" s="24"/>
      <c r="AD962" s="24"/>
      <c r="AE962" s="24"/>
      <c r="AF962" s="24"/>
      <c r="AG962" s="24"/>
      <c r="AH962" s="24"/>
      <c r="AI962" s="24"/>
    </row>
    <row r="963" spans="1:35" x14ac:dyDescent="0.3">
      <c r="A963" s="12" t="s">
        <v>122</v>
      </c>
      <c r="B963" s="12">
        <v>3346</v>
      </c>
      <c r="C963" s="11" t="s">
        <v>112</v>
      </c>
      <c r="D963" s="12" t="s">
        <v>1</v>
      </c>
      <c r="E963" s="12" t="s">
        <v>1185</v>
      </c>
      <c r="F963" s="12" t="s">
        <v>113</v>
      </c>
      <c r="G963" s="12" t="s">
        <v>113</v>
      </c>
      <c r="H963" s="12" t="s">
        <v>114</v>
      </c>
      <c r="I963" s="12" t="s">
        <v>115</v>
      </c>
      <c r="J963" s="11" t="s">
        <v>1244</v>
      </c>
      <c r="K963" s="11" t="s">
        <v>1244</v>
      </c>
      <c r="L963" s="11" t="s">
        <v>1194</v>
      </c>
      <c r="M963" s="11" t="s">
        <v>165</v>
      </c>
      <c r="N963" s="57">
        <v>51535</v>
      </c>
      <c r="O963" s="59"/>
      <c r="P963" s="12"/>
      <c r="Q963" s="12" t="s">
        <v>4</v>
      </c>
      <c r="R963" s="12" t="s">
        <v>16</v>
      </c>
      <c r="S963" s="12" t="s">
        <v>26</v>
      </c>
      <c r="T963" s="12">
        <v>1</v>
      </c>
      <c r="U963" s="13">
        <v>44077</v>
      </c>
      <c r="V963" s="12" t="s">
        <v>1100</v>
      </c>
      <c r="W963" s="12" t="s">
        <v>92</v>
      </c>
      <c r="X963" s="12" t="s">
        <v>93</v>
      </c>
      <c r="Y963" s="13"/>
      <c r="Z963" s="75"/>
      <c r="AA963" s="24"/>
      <c r="AC963" s="24"/>
      <c r="AD963" s="24"/>
      <c r="AE963" s="24"/>
      <c r="AF963" s="24"/>
      <c r="AG963" s="24"/>
      <c r="AH963" s="24"/>
      <c r="AI963" s="24"/>
    </row>
    <row r="964" spans="1:35" hidden="1" x14ac:dyDescent="0.3">
      <c r="A964" s="12" t="s">
        <v>85</v>
      </c>
      <c r="B964" s="12">
        <v>47941</v>
      </c>
      <c r="C964" s="11" t="s">
        <v>100</v>
      </c>
      <c r="D964" s="12" t="s">
        <v>1</v>
      </c>
      <c r="E964" s="12" t="s">
        <v>1185</v>
      </c>
      <c r="F964" s="12" t="s">
        <v>132</v>
      </c>
      <c r="G964" s="12" t="s">
        <v>113</v>
      </c>
      <c r="H964" s="12" t="s">
        <v>101</v>
      </c>
      <c r="I964" s="12" t="s">
        <v>89</v>
      </c>
      <c r="J964" s="11" t="s">
        <v>1282</v>
      </c>
      <c r="K964" s="11" t="s">
        <v>781</v>
      </c>
      <c r="L964" s="11" t="s">
        <v>1219</v>
      </c>
      <c r="M964" s="11" t="s">
        <v>782</v>
      </c>
      <c r="N964" s="57">
        <v>119597.03</v>
      </c>
      <c r="O964" s="57"/>
      <c r="P964" s="12" t="s">
        <v>91</v>
      </c>
      <c r="Q964" s="12" t="s">
        <v>4</v>
      </c>
      <c r="R964" s="12" t="s">
        <v>15</v>
      </c>
      <c r="S964" s="12" t="s">
        <v>53</v>
      </c>
      <c r="T964" s="12">
        <v>1</v>
      </c>
      <c r="U964" s="13">
        <v>44069</v>
      </c>
      <c r="V964" s="12" t="s">
        <v>1101</v>
      </c>
      <c r="W964" s="12" t="s">
        <v>92</v>
      </c>
      <c r="X964" s="12" t="s">
        <v>93</v>
      </c>
      <c r="Y964" s="13"/>
      <c r="Z964" s="75"/>
      <c r="AA964" s="24"/>
      <c r="AC964" s="24"/>
      <c r="AD964" s="24"/>
      <c r="AE964" s="24"/>
      <c r="AF964" s="24"/>
      <c r="AG964" s="24"/>
      <c r="AH964" s="24"/>
      <c r="AI964" s="24"/>
    </row>
    <row r="965" spans="1:35" hidden="1" x14ac:dyDescent="0.3">
      <c r="A965" s="12" t="s">
        <v>122</v>
      </c>
      <c r="B965" s="12">
        <v>3658</v>
      </c>
      <c r="C965" s="11" t="s">
        <v>180</v>
      </c>
      <c r="D965" s="12" t="s">
        <v>1</v>
      </c>
      <c r="E965" s="12" t="s">
        <v>1185</v>
      </c>
      <c r="F965" s="12" t="s">
        <v>87</v>
      </c>
      <c r="G965" s="12" t="s">
        <v>113</v>
      </c>
      <c r="H965" s="12" t="s">
        <v>181</v>
      </c>
      <c r="I965" s="12" t="s">
        <v>89</v>
      </c>
      <c r="J965" s="11" t="s">
        <v>182</v>
      </c>
      <c r="K965" s="11" t="s">
        <v>182</v>
      </c>
      <c r="L965" s="11" t="s">
        <v>1194</v>
      </c>
      <c r="M965" s="11" t="s">
        <v>183</v>
      </c>
      <c r="N965" s="58">
        <v>1138</v>
      </c>
      <c r="O965" s="59"/>
      <c r="P965" s="12">
        <v>27250</v>
      </c>
      <c r="Q965" s="12" t="s">
        <v>4</v>
      </c>
      <c r="R965" s="12" t="s">
        <v>15</v>
      </c>
      <c r="S965" s="12" t="s">
        <v>29</v>
      </c>
      <c r="T965" s="12">
        <v>1</v>
      </c>
      <c r="U965" s="13">
        <v>44084</v>
      </c>
      <c r="V965" s="12" t="s">
        <v>1102</v>
      </c>
      <c r="W965" s="12" t="s">
        <v>92</v>
      </c>
      <c r="X965" s="12" t="s">
        <v>93</v>
      </c>
      <c r="Y965" s="13"/>
      <c r="Z965" s="75"/>
      <c r="AA965" s="24"/>
      <c r="AC965" s="24"/>
      <c r="AD965" s="24"/>
      <c r="AE965" s="24"/>
      <c r="AF965" s="24"/>
      <c r="AG965" s="24"/>
      <c r="AH965" s="24"/>
      <c r="AI965" s="24"/>
    </row>
    <row r="966" spans="1:35" hidden="1" x14ac:dyDescent="0.3">
      <c r="A966" s="12" t="s">
        <v>85</v>
      </c>
      <c r="B966" s="12">
        <v>40125</v>
      </c>
      <c r="C966" s="11" t="s">
        <v>674</v>
      </c>
      <c r="D966" s="12" t="s">
        <v>1</v>
      </c>
      <c r="E966" s="12" t="s">
        <v>1185</v>
      </c>
      <c r="F966" s="12" t="s">
        <v>113</v>
      </c>
      <c r="G966" s="12" t="s">
        <v>87</v>
      </c>
      <c r="H966" s="12" t="s">
        <v>675</v>
      </c>
      <c r="I966" s="12" t="s">
        <v>115</v>
      </c>
      <c r="J966" s="14" t="s">
        <v>679</v>
      </c>
      <c r="K966" s="11" t="s">
        <v>679</v>
      </c>
      <c r="L966" s="11" t="s">
        <v>1195</v>
      </c>
      <c r="M966" s="11" t="s">
        <v>680</v>
      </c>
      <c r="N966" s="58">
        <v>36802.870000000003</v>
      </c>
      <c r="O966" s="59"/>
      <c r="P966" s="12" t="s">
        <v>91</v>
      </c>
      <c r="Q966" s="12" t="s">
        <v>4</v>
      </c>
      <c r="R966" s="12" t="s">
        <v>15</v>
      </c>
      <c r="S966" s="12" t="s">
        <v>57</v>
      </c>
      <c r="T966" s="12">
        <v>1</v>
      </c>
      <c r="U966" s="13">
        <v>44039</v>
      </c>
      <c r="V966" s="12" t="s">
        <v>687</v>
      </c>
      <c r="W966" s="12" t="s">
        <v>92</v>
      </c>
      <c r="X966" s="12" t="s">
        <v>105</v>
      </c>
      <c r="Y966" s="13"/>
      <c r="Z966" s="75"/>
      <c r="AA966" s="24"/>
      <c r="AC966" s="24"/>
      <c r="AD966" s="24"/>
      <c r="AE966" s="24"/>
      <c r="AF966" s="24"/>
      <c r="AG966" s="24"/>
      <c r="AH966" s="24"/>
      <c r="AI966" s="24"/>
    </row>
    <row r="967" spans="1:35" hidden="1" x14ac:dyDescent="0.3">
      <c r="A967" s="12" t="s">
        <v>85</v>
      </c>
      <c r="B967" s="12">
        <v>28579</v>
      </c>
      <c r="C967" s="11" t="s">
        <v>95</v>
      </c>
      <c r="D967" s="12" t="s">
        <v>417</v>
      </c>
      <c r="E967" s="12" t="s">
        <v>1185</v>
      </c>
      <c r="F967" s="12" t="s">
        <v>87</v>
      </c>
      <c r="G967" s="12" t="s">
        <v>87</v>
      </c>
      <c r="H967" s="12" t="s">
        <v>96</v>
      </c>
      <c r="I967" s="12" t="s">
        <v>89</v>
      </c>
      <c r="J967" s="12"/>
      <c r="K967" s="11" t="s">
        <v>581</v>
      </c>
      <c r="L967" s="11"/>
      <c r="M967" s="11" t="s">
        <v>582</v>
      </c>
      <c r="N967" s="57">
        <v>99272.99</v>
      </c>
      <c r="O967" s="62"/>
      <c r="P967" s="12">
        <v>0</v>
      </c>
      <c r="Q967" s="12" t="s">
        <v>12</v>
      </c>
      <c r="R967" s="12" t="s">
        <v>15</v>
      </c>
      <c r="S967" s="12" t="s">
        <v>53</v>
      </c>
      <c r="T967" s="12">
        <v>1</v>
      </c>
      <c r="U967" s="13">
        <v>44130</v>
      </c>
      <c r="V967" s="12" t="s">
        <v>1103</v>
      </c>
      <c r="W967" s="12" t="s">
        <v>584</v>
      </c>
      <c r="X967" s="12" t="s">
        <v>93</v>
      </c>
      <c r="Y967" s="13"/>
      <c r="Z967" s="75"/>
      <c r="AA967" s="24"/>
      <c r="AC967" s="24"/>
      <c r="AD967" s="24"/>
      <c r="AE967" s="24"/>
      <c r="AF967" s="24"/>
      <c r="AG967" s="24"/>
      <c r="AH967" s="24"/>
      <c r="AI967" s="24"/>
    </row>
    <row r="968" spans="1:35" hidden="1" x14ac:dyDescent="0.3">
      <c r="A968" s="12" t="s">
        <v>122</v>
      </c>
      <c r="B968" s="12">
        <v>3658</v>
      </c>
      <c r="C968" s="11" t="s">
        <v>180</v>
      </c>
      <c r="D968" s="12" t="s">
        <v>1</v>
      </c>
      <c r="E968" s="12" t="s">
        <v>1185</v>
      </c>
      <c r="F968" s="12" t="s">
        <v>87</v>
      </c>
      <c r="G968" s="12" t="s">
        <v>113</v>
      </c>
      <c r="H968" s="12" t="s">
        <v>181</v>
      </c>
      <c r="I968" s="12" t="s">
        <v>89</v>
      </c>
      <c r="J968" s="11" t="s">
        <v>182</v>
      </c>
      <c r="K968" s="11" t="s">
        <v>182</v>
      </c>
      <c r="L968" s="11" t="s">
        <v>1194</v>
      </c>
      <c r="M968" s="11" t="s">
        <v>183</v>
      </c>
      <c r="N968" s="58">
        <v>1138</v>
      </c>
      <c r="O968" s="59"/>
      <c r="P968" s="12">
        <v>27250</v>
      </c>
      <c r="Q968" s="12" t="s">
        <v>4</v>
      </c>
      <c r="R968" s="12" t="s">
        <v>16</v>
      </c>
      <c r="S968" s="12" t="s">
        <v>30</v>
      </c>
      <c r="T968" s="12">
        <v>1</v>
      </c>
      <c r="U968" s="13">
        <v>44130</v>
      </c>
      <c r="V968" s="12" t="s">
        <v>1104</v>
      </c>
      <c r="W968" s="12"/>
      <c r="X968" s="12" t="s">
        <v>93</v>
      </c>
      <c r="Y968" s="13"/>
      <c r="Z968" s="75"/>
      <c r="AA968" s="24"/>
      <c r="AC968" s="24"/>
      <c r="AD968" s="24"/>
      <c r="AE968" s="24"/>
      <c r="AF968" s="24"/>
      <c r="AG968" s="24"/>
      <c r="AH968" s="24"/>
      <c r="AI968" s="24"/>
    </row>
    <row r="969" spans="1:35" hidden="1" x14ac:dyDescent="0.3">
      <c r="A969" s="12" t="s">
        <v>85</v>
      </c>
      <c r="B969" s="12">
        <v>40125</v>
      </c>
      <c r="C969" s="11" t="s">
        <v>674</v>
      </c>
      <c r="D969" s="12" t="s">
        <v>1</v>
      </c>
      <c r="E969" s="12" t="s">
        <v>1185</v>
      </c>
      <c r="F969" s="12" t="s">
        <v>113</v>
      </c>
      <c r="G969" s="12" t="s">
        <v>87</v>
      </c>
      <c r="H969" s="12" t="s">
        <v>675</v>
      </c>
      <c r="I969" s="12" t="s">
        <v>115</v>
      </c>
      <c r="J969" s="14" t="s">
        <v>679</v>
      </c>
      <c r="K969" s="11" t="s">
        <v>679</v>
      </c>
      <c r="L969" s="11" t="s">
        <v>1195</v>
      </c>
      <c r="M969" s="11" t="s">
        <v>680</v>
      </c>
      <c r="N969" s="58">
        <v>36802.870000000003</v>
      </c>
      <c r="O969" s="59"/>
      <c r="P969" s="12" t="s">
        <v>91</v>
      </c>
      <c r="Q969" s="12" t="s">
        <v>4</v>
      </c>
      <c r="R969" s="12" t="s">
        <v>16</v>
      </c>
      <c r="S969" s="12" t="s">
        <v>30</v>
      </c>
      <c r="T969" s="12">
        <v>1</v>
      </c>
      <c r="U969" s="13">
        <v>44074</v>
      </c>
      <c r="V969" s="12" t="s">
        <v>1105</v>
      </c>
      <c r="W969" s="12" t="s">
        <v>92</v>
      </c>
      <c r="X969" s="12" t="s">
        <v>93</v>
      </c>
      <c r="Y969" s="13"/>
      <c r="Z969" s="75"/>
      <c r="AA969" s="24"/>
      <c r="AC969" s="24"/>
      <c r="AD969" s="24"/>
      <c r="AE969" s="24"/>
      <c r="AF969" s="24"/>
      <c r="AG969" s="24"/>
      <c r="AH969" s="24"/>
      <c r="AI969" s="24"/>
    </row>
    <row r="970" spans="1:35" hidden="1" x14ac:dyDescent="0.3">
      <c r="A970" s="12" t="s">
        <v>85</v>
      </c>
      <c r="B970" s="12">
        <v>7067</v>
      </c>
      <c r="C970" s="11" t="s">
        <v>295</v>
      </c>
      <c r="D970" s="12" t="s">
        <v>1</v>
      </c>
      <c r="E970" s="12" t="s">
        <v>1185</v>
      </c>
      <c r="F970" s="12" t="s">
        <v>87</v>
      </c>
      <c r="G970" s="12" t="s">
        <v>113</v>
      </c>
      <c r="H970" s="12" t="s">
        <v>296</v>
      </c>
      <c r="I970" s="12" t="s">
        <v>89</v>
      </c>
      <c r="J970" s="11" t="s">
        <v>297</v>
      </c>
      <c r="K970" s="11" t="s">
        <v>297</v>
      </c>
      <c r="L970" s="11" t="s">
        <v>1199</v>
      </c>
      <c r="M970" s="11" t="s">
        <v>298</v>
      </c>
      <c r="N970" s="57">
        <v>4312.34</v>
      </c>
      <c r="O970" s="59"/>
      <c r="P970" s="12" t="s">
        <v>299</v>
      </c>
      <c r="Q970" s="12" t="s">
        <v>4</v>
      </c>
      <c r="R970" s="12" t="s">
        <v>13</v>
      </c>
      <c r="S970" s="12" t="s">
        <v>25</v>
      </c>
      <c r="T970" s="12">
        <v>1</v>
      </c>
      <c r="U970" s="13">
        <v>44120</v>
      </c>
      <c r="V970" s="12" t="s">
        <v>1106</v>
      </c>
      <c r="W970" s="12"/>
      <c r="X970" s="12" t="s">
        <v>93</v>
      </c>
      <c r="Y970" s="13"/>
      <c r="Z970" s="75"/>
      <c r="AA970" s="24"/>
      <c r="AC970" s="24"/>
      <c r="AD970" s="24"/>
      <c r="AE970" s="24"/>
      <c r="AF970" s="24"/>
      <c r="AG970" s="24"/>
      <c r="AH970" s="24"/>
      <c r="AI970" s="24"/>
    </row>
    <row r="971" spans="1:35" hidden="1" x14ac:dyDescent="0.3">
      <c r="A971" s="12" t="s">
        <v>85</v>
      </c>
      <c r="B971" s="12">
        <v>12452</v>
      </c>
      <c r="C971" s="11" t="s">
        <v>295</v>
      </c>
      <c r="D971" s="12" t="s">
        <v>1</v>
      </c>
      <c r="E971" s="12" t="s">
        <v>1185</v>
      </c>
      <c r="F971" s="12" t="s">
        <v>87</v>
      </c>
      <c r="G971" s="12" t="s">
        <v>113</v>
      </c>
      <c r="H971" s="12" t="s">
        <v>296</v>
      </c>
      <c r="I971" s="12" t="s">
        <v>89</v>
      </c>
      <c r="J971" s="11" t="s">
        <v>396</v>
      </c>
      <c r="K971" s="11" t="s">
        <v>396</v>
      </c>
      <c r="L971" s="11" t="s">
        <v>1195</v>
      </c>
      <c r="M971" s="11" t="s">
        <v>397</v>
      </c>
      <c r="N971" s="58">
        <v>964</v>
      </c>
      <c r="O971" s="59"/>
      <c r="P971" s="12" t="s">
        <v>398</v>
      </c>
      <c r="Q971" s="12" t="s">
        <v>4</v>
      </c>
      <c r="R971" s="12" t="s">
        <v>13</v>
      </c>
      <c r="S971" s="12" t="s">
        <v>25</v>
      </c>
      <c r="T971" s="12">
        <v>1</v>
      </c>
      <c r="U971" s="13">
        <v>44120</v>
      </c>
      <c r="V971" s="12" t="s">
        <v>1106</v>
      </c>
      <c r="W971" s="12"/>
      <c r="X971" s="12" t="s">
        <v>93</v>
      </c>
      <c r="Y971" s="13"/>
      <c r="Z971" s="75"/>
      <c r="AA971" s="24"/>
      <c r="AC971" s="24"/>
      <c r="AD971" s="24"/>
      <c r="AE971" s="24"/>
      <c r="AF971" s="24"/>
      <c r="AG971" s="24"/>
      <c r="AH971" s="24"/>
      <c r="AI971" s="24"/>
    </row>
    <row r="972" spans="1:35" hidden="1" x14ac:dyDescent="0.3">
      <c r="A972" s="12" t="s">
        <v>85</v>
      </c>
      <c r="B972" s="12">
        <v>56135</v>
      </c>
      <c r="C972" s="11" t="s">
        <v>136</v>
      </c>
      <c r="D972" s="12" t="s">
        <v>1</v>
      </c>
      <c r="E972" s="12" t="s">
        <v>1185</v>
      </c>
      <c r="F972" s="12" t="s">
        <v>87</v>
      </c>
      <c r="G972" s="12" t="s">
        <v>113</v>
      </c>
      <c r="H972" s="12" t="s">
        <v>609</v>
      </c>
      <c r="I972" s="12" t="s">
        <v>89</v>
      </c>
      <c r="J972" s="11" t="s">
        <v>1107</v>
      </c>
      <c r="K972" s="11" t="s">
        <v>1107</v>
      </c>
      <c r="L972" s="11" t="s">
        <v>1194</v>
      </c>
      <c r="M972" s="11" t="s">
        <v>1108</v>
      </c>
      <c r="N972" s="58">
        <f>9277.18-1013.85</f>
        <v>8263.33</v>
      </c>
      <c r="O972" s="59">
        <v>300.27</v>
      </c>
      <c r="P972" s="12">
        <v>419516</v>
      </c>
      <c r="Q972" s="12" t="s">
        <v>4</v>
      </c>
      <c r="R972" s="12" t="s">
        <v>13</v>
      </c>
      <c r="S972" s="12" t="s">
        <v>14</v>
      </c>
      <c r="T972" s="12">
        <v>1</v>
      </c>
      <c r="U972" s="13">
        <v>44110</v>
      </c>
      <c r="V972" s="12" t="s">
        <v>1109</v>
      </c>
      <c r="W972" s="12"/>
      <c r="X972" s="12" t="s">
        <v>93</v>
      </c>
      <c r="Y972" s="13"/>
      <c r="Z972" s="75"/>
      <c r="AA972" s="24"/>
      <c r="AC972" s="24"/>
      <c r="AD972" s="24"/>
      <c r="AE972" s="24"/>
      <c r="AF972" s="24"/>
      <c r="AG972" s="24"/>
      <c r="AH972" s="24"/>
      <c r="AI972" s="24"/>
    </row>
    <row r="973" spans="1:35" hidden="1" x14ac:dyDescent="0.3">
      <c r="A973" s="12" t="s">
        <v>85</v>
      </c>
      <c r="B973" s="12">
        <v>57065</v>
      </c>
      <c r="C973" s="11" t="s">
        <v>136</v>
      </c>
      <c r="D973" s="12" t="s">
        <v>1</v>
      </c>
      <c r="E973" s="12" t="s">
        <v>1185</v>
      </c>
      <c r="F973" s="12" t="s">
        <v>87</v>
      </c>
      <c r="G973" s="12" t="s">
        <v>113</v>
      </c>
      <c r="H973" s="12" t="s">
        <v>609</v>
      </c>
      <c r="I973" s="12" t="s">
        <v>89</v>
      </c>
      <c r="J973" s="11" t="s">
        <v>1107</v>
      </c>
      <c r="K973" s="11" t="s">
        <v>1107</v>
      </c>
      <c r="L973" s="11" t="s">
        <v>1194</v>
      </c>
      <c r="M973" s="11" t="s">
        <v>1108</v>
      </c>
      <c r="N973" s="58">
        <v>5000</v>
      </c>
      <c r="O973" s="59"/>
      <c r="P973" s="12" t="s">
        <v>1110</v>
      </c>
      <c r="Q973" s="12" t="s">
        <v>4</v>
      </c>
      <c r="R973" s="12" t="s">
        <v>13</v>
      </c>
      <c r="S973" s="12" t="s">
        <v>14</v>
      </c>
      <c r="T973" s="12">
        <v>1</v>
      </c>
      <c r="U973" s="13">
        <v>44110</v>
      </c>
      <c r="V973" s="12" t="s">
        <v>1109</v>
      </c>
      <c r="W973" s="12"/>
      <c r="X973" s="12" t="s">
        <v>93</v>
      </c>
      <c r="Y973" s="13"/>
      <c r="Z973" s="75"/>
      <c r="AA973" s="24"/>
      <c r="AC973" s="24"/>
      <c r="AD973" s="24"/>
      <c r="AE973" s="24"/>
      <c r="AF973" s="24"/>
      <c r="AG973" s="24"/>
      <c r="AH973" s="24"/>
      <c r="AI973" s="24"/>
    </row>
    <row r="974" spans="1:35" hidden="1" x14ac:dyDescent="0.3">
      <c r="A974" s="12" t="s">
        <v>85</v>
      </c>
      <c r="B974" s="12">
        <v>37550</v>
      </c>
      <c r="C974" s="11" t="s">
        <v>295</v>
      </c>
      <c r="D974" s="12" t="s">
        <v>1</v>
      </c>
      <c r="E974" s="12" t="s">
        <v>1185</v>
      </c>
      <c r="F974" s="12" t="s">
        <v>87</v>
      </c>
      <c r="G974" s="12" t="s">
        <v>113</v>
      </c>
      <c r="H974" s="12" t="s">
        <v>296</v>
      </c>
      <c r="I974" s="12" t="s">
        <v>89</v>
      </c>
      <c r="J974" s="11" t="s">
        <v>661</v>
      </c>
      <c r="K974" s="11" t="s">
        <v>661</v>
      </c>
      <c r="L974" s="11" t="s">
        <v>1194</v>
      </c>
      <c r="M974" s="11" t="s">
        <v>662</v>
      </c>
      <c r="N974" s="58">
        <v>1484.4</v>
      </c>
      <c r="O974" s="59"/>
      <c r="P974" s="12" t="s">
        <v>663</v>
      </c>
      <c r="Q974" s="12" t="s">
        <v>4</v>
      </c>
      <c r="R974" s="12" t="s">
        <v>13</v>
      </c>
      <c r="S974" s="12" t="s">
        <v>14</v>
      </c>
      <c r="T974" s="12">
        <v>1</v>
      </c>
      <c r="U974" s="13">
        <v>44120</v>
      </c>
      <c r="V974" s="12" t="s">
        <v>1106</v>
      </c>
      <c r="W974" s="12"/>
      <c r="X974" s="12" t="s">
        <v>93</v>
      </c>
      <c r="Y974" s="13"/>
      <c r="Z974" s="75"/>
      <c r="AA974" s="24"/>
      <c r="AC974" s="24"/>
      <c r="AD974" s="24"/>
      <c r="AE974" s="24"/>
      <c r="AF974" s="24"/>
      <c r="AG974" s="24"/>
      <c r="AH974" s="24"/>
      <c r="AI974" s="24"/>
    </row>
    <row r="975" spans="1:35" hidden="1" x14ac:dyDescent="0.3">
      <c r="A975" s="12" t="s">
        <v>85</v>
      </c>
      <c r="B975" s="12">
        <v>37551</v>
      </c>
      <c r="C975" s="11" t="s">
        <v>295</v>
      </c>
      <c r="D975" s="12" t="s">
        <v>1</v>
      </c>
      <c r="E975" s="12" t="s">
        <v>1185</v>
      </c>
      <c r="F975" s="12" t="s">
        <v>87</v>
      </c>
      <c r="G975" s="12" t="s">
        <v>113</v>
      </c>
      <c r="H975" s="12" t="s">
        <v>296</v>
      </c>
      <c r="I975" s="12" t="s">
        <v>89</v>
      </c>
      <c r="J975" s="11" t="s">
        <v>661</v>
      </c>
      <c r="K975" s="11" t="s">
        <v>661</v>
      </c>
      <c r="L975" s="11" t="s">
        <v>1194</v>
      </c>
      <c r="M975" s="11" t="s">
        <v>662</v>
      </c>
      <c r="N975" s="58">
        <v>294.5</v>
      </c>
      <c r="O975" s="59"/>
      <c r="P975" s="12" t="s">
        <v>665</v>
      </c>
      <c r="Q975" s="12" t="s">
        <v>4</v>
      </c>
      <c r="R975" s="12" t="s">
        <v>13</v>
      </c>
      <c r="S975" s="12" t="s">
        <v>14</v>
      </c>
      <c r="T975" s="12">
        <v>1</v>
      </c>
      <c r="U975" s="13">
        <v>44120</v>
      </c>
      <c r="V975" s="12" t="s">
        <v>1106</v>
      </c>
      <c r="W975" s="12"/>
      <c r="X975" s="12" t="s">
        <v>93</v>
      </c>
      <c r="Y975" s="13"/>
      <c r="Z975" s="75"/>
      <c r="AA975" s="24"/>
      <c r="AC975" s="24"/>
      <c r="AD975" s="24"/>
      <c r="AE975" s="24"/>
      <c r="AF975" s="24"/>
      <c r="AG975" s="24"/>
      <c r="AH975" s="24"/>
      <c r="AI975" s="24"/>
    </row>
    <row r="976" spans="1:35" hidden="1" x14ac:dyDescent="0.3">
      <c r="A976" s="12" t="s">
        <v>85</v>
      </c>
      <c r="B976" s="12">
        <v>37552</v>
      </c>
      <c r="C976" s="11" t="s">
        <v>295</v>
      </c>
      <c r="D976" s="12" t="s">
        <v>1</v>
      </c>
      <c r="E976" s="12" t="s">
        <v>1185</v>
      </c>
      <c r="F976" s="12" t="s">
        <v>87</v>
      </c>
      <c r="G976" s="12" t="s">
        <v>113</v>
      </c>
      <c r="H976" s="12" t="s">
        <v>296</v>
      </c>
      <c r="I976" s="12" t="s">
        <v>89</v>
      </c>
      <c r="J976" s="11" t="s">
        <v>661</v>
      </c>
      <c r="K976" s="11" t="s">
        <v>661</v>
      </c>
      <c r="L976" s="11" t="s">
        <v>1194</v>
      </c>
      <c r="M976" s="11" t="s">
        <v>662</v>
      </c>
      <c r="N976" s="58">
        <v>263.5</v>
      </c>
      <c r="O976" s="59"/>
      <c r="P976" s="12" t="s">
        <v>666</v>
      </c>
      <c r="Q976" s="12" t="s">
        <v>4</v>
      </c>
      <c r="R976" s="12" t="s">
        <v>13</v>
      </c>
      <c r="S976" s="12" t="s">
        <v>14</v>
      </c>
      <c r="T976" s="12">
        <v>1</v>
      </c>
      <c r="U976" s="13">
        <v>44120</v>
      </c>
      <c r="V976" s="12" t="s">
        <v>1106</v>
      </c>
      <c r="W976" s="12"/>
      <c r="X976" s="12" t="s">
        <v>93</v>
      </c>
      <c r="Y976" s="13"/>
      <c r="Z976" s="75"/>
      <c r="AA976" s="24"/>
      <c r="AC976" s="24"/>
      <c r="AD976" s="24"/>
      <c r="AE976" s="24"/>
      <c r="AF976" s="24"/>
      <c r="AG976" s="24"/>
      <c r="AH976" s="24"/>
      <c r="AI976" s="24"/>
    </row>
    <row r="977" spans="1:35" hidden="1" x14ac:dyDescent="0.3">
      <c r="A977" s="12" t="s">
        <v>85</v>
      </c>
      <c r="B977" s="12">
        <v>37552</v>
      </c>
      <c r="C977" s="11" t="s">
        <v>295</v>
      </c>
      <c r="D977" s="12" t="s">
        <v>1</v>
      </c>
      <c r="E977" s="12" t="s">
        <v>1185</v>
      </c>
      <c r="F977" s="12" t="s">
        <v>87</v>
      </c>
      <c r="G977" s="12" t="s">
        <v>113</v>
      </c>
      <c r="H977" s="12" t="s">
        <v>296</v>
      </c>
      <c r="I977" s="12" t="s">
        <v>89</v>
      </c>
      <c r="J977" s="11" t="s">
        <v>661</v>
      </c>
      <c r="K977" s="11" t="s">
        <v>661</v>
      </c>
      <c r="L977" s="11" t="s">
        <v>1194</v>
      </c>
      <c r="M977" s="11" t="s">
        <v>662</v>
      </c>
      <c r="N977" s="58">
        <v>263.5</v>
      </c>
      <c r="O977" s="59"/>
      <c r="P977" s="12" t="s">
        <v>666</v>
      </c>
      <c r="Q977" s="12" t="s">
        <v>4</v>
      </c>
      <c r="R977" s="12" t="s">
        <v>13</v>
      </c>
      <c r="S977" s="12" t="s">
        <v>14</v>
      </c>
      <c r="T977" s="12">
        <v>1</v>
      </c>
      <c r="U977" s="13">
        <v>44120</v>
      </c>
      <c r="V977" s="12" t="s">
        <v>1106</v>
      </c>
      <c r="W977" s="12"/>
      <c r="X977" s="12" t="s">
        <v>93</v>
      </c>
      <c r="Y977" s="13"/>
      <c r="Z977" s="75"/>
      <c r="AA977" s="24"/>
      <c r="AC977" s="24"/>
      <c r="AD977" s="24"/>
      <c r="AE977" s="24"/>
      <c r="AF977" s="24"/>
      <c r="AG977" s="24"/>
      <c r="AH977" s="24"/>
      <c r="AI977" s="24"/>
    </row>
    <row r="978" spans="1:35" hidden="1" x14ac:dyDescent="0.3">
      <c r="A978" s="12" t="s">
        <v>85</v>
      </c>
      <c r="B978" s="12">
        <v>37553</v>
      </c>
      <c r="C978" s="11" t="s">
        <v>295</v>
      </c>
      <c r="D978" s="12" t="s">
        <v>1</v>
      </c>
      <c r="E978" s="12" t="s">
        <v>1185</v>
      </c>
      <c r="F978" s="12" t="s">
        <v>87</v>
      </c>
      <c r="G978" s="12" t="s">
        <v>113</v>
      </c>
      <c r="H978" s="12" t="s">
        <v>296</v>
      </c>
      <c r="I978" s="12" t="s">
        <v>89</v>
      </c>
      <c r="J978" s="11" t="s">
        <v>661</v>
      </c>
      <c r="K978" s="11" t="s">
        <v>661</v>
      </c>
      <c r="L978" s="11" t="s">
        <v>1194</v>
      </c>
      <c r="M978" s="11" t="s">
        <v>662</v>
      </c>
      <c r="N978" s="58">
        <v>247.5</v>
      </c>
      <c r="O978" s="59"/>
      <c r="P978" s="12" t="s">
        <v>667</v>
      </c>
      <c r="Q978" s="12" t="s">
        <v>4</v>
      </c>
      <c r="R978" s="12" t="s">
        <v>13</v>
      </c>
      <c r="S978" s="12" t="s">
        <v>14</v>
      </c>
      <c r="T978" s="12">
        <v>1</v>
      </c>
      <c r="U978" s="13">
        <v>44120</v>
      </c>
      <c r="V978" s="12" t="s">
        <v>1106</v>
      </c>
      <c r="W978" s="12"/>
      <c r="X978" s="12" t="s">
        <v>93</v>
      </c>
      <c r="Y978" s="13"/>
      <c r="Z978" s="75"/>
      <c r="AA978" s="24"/>
      <c r="AC978" s="24"/>
      <c r="AD978" s="24"/>
      <c r="AE978" s="24"/>
      <c r="AF978" s="24"/>
      <c r="AG978" s="24"/>
      <c r="AH978" s="24"/>
      <c r="AI978" s="24"/>
    </row>
    <row r="979" spans="1:35" hidden="1" x14ac:dyDescent="0.3">
      <c r="A979" s="12" t="s">
        <v>85</v>
      </c>
      <c r="B979" s="12">
        <v>37554</v>
      </c>
      <c r="C979" s="11" t="s">
        <v>295</v>
      </c>
      <c r="D979" s="12" t="s">
        <v>1</v>
      </c>
      <c r="E979" s="12" t="s">
        <v>1185</v>
      </c>
      <c r="F979" s="12" t="s">
        <v>87</v>
      </c>
      <c r="G979" s="12" t="s">
        <v>113</v>
      </c>
      <c r="H979" s="12" t="s">
        <v>296</v>
      </c>
      <c r="I979" s="12" t="s">
        <v>89</v>
      </c>
      <c r="J979" s="11" t="s">
        <v>661</v>
      </c>
      <c r="K979" s="11" t="s">
        <v>661</v>
      </c>
      <c r="L979" s="11" t="s">
        <v>1194</v>
      </c>
      <c r="M979" s="11" t="s">
        <v>662</v>
      </c>
      <c r="N979" s="58">
        <v>375</v>
      </c>
      <c r="O979" s="59"/>
      <c r="P979" s="12" t="s">
        <v>668</v>
      </c>
      <c r="Q979" s="12" t="s">
        <v>4</v>
      </c>
      <c r="R979" s="12" t="s">
        <v>13</v>
      </c>
      <c r="S979" s="12" t="s">
        <v>14</v>
      </c>
      <c r="T979" s="12">
        <v>1</v>
      </c>
      <c r="U979" s="13">
        <v>44120</v>
      </c>
      <c r="V979" s="12" t="s">
        <v>1106</v>
      </c>
      <c r="W979" s="12"/>
      <c r="X979" s="12" t="s">
        <v>93</v>
      </c>
      <c r="Y979" s="13"/>
      <c r="Z979" s="75"/>
      <c r="AA979" s="24"/>
      <c r="AC979" s="24"/>
      <c r="AD979" s="24"/>
      <c r="AE979" s="24"/>
      <c r="AF979" s="24"/>
      <c r="AG979" s="24"/>
      <c r="AH979" s="24"/>
      <c r="AI979" s="24"/>
    </row>
    <row r="980" spans="1:35" hidden="1" x14ac:dyDescent="0.3">
      <c r="A980" s="12" t="s">
        <v>85</v>
      </c>
      <c r="B980" s="12">
        <v>28579</v>
      </c>
      <c r="C980" s="11" t="s">
        <v>95</v>
      </c>
      <c r="D980" s="12" t="s">
        <v>417</v>
      </c>
      <c r="E980" s="12" t="s">
        <v>1185</v>
      </c>
      <c r="F980" s="12" t="s">
        <v>87</v>
      </c>
      <c r="G980" s="12" t="s">
        <v>87</v>
      </c>
      <c r="H980" s="15" t="s">
        <v>96</v>
      </c>
      <c r="I980" s="15" t="s">
        <v>89</v>
      </c>
      <c r="J980" s="15"/>
      <c r="K980" s="14" t="s">
        <v>581</v>
      </c>
      <c r="L980" s="11"/>
      <c r="M980" s="14" t="s">
        <v>582</v>
      </c>
      <c r="N980" s="57">
        <v>99272.99</v>
      </c>
      <c r="O980" s="62"/>
      <c r="P980" s="12">
        <v>0</v>
      </c>
      <c r="Q980" s="12" t="s">
        <v>12</v>
      </c>
      <c r="R980" s="12" t="s">
        <v>15</v>
      </c>
      <c r="S980" s="12" t="s">
        <v>53</v>
      </c>
      <c r="T980" s="12">
        <v>1</v>
      </c>
      <c r="U980" s="13">
        <v>44147</v>
      </c>
      <c r="V980" s="12" t="s">
        <v>1111</v>
      </c>
      <c r="W980" s="12" t="s">
        <v>584</v>
      </c>
      <c r="X980" s="12" t="s">
        <v>93</v>
      </c>
      <c r="Y980" s="13"/>
      <c r="Z980" s="75"/>
      <c r="AA980" s="24"/>
      <c r="AC980" s="24"/>
      <c r="AD980" s="24"/>
      <c r="AE980" s="24"/>
      <c r="AF980" s="24"/>
      <c r="AG980" s="24"/>
      <c r="AH980" s="24"/>
      <c r="AI980" s="24"/>
    </row>
    <row r="981" spans="1:35" hidden="1" x14ac:dyDescent="0.3">
      <c r="A981" s="12" t="s">
        <v>85</v>
      </c>
      <c r="B981" s="18">
        <v>28579</v>
      </c>
      <c r="C981" s="16" t="s">
        <v>95</v>
      </c>
      <c r="D981" s="12" t="s">
        <v>417</v>
      </c>
      <c r="E981" s="12" t="s">
        <v>1185</v>
      </c>
      <c r="F981" s="12" t="s">
        <v>87</v>
      </c>
      <c r="G981" s="12" t="s">
        <v>87</v>
      </c>
      <c r="H981" s="34" t="s">
        <v>96</v>
      </c>
      <c r="I981" s="34" t="s">
        <v>89</v>
      </c>
      <c r="J981" s="34"/>
      <c r="K981" s="19" t="s">
        <v>581</v>
      </c>
      <c r="L981" s="11"/>
      <c r="M981" s="19" t="s">
        <v>582</v>
      </c>
      <c r="N981" s="57">
        <v>99272.99</v>
      </c>
      <c r="O981" s="62"/>
      <c r="P981" s="12">
        <v>0</v>
      </c>
      <c r="Q981" s="12" t="s">
        <v>12</v>
      </c>
      <c r="R981" s="18" t="s">
        <v>15</v>
      </c>
      <c r="S981" s="18" t="s">
        <v>41</v>
      </c>
      <c r="T981" s="12">
        <v>1</v>
      </c>
      <c r="U981" s="17">
        <v>44153</v>
      </c>
      <c r="V981" s="18" t="s">
        <v>1112</v>
      </c>
      <c r="W981" s="18" t="s">
        <v>584</v>
      </c>
      <c r="X981" s="12" t="s">
        <v>93</v>
      </c>
      <c r="Y981" s="17"/>
      <c r="Z981" s="75"/>
      <c r="AA981" s="24"/>
      <c r="AC981" s="24"/>
      <c r="AD981" s="24"/>
      <c r="AE981" s="24"/>
      <c r="AF981" s="24"/>
      <c r="AG981" s="24"/>
      <c r="AH981" s="24"/>
      <c r="AI981" s="24"/>
    </row>
    <row r="982" spans="1:35" hidden="1" x14ac:dyDescent="0.3">
      <c r="A982" s="12" t="s">
        <v>85</v>
      </c>
      <c r="B982" s="18">
        <v>40125</v>
      </c>
      <c r="C982" s="16" t="s">
        <v>674</v>
      </c>
      <c r="D982" s="18" t="s">
        <v>1</v>
      </c>
      <c r="E982" s="12" t="s">
        <v>1185</v>
      </c>
      <c r="F982" s="18" t="s">
        <v>113</v>
      </c>
      <c r="G982" s="12" t="s">
        <v>87</v>
      </c>
      <c r="H982" s="18" t="s">
        <v>675</v>
      </c>
      <c r="I982" s="18" t="s">
        <v>115</v>
      </c>
      <c r="J982" s="14" t="s">
        <v>679</v>
      </c>
      <c r="K982" s="16" t="s">
        <v>679</v>
      </c>
      <c r="L982" s="11" t="s">
        <v>1195</v>
      </c>
      <c r="M982" s="16" t="s">
        <v>680</v>
      </c>
      <c r="N982" s="58">
        <v>36802.870000000003</v>
      </c>
      <c r="O982" s="59"/>
      <c r="P982" s="18" t="s">
        <v>91</v>
      </c>
      <c r="Q982" s="18" t="s">
        <v>4</v>
      </c>
      <c r="R982" s="18" t="s">
        <v>16</v>
      </c>
      <c r="S982" s="18" t="s">
        <v>30</v>
      </c>
      <c r="T982" s="12">
        <v>1</v>
      </c>
      <c r="U982" s="17">
        <v>44098</v>
      </c>
      <c r="V982" s="18" t="s">
        <v>1113</v>
      </c>
      <c r="W982" s="18"/>
      <c r="X982" s="12" t="s">
        <v>93</v>
      </c>
      <c r="Y982" s="17"/>
      <c r="Z982" s="75"/>
      <c r="AA982" s="24"/>
      <c r="AC982" s="24"/>
      <c r="AD982" s="24"/>
      <c r="AE982" s="24"/>
      <c r="AF982" s="24"/>
      <c r="AG982" s="24"/>
      <c r="AH982" s="24"/>
      <c r="AI982" s="24"/>
    </row>
    <row r="983" spans="1:35" hidden="1" x14ac:dyDescent="0.3">
      <c r="A983" s="12" t="s">
        <v>85</v>
      </c>
      <c r="B983" s="12">
        <v>40125</v>
      </c>
      <c r="C983" s="11" t="s">
        <v>674</v>
      </c>
      <c r="D983" s="12" t="s">
        <v>1</v>
      </c>
      <c r="E983" s="12" t="s">
        <v>1185</v>
      </c>
      <c r="F983" s="12" t="s">
        <v>113</v>
      </c>
      <c r="G983" s="12" t="s">
        <v>87</v>
      </c>
      <c r="H983" s="12" t="s">
        <v>675</v>
      </c>
      <c r="I983" s="12" t="s">
        <v>115</v>
      </c>
      <c r="J983" s="14" t="s">
        <v>679</v>
      </c>
      <c r="K983" s="11" t="s">
        <v>679</v>
      </c>
      <c r="L983" s="11" t="s">
        <v>1195</v>
      </c>
      <c r="M983" s="11" t="s">
        <v>680</v>
      </c>
      <c r="N983" s="58">
        <v>36802.870000000003</v>
      </c>
      <c r="O983" s="59"/>
      <c r="P983" s="12" t="s">
        <v>91</v>
      </c>
      <c r="Q983" s="12" t="s">
        <v>4</v>
      </c>
      <c r="R983" s="12" t="s">
        <v>16</v>
      </c>
      <c r="S983" s="12" t="s">
        <v>30</v>
      </c>
      <c r="T983" s="12">
        <v>1</v>
      </c>
      <c r="U983" s="13">
        <v>44151</v>
      </c>
      <c r="V983" s="12" t="s">
        <v>1114</v>
      </c>
      <c r="W983" s="12"/>
      <c r="X983" s="12" t="s">
        <v>93</v>
      </c>
      <c r="Y983" s="13"/>
      <c r="Z983" s="75"/>
      <c r="AA983" s="24"/>
      <c r="AC983" s="24"/>
      <c r="AD983" s="24"/>
      <c r="AE983" s="24"/>
      <c r="AF983" s="24"/>
      <c r="AG983" s="24"/>
      <c r="AH983" s="24"/>
      <c r="AI983" s="24"/>
    </row>
    <row r="984" spans="1:35" hidden="1" x14ac:dyDescent="0.3">
      <c r="A984" s="12" t="s">
        <v>122</v>
      </c>
      <c r="B984" s="18">
        <v>3658</v>
      </c>
      <c r="C984" s="16" t="s">
        <v>180</v>
      </c>
      <c r="D984" s="18" t="s">
        <v>1</v>
      </c>
      <c r="E984" s="12" t="s">
        <v>1185</v>
      </c>
      <c r="F984" s="34" t="s">
        <v>87</v>
      </c>
      <c r="G984" s="12" t="s">
        <v>113</v>
      </c>
      <c r="H984" s="34" t="s">
        <v>181</v>
      </c>
      <c r="I984" s="34" t="s">
        <v>89</v>
      </c>
      <c r="J984" s="11" t="s">
        <v>182</v>
      </c>
      <c r="K984" s="19" t="s">
        <v>182</v>
      </c>
      <c r="L984" s="11" t="s">
        <v>1194</v>
      </c>
      <c r="M984" s="19" t="s">
        <v>183</v>
      </c>
      <c r="N984" s="58">
        <v>1138</v>
      </c>
      <c r="O984" s="59"/>
      <c r="P984" s="34">
        <v>27250</v>
      </c>
      <c r="Q984" s="18" t="s">
        <v>4</v>
      </c>
      <c r="R984" s="18" t="s">
        <v>16</v>
      </c>
      <c r="S984" s="18" t="s">
        <v>30</v>
      </c>
      <c r="T984" s="12">
        <v>1</v>
      </c>
      <c r="U984" s="17">
        <v>44148</v>
      </c>
      <c r="V984" s="18" t="s">
        <v>1115</v>
      </c>
      <c r="W984" s="18"/>
      <c r="X984" s="12" t="s">
        <v>93</v>
      </c>
      <c r="Y984" s="17"/>
      <c r="Z984" s="75"/>
      <c r="AA984" s="24"/>
      <c r="AC984" s="24"/>
      <c r="AD984" s="24"/>
      <c r="AE984" s="24"/>
      <c r="AF984" s="24"/>
      <c r="AG984" s="24"/>
      <c r="AH984" s="24"/>
      <c r="AI984" s="24"/>
    </row>
    <row r="985" spans="1:35" hidden="1" x14ac:dyDescent="0.3">
      <c r="A985" s="12" t="s">
        <v>85</v>
      </c>
      <c r="B985" s="18">
        <v>32053</v>
      </c>
      <c r="C985" s="16" t="s">
        <v>386</v>
      </c>
      <c r="D985" s="12" t="s">
        <v>417</v>
      </c>
      <c r="E985" s="18" t="s">
        <v>1186</v>
      </c>
      <c r="F985" s="34" t="s">
        <v>132</v>
      </c>
      <c r="G985" s="12" t="s">
        <v>132</v>
      </c>
      <c r="H985" s="34" t="s">
        <v>393</v>
      </c>
      <c r="I985" s="34" t="s">
        <v>89</v>
      </c>
      <c r="J985" s="34"/>
      <c r="K985" s="19" t="s">
        <v>394</v>
      </c>
      <c r="L985" s="19"/>
      <c r="M985" s="19" t="s">
        <v>395</v>
      </c>
      <c r="N985" s="63">
        <v>208.93</v>
      </c>
      <c r="O985" s="63">
        <v>208.93</v>
      </c>
      <c r="P985" s="34"/>
      <c r="Q985" s="18" t="s">
        <v>12</v>
      </c>
      <c r="R985" s="12" t="s">
        <v>99</v>
      </c>
      <c r="S985" s="12" t="s">
        <v>99</v>
      </c>
      <c r="T985" s="12">
        <v>1</v>
      </c>
      <c r="U985" s="17"/>
      <c r="V985" s="18" t="s">
        <v>1116</v>
      </c>
      <c r="W985" s="18" t="s">
        <v>92</v>
      </c>
      <c r="X985" s="34" t="s">
        <v>105</v>
      </c>
      <c r="Y985" s="17">
        <v>44323</v>
      </c>
      <c r="Z985" s="75"/>
    </row>
    <row r="986" spans="1:35" hidden="1" x14ac:dyDescent="0.3">
      <c r="A986" s="12" t="s">
        <v>85</v>
      </c>
      <c r="B986" s="18">
        <v>4603</v>
      </c>
      <c r="C986" s="16" t="s">
        <v>221</v>
      </c>
      <c r="D986" s="18" t="s">
        <v>1</v>
      </c>
      <c r="E986" s="12" t="s">
        <v>1185</v>
      </c>
      <c r="F986" s="34" t="s">
        <v>87</v>
      </c>
      <c r="G986" s="12" t="s">
        <v>113</v>
      </c>
      <c r="H986" s="34" t="s">
        <v>222</v>
      </c>
      <c r="I986" s="34" t="s">
        <v>223</v>
      </c>
      <c r="J986" s="19" t="s">
        <v>224</v>
      </c>
      <c r="K986" s="19" t="s">
        <v>224</v>
      </c>
      <c r="L986" s="11" t="s">
        <v>1197</v>
      </c>
      <c r="M986" s="19" t="s">
        <v>225</v>
      </c>
      <c r="N986" s="59">
        <v>0</v>
      </c>
      <c r="O986" s="59"/>
      <c r="P986" s="34" t="s">
        <v>226</v>
      </c>
      <c r="Q986" s="18" t="s">
        <v>4</v>
      </c>
      <c r="R986" s="12" t="s">
        <v>15</v>
      </c>
      <c r="S986" s="18" t="s">
        <v>25</v>
      </c>
      <c r="T986" s="12">
        <v>1</v>
      </c>
      <c r="U986" s="17">
        <v>44056</v>
      </c>
      <c r="V986" s="18" t="s">
        <v>231</v>
      </c>
      <c r="W986" s="18" t="s">
        <v>92</v>
      </c>
      <c r="X986" s="12" t="s">
        <v>93</v>
      </c>
      <c r="Y986" s="17"/>
      <c r="Z986" s="59" t="s">
        <v>228</v>
      </c>
    </row>
    <row r="987" spans="1:35" hidden="1" x14ac:dyDescent="0.3">
      <c r="A987" s="12" t="s">
        <v>85</v>
      </c>
      <c r="B987" s="18">
        <v>4603</v>
      </c>
      <c r="C987" s="16" t="s">
        <v>221</v>
      </c>
      <c r="D987" s="18" t="s">
        <v>1</v>
      </c>
      <c r="E987" s="12" t="s">
        <v>1185</v>
      </c>
      <c r="F987" s="34" t="s">
        <v>87</v>
      </c>
      <c r="G987" s="12" t="s">
        <v>113</v>
      </c>
      <c r="H987" s="34" t="s">
        <v>222</v>
      </c>
      <c r="I987" s="34" t="s">
        <v>223</v>
      </c>
      <c r="J987" s="19" t="s">
        <v>224</v>
      </c>
      <c r="K987" s="19" t="s">
        <v>224</v>
      </c>
      <c r="L987" s="11" t="s">
        <v>1197</v>
      </c>
      <c r="M987" s="19" t="s">
        <v>225</v>
      </c>
      <c r="N987" s="59">
        <v>0</v>
      </c>
      <c r="O987" s="59"/>
      <c r="P987" s="34" t="s">
        <v>226</v>
      </c>
      <c r="Q987" s="18" t="s">
        <v>4</v>
      </c>
      <c r="R987" s="18" t="s">
        <v>15</v>
      </c>
      <c r="S987" s="18" t="s">
        <v>25</v>
      </c>
      <c r="T987" s="12">
        <v>1</v>
      </c>
      <c r="U987" s="17">
        <v>44130</v>
      </c>
      <c r="V987" s="18" t="s">
        <v>1169</v>
      </c>
      <c r="W987" s="18" t="s">
        <v>92</v>
      </c>
      <c r="X987" s="12" t="s">
        <v>93</v>
      </c>
      <c r="Y987" s="17"/>
      <c r="Z987" s="59" t="s">
        <v>228</v>
      </c>
    </row>
    <row r="988" spans="1:35" hidden="1" x14ac:dyDescent="0.3">
      <c r="A988" s="12" t="s">
        <v>85</v>
      </c>
      <c r="B988" s="12">
        <v>28579</v>
      </c>
      <c r="C988" s="19" t="s">
        <v>95</v>
      </c>
      <c r="D988" s="12" t="s">
        <v>417</v>
      </c>
      <c r="E988" s="12" t="s">
        <v>1185</v>
      </c>
      <c r="F988" s="12" t="s">
        <v>87</v>
      </c>
      <c r="G988" s="12" t="s">
        <v>87</v>
      </c>
      <c r="H988" s="15" t="s">
        <v>96</v>
      </c>
      <c r="I988" s="15" t="s">
        <v>89</v>
      </c>
      <c r="J988" s="34"/>
      <c r="K988" s="19" t="s">
        <v>581</v>
      </c>
      <c r="L988" s="11"/>
      <c r="M988" s="19" t="s">
        <v>582</v>
      </c>
      <c r="N988" s="57">
        <v>99272.99</v>
      </c>
      <c r="O988" s="62"/>
      <c r="P988" s="12">
        <v>0</v>
      </c>
      <c r="Q988" s="12" t="s">
        <v>12</v>
      </c>
      <c r="R988" s="18" t="s">
        <v>15</v>
      </c>
      <c r="S988" s="12" t="s">
        <v>53</v>
      </c>
      <c r="T988" s="12">
        <v>1</v>
      </c>
      <c r="U988" s="17">
        <v>44211</v>
      </c>
      <c r="V988" s="12" t="s">
        <v>1117</v>
      </c>
      <c r="W988" s="12" t="s">
        <v>584</v>
      </c>
      <c r="X988" s="15" t="s">
        <v>93</v>
      </c>
      <c r="Y988" s="13"/>
      <c r="Z988" s="75"/>
    </row>
    <row r="989" spans="1:35" hidden="1" x14ac:dyDescent="0.3">
      <c r="A989" s="12" t="s">
        <v>85</v>
      </c>
      <c r="B989" s="12">
        <v>15026</v>
      </c>
      <c r="C989" s="19" t="s">
        <v>130</v>
      </c>
      <c r="D989" s="12" t="s">
        <v>1</v>
      </c>
      <c r="E989" s="12" t="s">
        <v>1185</v>
      </c>
      <c r="F989" s="34" t="s">
        <v>87</v>
      </c>
      <c r="G989" s="12" t="s">
        <v>113</v>
      </c>
      <c r="H989" s="15" t="s">
        <v>96</v>
      </c>
      <c r="I989" s="15" t="s">
        <v>89</v>
      </c>
      <c r="J989" s="11" t="s">
        <v>205</v>
      </c>
      <c r="K989" s="11" t="s">
        <v>205</v>
      </c>
      <c r="L989" s="11" t="s">
        <v>1212</v>
      </c>
      <c r="M989" s="11" t="s">
        <v>206</v>
      </c>
      <c r="N989" s="58">
        <v>56730.3</v>
      </c>
      <c r="O989" s="59"/>
      <c r="P989" s="12" t="s">
        <v>415</v>
      </c>
      <c r="Q989" s="12" t="s">
        <v>4</v>
      </c>
      <c r="R989" s="12" t="s">
        <v>15</v>
      </c>
      <c r="S989" s="12" t="s">
        <v>41</v>
      </c>
      <c r="T989" s="12">
        <v>1</v>
      </c>
      <c r="U989" s="17">
        <v>44180</v>
      </c>
      <c r="V989" s="12" t="s">
        <v>1118</v>
      </c>
      <c r="W989" s="12" t="s">
        <v>92</v>
      </c>
      <c r="X989" s="15" t="s">
        <v>93</v>
      </c>
      <c r="Y989" s="13"/>
      <c r="Z989" s="75"/>
    </row>
    <row r="990" spans="1:35" hidden="1" x14ac:dyDescent="0.3">
      <c r="A990" s="12" t="s">
        <v>85</v>
      </c>
      <c r="B990" s="12">
        <v>15171</v>
      </c>
      <c r="C990" s="19" t="s">
        <v>130</v>
      </c>
      <c r="D990" s="12" t="s">
        <v>417</v>
      </c>
      <c r="E990" s="12" t="s">
        <v>1179</v>
      </c>
      <c r="F990" s="34" t="s">
        <v>87</v>
      </c>
      <c r="G990" s="12" t="s">
        <v>113</v>
      </c>
      <c r="H990" s="15" t="s">
        <v>96</v>
      </c>
      <c r="I990" s="15" t="s">
        <v>89</v>
      </c>
      <c r="J990" s="11" t="s">
        <v>418</v>
      </c>
      <c r="K990" s="11" t="s">
        <v>418</v>
      </c>
      <c r="L990" s="11"/>
      <c r="M990" s="11" t="s">
        <v>419</v>
      </c>
      <c r="N990" s="58">
        <v>567.88</v>
      </c>
      <c r="O990" s="59">
        <v>351.86</v>
      </c>
      <c r="P990" s="12" t="s">
        <v>420</v>
      </c>
      <c r="Q990" s="12" t="s">
        <v>4</v>
      </c>
      <c r="R990" s="12" t="s">
        <v>16</v>
      </c>
      <c r="S990" s="12" t="s">
        <v>26</v>
      </c>
      <c r="T990" s="12">
        <v>1</v>
      </c>
      <c r="U990" s="17">
        <v>44189</v>
      </c>
      <c r="V990" s="12" t="s">
        <v>1119</v>
      </c>
      <c r="W990" s="12" t="s">
        <v>584</v>
      </c>
      <c r="X990" s="15" t="s">
        <v>93</v>
      </c>
      <c r="Y990" s="13"/>
      <c r="Z990" s="75"/>
    </row>
    <row r="991" spans="1:35" hidden="1" x14ac:dyDescent="0.3">
      <c r="A991" s="12" t="s">
        <v>85</v>
      </c>
      <c r="B991" s="12">
        <v>40125</v>
      </c>
      <c r="C991" s="11" t="s">
        <v>674</v>
      </c>
      <c r="D991" s="12" t="s">
        <v>1</v>
      </c>
      <c r="E991" s="12" t="s">
        <v>1185</v>
      </c>
      <c r="F991" s="34" t="s">
        <v>113</v>
      </c>
      <c r="G991" s="12" t="s">
        <v>87</v>
      </c>
      <c r="H991" s="15" t="s">
        <v>675</v>
      </c>
      <c r="I991" s="15" t="s">
        <v>115</v>
      </c>
      <c r="J991" s="14" t="s">
        <v>679</v>
      </c>
      <c r="K991" s="11" t="s">
        <v>679</v>
      </c>
      <c r="L991" s="11" t="s">
        <v>1195</v>
      </c>
      <c r="M991" s="11" t="s">
        <v>680</v>
      </c>
      <c r="N991" s="58">
        <v>36802.870000000003</v>
      </c>
      <c r="O991" s="59"/>
      <c r="P991" s="12" t="s">
        <v>91</v>
      </c>
      <c r="Q991" s="12" t="s">
        <v>4</v>
      </c>
      <c r="R991" s="12" t="s">
        <v>16</v>
      </c>
      <c r="S991" s="12" t="s">
        <v>30</v>
      </c>
      <c r="T991" s="12">
        <v>1</v>
      </c>
      <c r="U991" s="17">
        <v>44204</v>
      </c>
      <c r="V991" s="12" t="s">
        <v>1120</v>
      </c>
      <c r="W991" s="12"/>
      <c r="X991" s="15" t="s">
        <v>93</v>
      </c>
      <c r="Y991" s="13"/>
      <c r="Z991" s="75"/>
    </row>
    <row r="992" spans="1:35" hidden="1" x14ac:dyDescent="0.3">
      <c r="A992" s="12" t="s">
        <v>122</v>
      </c>
      <c r="B992" s="12">
        <v>3658</v>
      </c>
      <c r="C992" s="16" t="s">
        <v>180</v>
      </c>
      <c r="D992" s="12" t="s">
        <v>1</v>
      </c>
      <c r="E992" s="12" t="s">
        <v>1185</v>
      </c>
      <c r="F992" s="34" t="s">
        <v>87</v>
      </c>
      <c r="G992" s="12" t="s">
        <v>113</v>
      </c>
      <c r="H992" s="15" t="s">
        <v>181</v>
      </c>
      <c r="I992" s="15" t="s">
        <v>89</v>
      </c>
      <c r="J992" s="11" t="s">
        <v>182</v>
      </c>
      <c r="K992" s="19" t="s">
        <v>182</v>
      </c>
      <c r="L992" s="11" t="s">
        <v>1194</v>
      </c>
      <c r="M992" s="19" t="s">
        <v>183</v>
      </c>
      <c r="N992" s="58">
        <v>1138</v>
      </c>
      <c r="O992" s="59"/>
      <c r="P992" s="34">
        <v>27250</v>
      </c>
      <c r="Q992" s="12" t="s">
        <v>4</v>
      </c>
      <c r="R992" s="18" t="s">
        <v>16</v>
      </c>
      <c r="S992" s="18" t="s">
        <v>30</v>
      </c>
      <c r="T992" s="12">
        <v>1</v>
      </c>
      <c r="U992" s="17">
        <v>44211</v>
      </c>
      <c r="V992" s="12" t="s">
        <v>1121</v>
      </c>
      <c r="W992" s="12"/>
      <c r="X992" s="15" t="s">
        <v>93</v>
      </c>
      <c r="Y992" s="13"/>
      <c r="Z992" s="75"/>
    </row>
    <row r="993" spans="1:26" hidden="1" x14ac:dyDescent="0.3">
      <c r="A993" s="12" t="s">
        <v>85</v>
      </c>
      <c r="B993" s="12">
        <v>4942</v>
      </c>
      <c r="C993" s="11" t="s">
        <v>243</v>
      </c>
      <c r="D993" s="12" t="s">
        <v>1</v>
      </c>
      <c r="E993" s="12" t="s">
        <v>1185</v>
      </c>
      <c r="F993" s="34" t="s">
        <v>132</v>
      </c>
      <c r="G993" s="12" t="s">
        <v>113</v>
      </c>
      <c r="H993" s="15" t="s">
        <v>244</v>
      </c>
      <c r="I993" s="15" t="s">
        <v>115</v>
      </c>
      <c r="J993" s="11" t="s">
        <v>245</v>
      </c>
      <c r="K993" s="11" t="s">
        <v>245</v>
      </c>
      <c r="L993" s="11" t="s">
        <v>1195</v>
      </c>
      <c r="M993" s="11" t="s">
        <v>246</v>
      </c>
      <c r="N993" s="59">
        <v>222.89699999999999</v>
      </c>
      <c r="O993" s="59"/>
      <c r="P993" s="12" t="s">
        <v>247</v>
      </c>
      <c r="Q993" s="18" t="s">
        <v>12</v>
      </c>
      <c r="R993" s="12" t="s">
        <v>13</v>
      </c>
      <c r="S993" s="12" t="s">
        <v>25</v>
      </c>
      <c r="T993" s="12">
        <v>1</v>
      </c>
      <c r="U993" s="17">
        <v>44209</v>
      </c>
      <c r="V993" s="12" t="s">
        <v>1122</v>
      </c>
      <c r="W993" s="12">
        <v>21914</v>
      </c>
      <c r="X993" s="15" t="s">
        <v>93</v>
      </c>
      <c r="Y993" s="17">
        <v>44280</v>
      </c>
      <c r="Z993" s="75"/>
    </row>
    <row r="994" spans="1:26" hidden="1" x14ac:dyDescent="0.3">
      <c r="A994" s="12" t="s">
        <v>85</v>
      </c>
      <c r="B994" s="12">
        <v>7067</v>
      </c>
      <c r="C994" s="11" t="s">
        <v>295</v>
      </c>
      <c r="D994" s="12" t="s">
        <v>1</v>
      </c>
      <c r="E994" s="12" t="s">
        <v>1185</v>
      </c>
      <c r="F994" s="34" t="s">
        <v>87</v>
      </c>
      <c r="G994" s="12" t="s">
        <v>113</v>
      </c>
      <c r="H994" s="15" t="s">
        <v>296</v>
      </c>
      <c r="I994" s="15" t="s">
        <v>89</v>
      </c>
      <c r="J994" s="11" t="s">
        <v>297</v>
      </c>
      <c r="K994" s="11" t="s">
        <v>297</v>
      </c>
      <c r="L994" s="11" t="s">
        <v>1199</v>
      </c>
      <c r="M994" s="11" t="s">
        <v>298</v>
      </c>
      <c r="N994" s="57">
        <v>4312.34</v>
      </c>
      <c r="O994" s="59"/>
      <c r="P994" s="12" t="s">
        <v>299</v>
      </c>
      <c r="Q994" s="12" t="s">
        <v>4</v>
      </c>
      <c r="R994" s="12" t="s">
        <v>13</v>
      </c>
      <c r="S994" s="12" t="s">
        <v>25</v>
      </c>
      <c r="T994" s="12">
        <v>1</v>
      </c>
      <c r="U994" s="17">
        <v>44211</v>
      </c>
      <c r="V994" s="12" t="s">
        <v>1123</v>
      </c>
      <c r="W994" s="12"/>
      <c r="X994" s="15" t="s">
        <v>93</v>
      </c>
      <c r="Y994" s="13"/>
      <c r="Z994" s="75"/>
    </row>
    <row r="995" spans="1:26" hidden="1" x14ac:dyDescent="0.3">
      <c r="A995" s="12" t="s">
        <v>85</v>
      </c>
      <c r="B995" s="12">
        <v>12452</v>
      </c>
      <c r="C995" s="11" t="s">
        <v>295</v>
      </c>
      <c r="D995" s="12" t="s">
        <v>1</v>
      </c>
      <c r="E995" s="12" t="s">
        <v>1185</v>
      </c>
      <c r="F995" s="34" t="s">
        <v>87</v>
      </c>
      <c r="G995" s="12" t="s">
        <v>113</v>
      </c>
      <c r="H995" s="15" t="s">
        <v>296</v>
      </c>
      <c r="I995" s="15" t="s">
        <v>89</v>
      </c>
      <c r="J995" s="11" t="s">
        <v>396</v>
      </c>
      <c r="K995" s="11" t="s">
        <v>396</v>
      </c>
      <c r="L995" s="11" t="s">
        <v>1195</v>
      </c>
      <c r="M995" s="11" t="s">
        <v>397</v>
      </c>
      <c r="N995" s="58">
        <v>964</v>
      </c>
      <c r="O995" s="59"/>
      <c r="P995" s="12" t="s">
        <v>398</v>
      </c>
      <c r="Q995" s="12" t="s">
        <v>4</v>
      </c>
      <c r="R995" s="12" t="s">
        <v>13</v>
      </c>
      <c r="S995" s="12" t="s">
        <v>25</v>
      </c>
      <c r="T995" s="12">
        <v>1</v>
      </c>
      <c r="U995" s="17">
        <v>44211</v>
      </c>
      <c r="V995" s="12" t="s">
        <v>1123</v>
      </c>
      <c r="W995" s="12"/>
      <c r="X995" s="15" t="s">
        <v>93</v>
      </c>
      <c r="Y995" s="13"/>
      <c r="Z995" s="75"/>
    </row>
    <row r="996" spans="1:26" hidden="1" x14ac:dyDescent="0.3">
      <c r="A996" s="12" t="s">
        <v>85</v>
      </c>
      <c r="B996" s="12">
        <v>42520</v>
      </c>
      <c r="C996" s="11" t="s">
        <v>711</v>
      </c>
      <c r="D996" s="12" t="s">
        <v>1</v>
      </c>
      <c r="E996" s="12" t="s">
        <v>1185</v>
      </c>
      <c r="F996" s="34" t="s">
        <v>87</v>
      </c>
      <c r="G996" s="12" t="s">
        <v>113</v>
      </c>
      <c r="H996" s="15" t="s">
        <v>712</v>
      </c>
      <c r="I996" s="15" t="s">
        <v>713</v>
      </c>
      <c r="J996" s="11" t="s">
        <v>714</v>
      </c>
      <c r="K996" s="11" t="s">
        <v>714</v>
      </c>
      <c r="L996" s="11" t="s">
        <v>1197</v>
      </c>
      <c r="M996" s="11" t="s">
        <v>715</v>
      </c>
      <c r="N996" s="59">
        <v>0</v>
      </c>
      <c r="O996" s="59">
        <v>976.13</v>
      </c>
      <c r="P996" s="12" t="s">
        <v>716</v>
      </c>
      <c r="Q996" s="18" t="s">
        <v>12</v>
      </c>
      <c r="R996" s="12" t="s">
        <v>13</v>
      </c>
      <c r="S996" s="12" t="s">
        <v>25</v>
      </c>
      <c r="T996" s="12">
        <v>1</v>
      </c>
      <c r="U996" s="17">
        <v>44209</v>
      </c>
      <c r="V996" s="12" t="s">
        <v>1124</v>
      </c>
      <c r="W996" s="12"/>
      <c r="X996" s="15" t="s">
        <v>93</v>
      </c>
      <c r="Y996" s="13"/>
      <c r="Z996" s="75"/>
    </row>
    <row r="997" spans="1:26" hidden="1" x14ac:dyDescent="0.3">
      <c r="A997" s="12" t="s">
        <v>85</v>
      </c>
      <c r="B997" s="12">
        <v>56135</v>
      </c>
      <c r="C997" s="11" t="s">
        <v>136</v>
      </c>
      <c r="D997" s="12" t="s">
        <v>1</v>
      </c>
      <c r="E997" s="12" t="s">
        <v>1185</v>
      </c>
      <c r="F997" s="34" t="s">
        <v>87</v>
      </c>
      <c r="G997" s="12" t="s">
        <v>113</v>
      </c>
      <c r="H997" s="15" t="s">
        <v>609</v>
      </c>
      <c r="I997" s="15" t="s">
        <v>89</v>
      </c>
      <c r="J997" s="11" t="s">
        <v>1107</v>
      </c>
      <c r="K997" s="11" t="s">
        <v>1107</v>
      </c>
      <c r="L997" s="11" t="s">
        <v>1194</v>
      </c>
      <c r="M997" s="11" t="s">
        <v>1108</v>
      </c>
      <c r="N997" s="58">
        <f>9277.18-1013.85</f>
        <v>8263.33</v>
      </c>
      <c r="O997" s="59">
        <v>300.27</v>
      </c>
      <c r="P997" s="12">
        <v>419516</v>
      </c>
      <c r="Q997" s="12" t="s">
        <v>12</v>
      </c>
      <c r="R997" s="12" t="s">
        <v>13</v>
      </c>
      <c r="S997" s="12" t="s">
        <v>25</v>
      </c>
      <c r="T997" s="12">
        <v>1</v>
      </c>
      <c r="U997" s="17">
        <v>44210</v>
      </c>
      <c r="V997" s="12" t="s">
        <v>1125</v>
      </c>
      <c r="W997" s="12"/>
      <c r="X997" s="15" t="s">
        <v>93</v>
      </c>
      <c r="Y997" s="13">
        <v>44186</v>
      </c>
      <c r="Z997" s="75"/>
    </row>
    <row r="998" spans="1:26" hidden="1" x14ac:dyDescent="0.3">
      <c r="A998" s="12" t="s">
        <v>85</v>
      </c>
      <c r="B998" s="12">
        <v>57065</v>
      </c>
      <c r="C998" s="11" t="s">
        <v>136</v>
      </c>
      <c r="D998" s="12" t="s">
        <v>1</v>
      </c>
      <c r="E998" s="12" t="s">
        <v>1185</v>
      </c>
      <c r="F998" s="34" t="s">
        <v>87</v>
      </c>
      <c r="G998" s="12" t="s">
        <v>113</v>
      </c>
      <c r="H998" s="15" t="s">
        <v>609</v>
      </c>
      <c r="I998" s="15" t="s">
        <v>89</v>
      </c>
      <c r="J998" s="11" t="s">
        <v>1107</v>
      </c>
      <c r="K998" s="11" t="s">
        <v>1107</v>
      </c>
      <c r="L998" s="11" t="s">
        <v>1194</v>
      </c>
      <c r="M998" s="14" t="s">
        <v>1126</v>
      </c>
      <c r="N998" s="58">
        <v>5000</v>
      </c>
      <c r="O998" s="59"/>
      <c r="P998" s="15" t="s">
        <v>1110</v>
      </c>
      <c r="Q998" s="12" t="s">
        <v>12</v>
      </c>
      <c r="R998" s="12" t="s">
        <v>13</v>
      </c>
      <c r="S998" s="12" t="s">
        <v>13</v>
      </c>
      <c r="T998" s="12">
        <v>1</v>
      </c>
      <c r="U998" s="17">
        <v>44210</v>
      </c>
      <c r="V998" s="12" t="s">
        <v>1125</v>
      </c>
      <c r="W998" s="12"/>
      <c r="X998" s="15" t="s">
        <v>93</v>
      </c>
      <c r="Y998" s="13">
        <v>44186</v>
      </c>
      <c r="Z998" s="75"/>
    </row>
    <row r="999" spans="1:26" hidden="1" x14ac:dyDescent="0.3">
      <c r="A999" s="12" t="s">
        <v>85</v>
      </c>
      <c r="B999" s="12">
        <v>37550</v>
      </c>
      <c r="C999" s="11" t="s">
        <v>295</v>
      </c>
      <c r="D999" s="12" t="s">
        <v>1</v>
      </c>
      <c r="E999" s="12" t="s">
        <v>1185</v>
      </c>
      <c r="F999" s="34" t="s">
        <v>87</v>
      </c>
      <c r="G999" s="12" t="s">
        <v>113</v>
      </c>
      <c r="H999" s="15" t="s">
        <v>296</v>
      </c>
      <c r="I999" s="15" t="s">
        <v>89</v>
      </c>
      <c r="J999" s="11" t="s">
        <v>661</v>
      </c>
      <c r="K999" s="11" t="s">
        <v>661</v>
      </c>
      <c r="L999" s="11" t="s">
        <v>1194</v>
      </c>
      <c r="M999" s="11" t="s">
        <v>662</v>
      </c>
      <c r="N999" s="58">
        <v>1484.4</v>
      </c>
      <c r="O999" s="59"/>
      <c r="P999" s="12" t="s">
        <v>663</v>
      </c>
      <c r="Q999" s="12" t="s">
        <v>4</v>
      </c>
      <c r="R999" s="12" t="s">
        <v>13</v>
      </c>
      <c r="S999" s="12" t="s">
        <v>14</v>
      </c>
      <c r="T999" s="12">
        <v>1</v>
      </c>
      <c r="U999" s="17">
        <v>44211</v>
      </c>
      <c r="V999" s="12" t="s">
        <v>1123</v>
      </c>
      <c r="W999" s="12"/>
      <c r="X999" s="15" t="s">
        <v>93</v>
      </c>
      <c r="Y999" s="13"/>
      <c r="Z999" s="75"/>
    </row>
    <row r="1000" spans="1:26" hidden="1" x14ac:dyDescent="0.3">
      <c r="A1000" s="12" t="s">
        <v>85</v>
      </c>
      <c r="B1000" s="12">
        <v>37551</v>
      </c>
      <c r="C1000" s="11" t="s">
        <v>295</v>
      </c>
      <c r="D1000" s="12" t="s">
        <v>1</v>
      </c>
      <c r="E1000" s="12" t="s">
        <v>1185</v>
      </c>
      <c r="F1000" s="34" t="s">
        <v>87</v>
      </c>
      <c r="G1000" s="12" t="s">
        <v>113</v>
      </c>
      <c r="H1000" s="15" t="s">
        <v>296</v>
      </c>
      <c r="I1000" s="15" t="s">
        <v>89</v>
      </c>
      <c r="J1000" s="11" t="s">
        <v>661</v>
      </c>
      <c r="K1000" s="11" t="s">
        <v>661</v>
      </c>
      <c r="L1000" s="11" t="s">
        <v>1194</v>
      </c>
      <c r="M1000" s="11" t="s">
        <v>662</v>
      </c>
      <c r="N1000" s="58">
        <v>294.5</v>
      </c>
      <c r="O1000" s="59"/>
      <c r="P1000" s="12" t="s">
        <v>665</v>
      </c>
      <c r="Q1000" s="12" t="s">
        <v>4</v>
      </c>
      <c r="R1000" s="12" t="s">
        <v>13</v>
      </c>
      <c r="S1000" s="12" t="s">
        <v>14</v>
      </c>
      <c r="T1000" s="12">
        <v>1</v>
      </c>
      <c r="U1000" s="17">
        <v>44211</v>
      </c>
      <c r="V1000" s="12" t="s">
        <v>1123</v>
      </c>
      <c r="W1000" s="12"/>
      <c r="X1000" s="15" t="s">
        <v>93</v>
      </c>
      <c r="Y1000" s="13"/>
      <c r="Z1000" s="75"/>
    </row>
    <row r="1001" spans="1:26" hidden="1" x14ac:dyDescent="0.3">
      <c r="A1001" s="12" t="s">
        <v>85</v>
      </c>
      <c r="B1001" s="12">
        <v>37552</v>
      </c>
      <c r="C1001" s="11" t="s">
        <v>295</v>
      </c>
      <c r="D1001" s="12" t="s">
        <v>1</v>
      </c>
      <c r="E1001" s="12" t="s">
        <v>1185</v>
      </c>
      <c r="F1001" s="34" t="s">
        <v>87</v>
      </c>
      <c r="G1001" s="12" t="s">
        <v>113</v>
      </c>
      <c r="H1001" s="15" t="s">
        <v>296</v>
      </c>
      <c r="I1001" s="15" t="s">
        <v>89</v>
      </c>
      <c r="J1001" s="11" t="s">
        <v>661</v>
      </c>
      <c r="K1001" s="11" t="s">
        <v>661</v>
      </c>
      <c r="L1001" s="11" t="s">
        <v>1194</v>
      </c>
      <c r="M1001" s="11" t="s">
        <v>662</v>
      </c>
      <c r="N1001" s="58">
        <v>263.5</v>
      </c>
      <c r="O1001" s="59"/>
      <c r="P1001" s="12" t="s">
        <v>666</v>
      </c>
      <c r="Q1001" s="12" t="s">
        <v>4</v>
      </c>
      <c r="R1001" s="12" t="s">
        <v>13</v>
      </c>
      <c r="S1001" s="12" t="s">
        <v>14</v>
      </c>
      <c r="T1001" s="12">
        <v>1</v>
      </c>
      <c r="U1001" s="17">
        <v>44211</v>
      </c>
      <c r="V1001" s="12" t="s">
        <v>1123</v>
      </c>
      <c r="W1001" s="12"/>
      <c r="X1001" s="15" t="s">
        <v>93</v>
      </c>
      <c r="Y1001" s="13"/>
      <c r="Z1001" s="75"/>
    </row>
    <row r="1002" spans="1:26" hidden="1" x14ac:dyDescent="0.3">
      <c r="A1002" s="12" t="s">
        <v>85</v>
      </c>
      <c r="B1002" s="12">
        <v>37553</v>
      </c>
      <c r="C1002" s="11" t="s">
        <v>295</v>
      </c>
      <c r="D1002" s="12" t="s">
        <v>1</v>
      </c>
      <c r="E1002" s="12" t="s">
        <v>1185</v>
      </c>
      <c r="F1002" s="34" t="s">
        <v>87</v>
      </c>
      <c r="G1002" s="12" t="s">
        <v>113</v>
      </c>
      <c r="H1002" s="15" t="s">
        <v>296</v>
      </c>
      <c r="I1002" s="15" t="s">
        <v>89</v>
      </c>
      <c r="J1002" s="11" t="s">
        <v>661</v>
      </c>
      <c r="K1002" s="11" t="s">
        <v>661</v>
      </c>
      <c r="L1002" s="11" t="s">
        <v>1194</v>
      </c>
      <c r="M1002" s="11" t="s">
        <v>662</v>
      </c>
      <c r="N1002" s="58">
        <v>247.5</v>
      </c>
      <c r="O1002" s="59"/>
      <c r="P1002" s="12" t="s">
        <v>667</v>
      </c>
      <c r="Q1002" s="12" t="s">
        <v>4</v>
      </c>
      <c r="R1002" s="12" t="s">
        <v>13</v>
      </c>
      <c r="S1002" s="12" t="s">
        <v>14</v>
      </c>
      <c r="T1002" s="12">
        <v>1</v>
      </c>
      <c r="U1002" s="17">
        <v>44211</v>
      </c>
      <c r="V1002" s="12" t="s">
        <v>1123</v>
      </c>
      <c r="W1002" s="12"/>
      <c r="X1002" s="15" t="s">
        <v>93</v>
      </c>
      <c r="Y1002" s="13"/>
      <c r="Z1002" s="75"/>
    </row>
    <row r="1003" spans="1:26" hidden="1" x14ac:dyDescent="0.3">
      <c r="A1003" s="12" t="s">
        <v>85</v>
      </c>
      <c r="B1003" s="12">
        <v>37554</v>
      </c>
      <c r="C1003" s="11" t="s">
        <v>295</v>
      </c>
      <c r="D1003" s="12" t="s">
        <v>1</v>
      </c>
      <c r="E1003" s="12" t="s">
        <v>1185</v>
      </c>
      <c r="F1003" s="34" t="s">
        <v>87</v>
      </c>
      <c r="G1003" s="12" t="s">
        <v>113</v>
      </c>
      <c r="H1003" s="15" t="s">
        <v>296</v>
      </c>
      <c r="I1003" s="15" t="s">
        <v>89</v>
      </c>
      <c r="J1003" s="11" t="s">
        <v>661</v>
      </c>
      <c r="K1003" s="11" t="s">
        <v>661</v>
      </c>
      <c r="L1003" s="11" t="s">
        <v>1194</v>
      </c>
      <c r="M1003" s="11" t="s">
        <v>662</v>
      </c>
      <c r="N1003" s="58">
        <v>375</v>
      </c>
      <c r="O1003" s="59"/>
      <c r="P1003" s="12" t="s">
        <v>668</v>
      </c>
      <c r="Q1003" s="12" t="s">
        <v>4</v>
      </c>
      <c r="R1003" s="12" t="s">
        <v>13</v>
      </c>
      <c r="S1003" s="12" t="s">
        <v>14</v>
      </c>
      <c r="T1003" s="12">
        <v>1</v>
      </c>
      <c r="U1003" s="17">
        <v>44211</v>
      </c>
      <c r="V1003" s="12" t="s">
        <v>1123</v>
      </c>
      <c r="W1003" s="12"/>
      <c r="X1003" s="15" t="s">
        <v>93</v>
      </c>
      <c r="Y1003" s="13"/>
      <c r="Z1003" s="75"/>
    </row>
    <row r="1004" spans="1:26" hidden="1" x14ac:dyDescent="0.3">
      <c r="A1004" s="12" t="s">
        <v>85</v>
      </c>
      <c r="B1004" s="12">
        <v>167236</v>
      </c>
      <c r="C1004" s="11" t="s">
        <v>1033</v>
      </c>
      <c r="D1004" s="12" t="s">
        <v>1</v>
      </c>
      <c r="E1004" s="12" t="s">
        <v>1185</v>
      </c>
      <c r="F1004" s="12" t="s">
        <v>113</v>
      </c>
      <c r="G1004" s="12" t="s">
        <v>132</v>
      </c>
      <c r="H1004" s="15" t="s">
        <v>195</v>
      </c>
      <c r="I1004" s="15" t="s">
        <v>115</v>
      </c>
      <c r="J1004" s="11" t="s">
        <v>1062</v>
      </c>
      <c r="K1004" s="11" t="s">
        <v>1062</v>
      </c>
      <c r="L1004" s="11" t="s">
        <v>1195</v>
      </c>
      <c r="M1004" s="11" t="s">
        <v>1063</v>
      </c>
      <c r="N1004" s="66">
        <v>232889.33</v>
      </c>
      <c r="O1004" s="59"/>
      <c r="P1004" s="12" t="s">
        <v>1064</v>
      </c>
      <c r="Q1004" s="12" t="s">
        <v>4</v>
      </c>
      <c r="R1004" s="12" t="s">
        <v>21</v>
      </c>
      <c r="S1004" s="12" t="s">
        <v>25</v>
      </c>
      <c r="T1004" s="12">
        <v>1</v>
      </c>
      <c r="U1004" s="17">
        <v>44174</v>
      </c>
      <c r="V1004" s="12" t="s">
        <v>1127</v>
      </c>
      <c r="W1004" s="12"/>
      <c r="X1004" s="15" t="s">
        <v>93</v>
      </c>
      <c r="Y1004" s="13"/>
      <c r="Z1004" s="75"/>
    </row>
    <row r="1005" spans="1:26" hidden="1" x14ac:dyDescent="0.3">
      <c r="A1005" s="12" t="s">
        <v>85</v>
      </c>
      <c r="B1005" s="12">
        <v>9604</v>
      </c>
      <c r="C1005" s="11" t="s">
        <v>1128</v>
      </c>
      <c r="D1005" s="12" t="s">
        <v>1</v>
      </c>
      <c r="E1005" s="12" t="s">
        <v>1185</v>
      </c>
      <c r="F1005" s="34" t="s">
        <v>87</v>
      </c>
      <c r="G1005" s="12" t="s">
        <v>113</v>
      </c>
      <c r="H1005" s="15" t="s">
        <v>153</v>
      </c>
      <c r="I1005" s="15" t="s">
        <v>115</v>
      </c>
      <c r="J1005" s="14" t="s">
        <v>1174</v>
      </c>
      <c r="K1005" s="14" t="s">
        <v>1174</v>
      </c>
      <c r="L1005" s="14" t="s">
        <v>1195</v>
      </c>
      <c r="M1005" s="14"/>
      <c r="N1005" s="61">
        <v>365.19</v>
      </c>
      <c r="O1005" s="61"/>
      <c r="P1005" s="15"/>
      <c r="Q1005" s="12" t="s">
        <v>4</v>
      </c>
      <c r="R1005" s="12" t="s">
        <v>21</v>
      </c>
      <c r="S1005" s="12" t="s">
        <v>25</v>
      </c>
      <c r="T1005" s="12">
        <v>1</v>
      </c>
      <c r="U1005" s="17">
        <v>44209</v>
      </c>
      <c r="V1005" s="12" t="s">
        <v>1129</v>
      </c>
      <c r="W1005" s="12"/>
      <c r="X1005" s="15" t="s">
        <v>93</v>
      </c>
      <c r="Y1005" s="13"/>
      <c r="Z1005" s="75"/>
    </row>
    <row r="1006" spans="1:26" hidden="1" x14ac:dyDescent="0.3">
      <c r="A1006" s="12" t="s">
        <v>85</v>
      </c>
      <c r="B1006" s="12">
        <v>9606</v>
      </c>
      <c r="C1006" s="11" t="s">
        <v>1128</v>
      </c>
      <c r="D1006" s="12" t="s">
        <v>1</v>
      </c>
      <c r="E1006" s="12" t="s">
        <v>1185</v>
      </c>
      <c r="F1006" s="34" t="s">
        <v>87</v>
      </c>
      <c r="G1006" s="12" t="s">
        <v>113</v>
      </c>
      <c r="H1006" s="15" t="s">
        <v>153</v>
      </c>
      <c r="I1006" s="15" t="s">
        <v>115</v>
      </c>
      <c r="J1006" s="14" t="s">
        <v>1175</v>
      </c>
      <c r="K1006" s="14" t="s">
        <v>1175</v>
      </c>
      <c r="L1006" s="14" t="s">
        <v>1195</v>
      </c>
      <c r="M1006" s="14"/>
      <c r="N1006" s="61">
        <v>365.19</v>
      </c>
      <c r="O1006" s="61"/>
      <c r="P1006" s="15"/>
      <c r="Q1006" s="12" t="s">
        <v>4</v>
      </c>
      <c r="R1006" s="12" t="s">
        <v>21</v>
      </c>
      <c r="S1006" s="12" t="s">
        <v>25</v>
      </c>
      <c r="T1006" s="12">
        <v>1</v>
      </c>
      <c r="U1006" s="17">
        <v>44209</v>
      </c>
      <c r="V1006" s="12" t="s">
        <v>1129</v>
      </c>
      <c r="W1006" s="12"/>
      <c r="X1006" s="15" t="s">
        <v>93</v>
      </c>
      <c r="Y1006" s="13"/>
      <c r="Z1006" s="75"/>
    </row>
    <row r="1007" spans="1:26" hidden="1" x14ac:dyDescent="0.3">
      <c r="A1007" s="12" t="s">
        <v>85</v>
      </c>
      <c r="B1007" s="12">
        <v>9607</v>
      </c>
      <c r="C1007" s="11" t="s">
        <v>1128</v>
      </c>
      <c r="D1007" s="12" t="s">
        <v>1</v>
      </c>
      <c r="E1007" s="12" t="s">
        <v>1185</v>
      </c>
      <c r="F1007" s="34" t="s">
        <v>87</v>
      </c>
      <c r="G1007" s="12" t="s">
        <v>113</v>
      </c>
      <c r="H1007" s="15" t="s">
        <v>153</v>
      </c>
      <c r="I1007" s="15" t="s">
        <v>115</v>
      </c>
      <c r="J1007" s="14" t="s">
        <v>1176</v>
      </c>
      <c r="K1007" s="14" t="s">
        <v>1176</v>
      </c>
      <c r="L1007" s="14" t="s">
        <v>1195</v>
      </c>
      <c r="M1007" s="14"/>
      <c r="N1007" s="61">
        <v>365.19</v>
      </c>
      <c r="O1007" s="61"/>
      <c r="P1007" s="15"/>
      <c r="Q1007" s="12" t="s">
        <v>4</v>
      </c>
      <c r="R1007" s="12" t="s">
        <v>21</v>
      </c>
      <c r="S1007" s="12" t="s">
        <v>25</v>
      </c>
      <c r="T1007" s="12">
        <v>1</v>
      </c>
      <c r="U1007" s="17">
        <v>44209</v>
      </c>
      <c r="V1007" s="12" t="s">
        <v>1129</v>
      </c>
      <c r="W1007" s="12"/>
      <c r="X1007" s="15" t="s">
        <v>93</v>
      </c>
      <c r="Y1007" s="13"/>
      <c r="Z1007" s="75"/>
    </row>
    <row r="1008" spans="1:26" hidden="1" x14ac:dyDescent="0.3">
      <c r="A1008" s="12" t="s">
        <v>85</v>
      </c>
      <c r="B1008" s="12">
        <v>9608</v>
      </c>
      <c r="C1008" s="11" t="s">
        <v>1128</v>
      </c>
      <c r="D1008" s="12" t="s">
        <v>1</v>
      </c>
      <c r="E1008" s="12" t="s">
        <v>1185</v>
      </c>
      <c r="F1008" s="34" t="s">
        <v>1130</v>
      </c>
      <c r="G1008" s="12" t="s">
        <v>113</v>
      </c>
      <c r="H1008" s="15" t="s">
        <v>153</v>
      </c>
      <c r="I1008" s="15" t="s">
        <v>115</v>
      </c>
      <c r="J1008" s="14" t="s">
        <v>1177</v>
      </c>
      <c r="K1008" s="14" t="s">
        <v>1177</v>
      </c>
      <c r="L1008" s="14" t="s">
        <v>1195</v>
      </c>
      <c r="M1008" s="14"/>
      <c r="N1008" s="61">
        <v>432.41</v>
      </c>
      <c r="O1008" s="61"/>
      <c r="P1008" s="15"/>
      <c r="Q1008" s="12" t="s">
        <v>4</v>
      </c>
      <c r="R1008" s="12" t="s">
        <v>21</v>
      </c>
      <c r="S1008" s="12" t="s">
        <v>25</v>
      </c>
      <c r="T1008" s="12">
        <v>1</v>
      </c>
      <c r="U1008" s="17">
        <v>44209</v>
      </c>
      <c r="V1008" s="12" t="s">
        <v>1129</v>
      </c>
      <c r="W1008" s="12"/>
      <c r="X1008" s="15" t="s">
        <v>93</v>
      </c>
      <c r="Y1008" s="13"/>
      <c r="Z1008" s="75"/>
    </row>
    <row r="1009" spans="1:35" hidden="1" x14ac:dyDescent="0.3">
      <c r="A1009" s="12" t="s">
        <v>85</v>
      </c>
      <c r="B1009" s="12">
        <v>2197</v>
      </c>
      <c r="C1009" s="11" t="s">
        <v>152</v>
      </c>
      <c r="D1009" s="12" t="s">
        <v>1</v>
      </c>
      <c r="E1009" s="12" t="s">
        <v>1185</v>
      </c>
      <c r="F1009" s="12" t="s">
        <v>113</v>
      </c>
      <c r="G1009" s="12" t="s">
        <v>87</v>
      </c>
      <c r="H1009" s="15" t="s">
        <v>153</v>
      </c>
      <c r="I1009" s="15" t="s">
        <v>115</v>
      </c>
      <c r="J1009" s="11" t="s">
        <v>154</v>
      </c>
      <c r="K1009" s="11" t="s">
        <v>154</v>
      </c>
      <c r="L1009" s="11" t="s">
        <v>1195</v>
      </c>
      <c r="M1009" s="11" t="s">
        <v>155</v>
      </c>
      <c r="N1009" s="58">
        <v>880</v>
      </c>
      <c r="O1009" s="59"/>
      <c r="P1009" s="12"/>
      <c r="Q1009" s="12" t="s">
        <v>4</v>
      </c>
      <c r="R1009" s="12" t="s">
        <v>21</v>
      </c>
      <c r="S1009" s="12" t="s">
        <v>25</v>
      </c>
      <c r="T1009" s="12">
        <v>1</v>
      </c>
      <c r="U1009" s="17">
        <v>44209</v>
      </c>
      <c r="V1009" s="12" t="s">
        <v>1129</v>
      </c>
      <c r="W1009" s="12"/>
      <c r="X1009" s="15" t="s">
        <v>93</v>
      </c>
      <c r="Y1009" s="13"/>
      <c r="Z1009" s="75"/>
    </row>
    <row r="1010" spans="1:35" hidden="1" x14ac:dyDescent="0.3">
      <c r="A1010" s="12" t="s">
        <v>85</v>
      </c>
      <c r="B1010" s="18">
        <v>35206</v>
      </c>
      <c r="C1010" s="11" t="s">
        <v>367</v>
      </c>
      <c r="D1010" s="18" t="s">
        <v>1</v>
      </c>
      <c r="E1010" s="12" t="s">
        <v>1185</v>
      </c>
      <c r="F1010" s="34" t="s">
        <v>87</v>
      </c>
      <c r="G1010" s="12" t="s">
        <v>87</v>
      </c>
      <c r="H1010" s="34" t="s">
        <v>1131</v>
      </c>
      <c r="I1010" s="34" t="s">
        <v>115</v>
      </c>
      <c r="J1010" s="11" t="s">
        <v>645</v>
      </c>
      <c r="K1010" s="11" t="s">
        <v>645</v>
      </c>
      <c r="L1010" s="11" t="s">
        <v>1207</v>
      </c>
      <c r="M1010" s="19" t="s">
        <v>582</v>
      </c>
      <c r="N1010" s="59">
        <v>998.24</v>
      </c>
      <c r="O1010" s="59"/>
      <c r="P1010" s="34">
        <v>21726</v>
      </c>
      <c r="Q1010" s="18" t="s">
        <v>4</v>
      </c>
      <c r="R1010" s="12" t="s">
        <v>16</v>
      </c>
      <c r="S1010" s="18" t="s">
        <v>21</v>
      </c>
      <c r="T1010" s="12">
        <v>1</v>
      </c>
      <c r="U1010" s="17">
        <v>44174</v>
      </c>
      <c r="V1010" s="18" t="s">
        <v>1127</v>
      </c>
      <c r="W1010" s="18"/>
      <c r="X1010" s="34" t="s">
        <v>93</v>
      </c>
      <c r="Y1010" s="17"/>
      <c r="Z1010" s="75"/>
    </row>
    <row r="1011" spans="1:35" hidden="1" x14ac:dyDescent="0.3">
      <c r="A1011" s="12" t="s">
        <v>85</v>
      </c>
      <c r="B1011" s="18">
        <v>15171</v>
      </c>
      <c r="C1011" s="19" t="s">
        <v>130</v>
      </c>
      <c r="D1011" s="12" t="s">
        <v>417</v>
      </c>
      <c r="E1011" s="18" t="s">
        <v>1179</v>
      </c>
      <c r="F1011" s="34" t="s">
        <v>87</v>
      </c>
      <c r="G1011" s="12" t="s">
        <v>113</v>
      </c>
      <c r="H1011" s="34" t="s">
        <v>96</v>
      </c>
      <c r="I1011" s="34" t="s">
        <v>89</v>
      </c>
      <c r="J1011" s="11" t="s">
        <v>418</v>
      </c>
      <c r="K1011" s="19" t="s">
        <v>418</v>
      </c>
      <c r="L1011" s="19"/>
      <c r="M1011" s="19" t="s">
        <v>419</v>
      </c>
      <c r="N1011" s="58">
        <v>567.88</v>
      </c>
      <c r="O1011" s="59">
        <v>351.86</v>
      </c>
      <c r="P1011" s="34" t="s">
        <v>420</v>
      </c>
      <c r="Q1011" s="18" t="s">
        <v>4</v>
      </c>
      <c r="R1011" s="18" t="s">
        <v>16</v>
      </c>
      <c r="S1011" s="12" t="s">
        <v>26</v>
      </c>
      <c r="T1011" s="12">
        <v>1</v>
      </c>
      <c r="U1011" s="17">
        <v>44250</v>
      </c>
      <c r="V1011" s="18" t="s">
        <v>1132</v>
      </c>
      <c r="W1011" s="18"/>
      <c r="X1011" s="34" t="s">
        <v>105</v>
      </c>
      <c r="Y1011" s="17"/>
      <c r="Z1011" s="75"/>
    </row>
    <row r="1012" spans="1:35" s="52" customFormat="1" ht="21" hidden="1" x14ac:dyDescent="0.25">
      <c r="A1012" s="12" t="s">
        <v>85</v>
      </c>
      <c r="B1012" s="48">
        <v>167236</v>
      </c>
      <c r="C1012" s="49" t="s">
        <v>1033</v>
      </c>
      <c r="D1012" s="48" t="s">
        <v>1</v>
      </c>
      <c r="E1012" s="12" t="s">
        <v>1185</v>
      </c>
      <c r="F1012" s="47" t="s">
        <v>113</v>
      </c>
      <c r="G1012" s="12" t="s">
        <v>132</v>
      </c>
      <c r="H1012" s="50" t="s">
        <v>195</v>
      </c>
      <c r="I1012" s="47" t="s">
        <v>115</v>
      </c>
      <c r="J1012" s="11" t="s">
        <v>1062</v>
      </c>
      <c r="K1012" s="49" t="s">
        <v>1062</v>
      </c>
      <c r="L1012" s="11" t="s">
        <v>1195</v>
      </c>
      <c r="M1012" s="49" t="s">
        <v>1063</v>
      </c>
      <c r="N1012" s="66">
        <v>232889.33</v>
      </c>
      <c r="O1012" s="59"/>
      <c r="P1012" s="18" t="s">
        <v>1064</v>
      </c>
      <c r="Q1012" s="94" t="s">
        <v>4</v>
      </c>
      <c r="R1012" s="48" t="s">
        <v>21</v>
      </c>
      <c r="S1012" s="99" t="s">
        <v>14</v>
      </c>
      <c r="T1012" s="12">
        <v>1</v>
      </c>
      <c r="U1012" s="100">
        <v>44221</v>
      </c>
      <c r="V1012" s="99" t="s">
        <v>1129</v>
      </c>
      <c r="W1012" s="94"/>
      <c r="X1012" s="101" t="s">
        <v>93</v>
      </c>
      <c r="Y1012" s="100"/>
      <c r="Z1012" s="75"/>
      <c r="AA1012" s="51"/>
      <c r="AC1012" s="51"/>
      <c r="AD1012" s="53"/>
      <c r="AE1012" s="53"/>
      <c r="AF1012" s="53"/>
      <c r="AG1012" s="53"/>
      <c r="AH1012" s="53"/>
      <c r="AI1012" s="53"/>
    </row>
    <row r="1013" spans="1:35" hidden="1" x14ac:dyDescent="0.3">
      <c r="A1013" s="12" t="s">
        <v>85</v>
      </c>
      <c r="B1013" s="18">
        <v>7067</v>
      </c>
      <c r="C1013" s="19" t="s">
        <v>295</v>
      </c>
      <c r="D1013" s="18" t="s">
        <v>1</v>
      </c>
      <c r="E1013" s="12" t="s">
        <v>1185</v>
      </c>
      <c r="F1013" s="34" t="s">
        <v>87</v>
      </c>
      <c r="G1013" s="12" t="s">
        <v>113</v>
      </c>
      <c r="H1013" s="34" t="s">
        <v>296</v>
      </c>
      <c r="I1013" s="34" t="s">
        <v>89</v>
      </c>
      <c r="J1013" s="19" t="s">
        <v>661</v>
      </c>
      <c r="K1013" s="19" t="s">
        <v>297</v>
      </c>
      <c r="L1013" s="11" t="s">
        <v>1199</v>
      </c>
      <c r="M1013" s="19" t="s">
        <v>298</v>
      </c>
      <c r="N1013" s="57">
        <v>4312.34</v>
      </c>
      <c r="O1013" s="59"/>
      <c r="P1013" s="34" t="s">
        <v>299</v>
      </c>
      <c r="Q1013" s="18" t="s">
        <v>4</v>
      </c>
      <c r="R1013" s="18" t="s">
        <v>13</v>
      </c>
      <c r="S1013" s="18" t="s">
        <v>25</v>
      </c>
      <c r="T1013" s="12">
        <v>1</v>
      </c>
      <c r="U1013" s="17">
        <v>44228</v>
      </c>
      <c r="V1013" s="18" t="s">
        <v>1133</v>
      </c>
      <c r="W1013" s="18"/>
      <c r="X1013" s="15" t="s">
        <v>93</v>
      </c>
      <c r="Y1013" s="17"/>
      <c r="Z1013" s="75"/>
    </row>
    <row r="1014" spans="1:35" hidden="1" x14ac:dyDescent="0.3">
      <c r="A1014" s="12" t="s">
        <v>85</v>
      </c>
      <c r="B1014" s="18">
        <v>12452</v>
      </c>
      <c r="C1014" s="19" t="s">
        <v>295</v>
      </c>
      <c r="D1014" s="18" t="s">
        <v>1</v>
      </c>
      <c r="E1014" s="12" t="s">
        <v>1185</v>
      </c>
      <c r="F1014" s="34" t="s">
        <v>87</v>
      </c>
      <c r="G1014" s="12" t="s">
        <v>113</v>
      </c>
      <c r="H1014" s="34" t="s">
        <v>296</v>
      </c>
      <c r="I1014" s="34" t="s">
        <v>89</v>
      </c>
      <c r="J1014" s="19" t="s">
        <v>396</v>
      </c>
      <c r="K1014" s="19" t="s">
        <v>396</v>
      </c>
      <c r="L1014" s="11" t="s">
        <v>1195</v>
      </c>
      <c r="M1014" s="19" t="s">
        <v>397</v>
      </c>
      <c r="N1014" s="58">
        <v>964</v>
      </c>
      <c r="O1014" s="59"/>
      <c r="P1014" s="34" t="s">
        <v>398</v>
      </c>
      <c r="Q1014" s="18" t="s">
        <v>4</v>
      </c>
      <c r="R1014" s="18" t="s">
        <v>13</v>
      </c>
      <c r="S1014" s="18" t="s">
        <v>25</v>
      </c>
      <c r="T1014" s="12">
        <v>1</v>
      </c>
      <c r="U1014" s="17">
        <v>44228</v>
      </c>
      <c r="V1014" s="18" t="s">
        <v>1133</v>
      </c>
      <c r="W1014" s="18"/>
      <c r="X1014" s="15" t="s">
        <v>93</v>
      </c>
      <c r="Y1014" s="17"/>
      <c r="Z1014" s="75"/>
    </row>
    <row r="1015" spans="1:35" hidden="1" x14ac:dyDescent="0.3">
      <c r="A1015" s="12" t="s">
        <v>85</v>
      </c>
      <c r="B1015" s="18">
        <v>37550</v>
      </c>
      <c r="C1015" s="19" t="s">
        <v>295</v>
      </c>
      <c r="D1015" s="18" t="s">
        <v>1</v>
      </c>
      <c r="E1015" s="12" t="s">
        <v>1185</v>
      </c>
      <c r="F1015" s="34" t="s">
        <v>87</v>
      </c>
      <c r="G1015" s="12" t="s">
        <v>113</v>
      </c>
      <c r="H1015" s="34" t="s">
        <v>296</v>
      </c>
      <c r="I1015" s="34" t="s">
        <v>89</v>
      </c>
      <c r="J1015" s="19" t="s">
        <v>661</v>
      </c>
      <c r="K1015" s="19" t="s">
        <v>661</v>
      </c>
      <c r="L1015" s="11" t="s">
        <v>1194</v>
      </c>
      <c r="M1015" s="19" t="s">
        <v>662</v>
      </c>
      <c r="N1015" s="58">
        <v>1484.4</v>
      </c>
      <c r="O1015" s="59"/>
      <c r="P1015" s="34" t="s">
        <v>663</v>
      </c>
      <c r="Q1015" s="18" t="s">
        <v>4</v>
      </c>
      <c r="R1015" s="18" t="s">
        <v>13</v>
      </c>
      <c r="S1015" s="18" t="s">
        <v>14</v>
      </c>
      <c r="T1015" s="12">
        <v>1</v>
      </c>
      <c r="U1015" s="17">
        <v>44228</v>
      </c>
      <c r="V1015" s="18" t="s">
        <v>1133</v>
      </c>
      <c r="W1015" s="18"/>
      <c r="X1015" s="34" t="s">
        <v>93</v>
      </c>
      <c r="Y1015" s="17"/>
      <c r="Z1015" s="75"/>
    </row>
    <row r="1016" spans="1:35" hidden="1" x14ac:dyDescent="0.3">
      <c r="A1016" s="12" t="s">
        <v>85</v>
      </c>
      <c r="B1016" s="18">
        <v>37551</v>
      </c>
      <c r="C1016" s="19" t="s">
        <v>295</v>
      </c>
      <c r="D1016" s="18" t="s">
        <v>1</v>
      </c>
      <c r="E1016" s="12" t="s">
        <v>1185</v>
      </c>
      <c r="F1016" s="34" t="s">
        <v>87</v>
      </c>
      <c r="G1016" s="12" t="s">
        <v>113</v>
      </c>
      <c r="H1016" s="34" t="s">
        <v>296</v>
      </c>
      <c r="I1016" s="34" t="s">
        <v>89</v>
      </c>
      <c r="J1016" s="19" t="s">
        <v>661</v>
      </c>
      <c r="K1016" s="19" t="s">
        <v>661</v>
      </c>
      <c r="L1016" s="11" t="s">
        <v>1194</v>
      </c>
      <c r="M1016" s="19" t="s">
        <v>662</v>
      </c>
      <c r="N1016" s="58">
        <v>294.5</v>
      </c>
      <c r="O1016" s="59"/>
      <c r="P1016" s="34" t="s">
        <v>665</v>
      </c>
      <c r="Q1016" s="18" t="s">
        <v>4</v>
      </c>
      <c r="R1016" s="18" t="s">
        <v>13</v>
      </c>
      <c r="S1016" s="18" t="s">
        <v>14</v>
      </c>
      <c r="T1016" s="12">
        <v>1</v>
      </c>
      <c r="U1016" s="17">
        <v>44228</v>
      </c>
      <c r="V1016" s="18" t="s">
        <v>1133</v>
      </c>
      <c r="W1016" s="18"/>
      <c r="X1016" s="34" t="s">
        <v>93</v>
      </c>
      <c r="Y1016" s="17"/>
      <c r="Z1016" s="75"/>
    </row>
    <row r="1017" spans="1:35" hidden="1" x14ac:dyDescent="0.3">
      <c r="A1017" s="12" t="s">
        <v>85</v>
      </c>
      <c r="B1017" s="18">
        <v>37552</v>
      </c>
      <c r="C1017" s="19" t="s">
        <v>295</v>
      </c>
      <c r="D1017" s="18" t="s">
        <v>1</v>
      </c>
      <c r="E1017" s="12" t="s">
        <v>1185</v>
      </c>
      <c r="F1017" s="34" t="s">
        <v>87</v>
      </c>
      <c r="G1017" s="12" t="s">
        <v>113</v>
      </c>
      <c r="H1017" s="34" t="s">
        <v>296</v>
      </c>
      <c r="I1017" s="34" t="s">
        <v>89</v>
      </c>
      <c r="J1017" s="19" t="s">
        <v>661</v>
      </c>
      <c r="K1017" s="19" t="s">
        <v>661</v>
      </c>
      <c r="L1017" s="11" t="s">
        <v>1194</v>
      </c>
      <c r="M1017" s="19" t="s">
        <v>662</v>
      </c>
      <c r="N1017" s="58">
        <v>263.5</v>
      </c>
      <c r="O1017" s="59"/>
      <c r="P1017" s="34" t="s">
        <v>666</v>
      </c>
      <c r="Q1017" s="18" t="s">
        <v>4</v>
      </c>
      <c r="R1017" s="18" t="s">
        <v>13</v>
      </c>
      <c r="S1017" s="18" t="s">
        <v>14</v>
      </c>
      <c r="T1017" s="12">
        <v>1</v>
      </c>
      <c r="U1017" s="17">
        <v>44228</v>
      </c>
      <c r="V1017" s="18" t="s">
        <v>1133</v>
      </c>
      <c r="W1017" s="18"/>
      <c r="X1017" s="34" t="s">
        <v>93</v>
      </c>
      <c r="Y1017" s="17"/>
      <c r="Z1017" s="75"/>
    </row>
    <row r="1018" spans="1:35" hidden="1" x14ac:dyDescent="0.3">
      <c r="A1018" s="12" t="s">
        <v>85</v>
      </c>
      <c r="B1018" s="18">
        <v>37553</v>
      </c>
      <c r="C1018" s="19" t="s">
        <v>295</v>
      </c>
      <c r="D1018" s="18" t="s">
        <v>1</v>
      </c>
      <c r="E1018" s="12" t="s">
        <v>1185</v>
      </c>
      <c r="F1018" s="34" t="s">
        <v>87</v>
      </c>
      <c r="G1018" s="12" t="s">
        <v>113</v>
      </c>
      <c r="H1018" s="34" t="s">
        <v>296</v>
      </c>
      <c r="I1018" s="34" t="s">
        <v>89</v>
      </c>
      <c r="J1018" s="19" t="s">
        <v>661</v>
      </c>
      <c r="K1018" s="19" t="s">
        <v>661</v>
      </c>
      <c r="L1018" s="11" t="s">
        <v>1194</v>
      </c>
      <c r="M1018" s="19" t="s">
        <v>662</v>
      </c>
      <c r="N1018" s="58">
        <v>247.5</v>
      </c>
      <c r="O1018" s="59"/>
      <c r="P1018" s="34" t="s">
        <v>667</v>
      </c>
      <c r="Q1018" s="18" t="s">
        <v>4</v>
      </c>
      <c r="R1018" s="18" t="s">
        <v>13</v>
      </c>
      <c r="S1018" s="18" t="s">
        <v>14</v>
      </c>
      <c r="T1018" s="12">
        <v>1</v>
      </c>
      <c r="U1018" s="17">
        <v>44228</v>
      </c>
      <c r="V1018" s="18" t="s">
        <v>1133</v>
      </c>
      <c r="W1018" s="18"/>
      <c r="X1018" s="34" t="s">
        <v>93</v>
      </c>
      <c r="Y1018" s="17"/>
      <c r="Z1018" s="75"/>
    </row>
    <row r="1019" spans="1:35" hidden="1" x14ac:dyDescent="0.3">
      <c r="A1019" s="12" t="s">
        <v>85</v>
      </c>
      <c r="B1019" s="18">
        <v>37554</v>
      </c>
      <c r="C1019" s="19" t="s">
        <v>295</v>
      </c>
      <c r="D1019" s="18" t="s">
        <v>1</v>
      </c>
      <c r="E1019" s="12" t="s">
        <v>1185</v>
      </c>
      <c r="F1019" s="34" t="s">
        <v>87</v>
      </c>
      <c r="G1019" s="12" t="s">
        <v>113</v>
      </c>
      <c r="H1019" s="34" t="s">
        <v>296</v>
      </c>
      <c r="I1019" s="34" t="s">
        <v>89</v>
      </c>
      <c r="J1019" s="19" t="s">
        <v>661</v>
      </c>
      <c r="K1019" s="19" t="s">
        <v>661</v>
      </c>
      <c r="L1019" s="11" t="s">
        <v>1194</v>
      </c>
      <c r="M1019" s="19" t="s">
        <v>662</v>
      </c>
      <c r="N1019" s="58">
        <v>375</v>
      </c>
      <c r="O1019" s="59"/>
      <c r="P1019" s="34" t="s">
        <v>668</v>
      </c>
      <c r="Q1019" s="18" t="s">
        <v>4</v>
      </c>
      <c r="R1019" s="18" t="s">
        <v>13</v>
      </c>
      <c r="S1019" s="18" t="s">
        <v>14</v>
      </c>
      <c r="T1019" s="12">
        <v>1</v>
      </c>
      <c r="U1019" s="17">
        <v>44228</v>
      </c>
      <c r="V1019" s="18" t="s">
        <v>1133</v>
      </c>
      <c r="W1019" s="18"/>
      <c r="X1019" s="34" t="s">
        <v>93</v>
      </c>
      <c r="Y1019" s="17"/>
      <c r="Z1019" s="75"/>
    </row>
    <row r="1020" spans="1:35" hidden="1" x14ac:dyDescent="0.3">
      <c r="A1020" s="12" t="s">
        <v>85</v>
      </c>
      <c r="B1020" s="18">
        <v>4942</v>
      </c>
      <c r="C1020" s="19" t="s">
        <v>243</v>
      </c>
      <c r="D1020" s="18" t="s">
        <v>1</v>
      </c>
      <c r="E1020" s="12" t="s">
        <v>1185</v>
      </c>
      <c r="F1020" s="34" t="s">
        <v>132</v>
      </c>
      <c r="G1020" s="12" t="s">
        <v>113</v>
      </c>
      <c r="H1020" s="34" t="s">
        <v>244</v>
      </c>
      <c r="I1020" s="34" t="s">
        <v>115</v>
      </c>
      <c r="J1020" s="11" t="s">
        <v>245</v>
      </c>
      <c r="K1020" s="11" t="s">
        <v>245</v>
      </c>
      <c r="L1020" s="16" t="s">
        <v>1195</v>
      </c>
      <c r="M1020" s="19" t="s">
        <v>246</v>
      </c>
      <c r="N1020" s="59">
        <v>222.89699999999999</v>
      </c>
      <c r="O1020" s="59"/>
      <c r="P1020" s="34" t="s">
        <v>247</v>
      </c>
      <c r="Q1020" s="18" t="s">
        <v>12</v>
      </c>
      <c r="R1020" s="18" t="s">
        <v>13</v>
      </c>
      <c r="S1020" s="18" t="s">
        <v>25</v>
      </c>
      <c r="T1020" s="12">
        <v>1</v>
      </c>
      <c r="U1020" s="17">
        <v>44239</v>
      </c>
      <c r="V1020" s="18" t="s">
        <v>1134</v>
      </c>
      <c r="W1020" s="12">
        <v>21914</v>
      </c>
      <c r="X1020" s="34" t="s">
        <v>93</v>
      </c>
      <c r="Y1020" s="17">
        <v>44280</v>
      </c>
      <c r="Z1020" s="75"/>
    </row>
    <row r="1021" spans="1:35" hidden="1" x14ac:dyDescent="0.3">
      <c r="A1021" s="12" t="s">
        <v>122</v>
      </c>
      <c r="B1021" s="18">
        <v>3658</v>
      </c>
      <c r="C1021" s="19" t="s">
        <v>180</v>
      </c>
      <c r="D1021" s="18" t="s">
        <v>1</v>
      </c>
      <c r="E1021" s="12" t="s">
        <v>1185</v>
      </c>
      <c r="F1021" s="34" t="s">
        <v>87</v>
      </c>
      <c r="G1021" s="12" t="s">
        <v>113</v>
      </c>
      <c r="H1021" s="34" t="s">
        <v>181</v>
      </c>
      <c r="I1021" s="34" t="s">
        <v>89</v>
      </c>
      <c r="J1021" s="19" t="s">
        <v>182</v>
      </c>
      <c r="K1021" s="19" t="s">
        <v>182</v>
      </c>
      <c r="L1021" s="11" t="s">
        <v>1194</v>
      </c>
      <c r="M1021" s="19" t="s">
        <v>183</v>
      </c>
      <c r="N1021" s="58">
        <v>1138</v>
      </c>
      <c r="O1021" s="59"/>
      <c r="P1021" s="34">
        <v>27250</v>
      </c>
      <c r="Q1021" s="18" t="s">
        <v>4</v>
      </c>
      <c r="R1021" s="18" t="s">
        <v>16</v>
      </c>
      <c r="S1021" s="18" t="s">
        <v>30</v>
      </c>
      <c r="T1021" s="12">
        <v>1</v>
      </c>
      <c r="U1021" s="17">
        <v>44242</v>
      </c>
      <c r="V1021" s="18" t="s">
        <v>1121</v>
      </c>
      <c r="W1021" s="18"/>
      <c r="X1021" s="34" t="s">
        <v>93</v>
      </c>
      <c r="Y1021" s="17"/>
      <c r="Z1021" s="75"/>
    </row>
    <row r="1022" spans="1:35" hidden="1" x14ac:dyDescent="0.3">
      <c r="A1022" s="12" t="s">
        <v>85</v>
      </c>
      <c r="B1022" s="18">
        <v>47941</v>
      </c>
      <c r="C1022" s="19" t="s">
        <v>100</v>
      </c>
      <c r="D1022" s="18" t="s">
        <v>1</v>
      </c>
      <c r="E1022" s="12" t="s">
        <v>1185</v>
      </c>
      <c r="F1022" s="34" t="s">
        <v>132</v>
      </c>
      <c r="G1022" s="12" t="s">
        <v>113</v>
      </c>
      <c r="H1022" s="34" t="s">
        <v>101</v>
      </c>
      <c r="I1022" s="34" t="s">
        <v>89</v>
      </c>
      <c r="J1022" s="11" t="s">
        <v>1282</v>
      </c>
      <c r="K1022" s="19" t="s">
        <v>781</v>
      </c>
      <c r="L1022" s="11" t="s">
        <v>1219</v>
      </c>
      <c r="M1022" s="11" t="s">
        <v>782</v>
      </c>
      <c r="N1022" s="57">
        <v>119597.03</v>
      </c>
      <c r="O1022" s="57"/>
      <c r="P1022" s="34" t="s">
        <v>91</v>
      </c>
      <c r="Q1022" s="18" t="s">
        <v>4</v>
      </c>
      <c r="R1022" s="18" t="s">
        <v>15</v>
      </c>
      <c r="S1022" s="18" t="s">
        <v>53</v>
      </c>
      <c r="T1022" s="12">
        <v>1</v>
      </c>
      <c r="U1022" s="17">
        <v>44233</v>
      </c>
      <c r="V1022" s="18" t="s">
        <v>1135</v>
      </c>
      <c r="W1022" s="18"/>
      <c r="X1022" s="34" t="s">
        <v>93</v>
      </c>
      <c r="Y1022" s="17"/>
      <c r="Z1022" s="75"/>
    </row>
    <row r="1023" spans="1:35" hidden="1" x14ac:dyDescent="0.3">
      <c r="A1023" s="12" t="s">
        <v>85</v>
      </c>
      <c r="B1023" s="18">
        <v>48499</v>
      </c>
      <c r="C1023" s="19" t="s">
        <v>100</v>
      </c>
      <c r="D1023" s="18" t="s">
        <v>1</v>
      </c>
      <c r="E1023" s="12" t="s">
        <v>1185</v>
      </c>
      <c r="F1023" s="34" t="s">
        <v>87</v>
      </c>
      <c r="G1023" s="12" t="s">
        <v>113</v>
      </c>
      <c r="H1023" s="34" t="s">
        <v>101</v>
      </c>
      <c r="I1023" s="34" t="s">
        <v>89</v>
      </c>
      <c r="J1023" s="19" t="s">
        <v>102</v>
      </c>
      <c r="K1023" s="19" t="s">
        <v>102</v>
      </c>
      <c r="L1023" s="11" t="s">
        <v>1219</v>
      </c>
      <c r="M1023" s="19" t="s">
        <v>103</v>
      </c>
      <c r="N1023" s="57">
        <v>378899.96</v>
      </c>
      <c r="O1023" s="59"/>
      <c r="P1023" s="34" t="s">
        <v>91</v>
      </c>
      <c r="Q1023" s="18" t="s">
        <v>4</v>
      </c>
      <c r="R1023" s="18" t="s">
        <v>15</v>
      </c>
      <c r="S1023" s="18" t="s">
        <v>1136</v>
      </c>
      <c r="T1023" s="12">
        <v>1</v>
      </c>
      <c r="U1023" s="17">
        <v>44221</v>
      </c>
      <c r="V1023" s="18" t="s">
        <v>1137</v>
      </c>
      <c r="W1023" s="18"/>
      <c r="X1023" s="34" t="s">
        <v>93</v>
      </c>
      <c r="Y1023" s="17"/>
      <c r="Z1023" s="75"/>
    </row>
    <row r="1024" spans="1:35" hidden="1" x14ac:dyDescent="0.3">
      <c r="A1024" s="12" t="s">
        <v>85</v>
      </c>
      <c r="B1024" s="18">
        <v>15026</v>
      </c>
      <c r="C1024" s="19" t="s">
        <v>130</v>
      </c>
      <c r="D1024" s="18" t="s">
        <v>1</v>
      </c>
      <c r="E1024" s="12" t="s">
        <v>1185</v>
      </c>
      <c r="F1024" s="34" t="s">
        <v>87</v>
      </c>
      <c r="G1024" s="12" t="s">
        <v>113</v>
      </c>
      <c r="H1024" s="34" t="s">
        <v>96</v>
      </c>
      <c r="I1024" s="34" t="s">
        <v>89</v>
      </c>
      <c r="J1024" s="19" t="s">
        <v>205</v>
      </c>
      <c r="K1024" s="19" t="s">
        <v>205</v>
      </c>
      <c r="L1024" s="11" t="s">
        <v>1212</v>
      </c>
      <c r="M1024" s="19" t="s">
        <v>206</v>
      </c>
      <c r="N1024" s="58">
        <v>56730.3</v>
      </c>
      <c r="O1024" s="59"/>
      <c r="P1024" s="34" t="s">
        <v>415</v>
      </c>
      <c r="Q1024" s="18" t="s">
        <v>4</v>
      </c>
      <c r="R1024" s="18" t="s">
        <v>15</v>
      </c>
      <c r="S1024" s="18" t="s">
        <v>46</v>
      </c>
      <c r="T1024" s="12">
        <v>1</v>
      </c>
      <c r="U1024" s="17">
        <v>44225</v>
      </c>
      <c r="V1024" s="18" t="s">
        <v>1138</v>
      </c>
      <c r="W1024" s="18"/>
      <c r="X1024" s="34" t="s">
        <v>93</v>
      </c>
      <c r="Y1024" s="17"/>
      <c r="Z1024" s="75"/>
    </row>
    <row r="1025" spans="1:26" hidden="1" x14ac:dyDescent="0.3">
      <c r="A1025" s="12" t="s">
        <v>85</v>
      </c>
      <c r="B1025" s="18">
        <v>20182</v>
      </c>
      <c r="C1025" s="19" t="s">
        <v>95</v>
      </c>
      <c r="D1025" s="18" t="s">
        <v>1</v>
      </c>
      <c r="E1025" s="12" t="s">
        <v>1185</v>
      </c>
      <c r="F1025" s="34" t="s">
        <v>132</v>
      </c>
      <c r="G1025" s="12" t="s">
        <v>87</v>
      </c>
      <c r="H1025" s="34" t="s">
        <v>96</v>
      </c>
      <c r="I1025" s="34" t="s">
        <v>89</v>
      </c>
      <c r="J1025" s="19" t="s">
        <v>293</v>
      </c>
      <c r="K1025" s="19" t="s">
        <v>293</v>
      </c>
      <c r="L1025" s="11" t="s">
        <v>1202</v>
      </c>
      <c r="M1025" s="19" t="s">
        <v>92</v>
      </c>
      <c r="N1025" s="58">
        <v>660</v>
      </c>
      <c r="O1025" s="59"/>
      <c r="P1025" s="34" t="s">
        <v>499</v>
      </c>
      <c r="Q1025" s="18" t="s">
        <v>4</v>
      </c>
      <c r="R1025" s="18" t="s">
        <v>15</v>
      </c>
      <c r="S1025" s="18" t="s">
        <v>1139</v>
      </c>
      <c r="T1025" s="12">
        <v>1</v>
      </c>
      <c r="U1025" s="17">
        <v>44238</v>
      </c>
      <c r="V1025" s="18" t="s">
        <v>1140</v>
      </c>
      <c r="W1025" s="18"/>
      <c r="X1025" s="34" t="s">
        <v>93</v>
      </c>
      <c r="Y1025" s="17"/>
      <c r="Z1025" s="75"/>
    </row>
    <row r="1026" spans="1:26" hidden="1" x14ac:dyDescent="0.3">
      <c r="A1026" s="12" t="s">
        <v>85</v>
      </c>
      <c r="B1026" s="18">
        <v>28579</v>
      </c>
      <c r="C1026" s="19" t="s">
        <v>95</v>
      </c>
      <c r="D1026" s="12" t="s">
        <v>417</v>
      </c>
      <c r="E1026" s="18" t="s">
        <v>1187</v>
      </c>
      <c r="F1026" s="12" t="s">
        <v>87</v>
      </c>
      <c r="G1026" s="12" t="s">
        <v>87</v>
      </c>
      <c r="H1026" s="34" t="s">
        <v>96</v>
      </c>
      <c r="I1026" s="34" t="s">
        <v>89</v>
      </c>
      <c r="J1026" s="19" t="s">
        <v>661</v>
      </c>
      <c r="K1026" s="19" t="s">
        <v>581</v>
      </c>
      <c r="L1026" s="19"/>
      <c r="M1026" s="19" t="s">
        <v>582</v>
      </c>
      <c r="N1026" s="57">
        <v>99272.99</v>
      </c>
      <c r="O1026" s="62"/>
      <c r="P1026" s="12">
        <v>0</v>
      </c>
      <c r="Q1026" s="12" t="s">
        <v>12</v>
      </c>
      <c r="R1026" s="18" t="s">
        <v>15</v>
      </c>
      <c r="S1026" s="18" t="s">
        <v>53</v>
      </c>
      <c r="T1026" s="12">
        <v>1</v>
      </c>
      <c r="U1026" s="17">
        <v>44216</v>
      </c>
      <c r="V1026" s="18" t="s">
        <v>1167</v>
      </c>
      <c r="W1026" s="18" t="s">
        <v>584</v>
      </c>
      <c r="X1026" s="15" t="s">
        <v>93</v>
      </c>
      <c r="Y1026" s="17">
        <v>44217</v>
      </c>
      <c r="Z1026" s="75" t="s">
        <v>1166</v>
      </c>
    </row>
    <row r="1027" spans="1:26" hidden="1" x14ac:dyDescent="0.3">
      <c r="A1027" s="12" t="s">
        <v>85</v>
      </c>
      <c r="B1027" s="18">
        <v>71807</v>
      </c>
      <c r="C1027" s="19" t="s">
        <v>136</v>
      </c>
      <c r="D1027" s="18" t="s">
        <v>1</v>
      </c>
      <c r="E1027" s="12" t="s">
        <v>1185</v>
      </c>
      <c r="F1027" s="34" t="s">
        <v>132</v>
      </c>
      <c r="G1027" s="18" t="s">
        <v>132</v>
      </c>
      <c r="H1027" s="34" t="s">
        <v>609</v>
      </c>
      <c r="I1027" s="34" t="s">
        <v>89</v>
      </c>
      <c r="J1027" s="19" t="s">
        <v>863</v>
      </c>
      <c r="K1027" s="19" t="s">
        <v>863</v>
      </c>
      <c r="L1027" s="11" t="s">
        <v>1214</v>
      </c>
      <c r="M1027" s="19" t="s">
        <v>864</v>
      </c>
      <c r="N1027" s="64">
        <v>10453.700000000001</v>
      </c>
      <c r="O1027" s="67"/>
      <c r="P1027" s="34"/>
      <c r="Q1027" s="12" t="s">
        <v>4</v>
      </c>
      <c r="R1027" s="12" t="s">
        <v>99</v>
      </c>
      <c r="S1027" s="12" t="s">
        <v>99</v>
      </c>
      <c r="T1027" s="12">
        <v>1</v>
      </c>
      <c r="U1027" s="13">
        <v>43711</v>
      </c>
      <c r="V1027" s="12" t="s">
        <v>988</v>
      </c>
      <c r="W1027" s="12" t="s">
        <v>92</v>
      </c>
      <c r="X1027" s="12" t="s">
        <v>93</v>
      </c>
      <c r="Y1027" s="13">
        <v>43709</v>
      </c>
      <c r="Z1027" s="75"/>
    </row>
    <row r="1028" spans="1:26" hidden="1" x14ac:dyDescent="0.3">
      <c r="A1028" s="12" t="s">
        <v>85</v>
      </c>
      <c r="B1028" s="12">
        <v>29442</v>
      </c>
      <c r="C1028" s="19" t="s">
        <v>130</v>
      </c>
      <c r="D1028" s="12" t="s">
        <v>417</v>
      </c>
      <c r="E1028" s="18" t="s">
        <v>1181</v>
      </c>
      <c r="F1028" s="12" t="s">
        <v>132</v>
      </c>
      <c r="G1028" s="12" t="s">
        <v>132</v>
      </c>
      <c r="H1028" s="34" t="s">
        <v>96</v>
      </c>
      <c r="I1028" s="34" t="s">
        <v>89</v>
      </c>
      <c r="J1028" s="19" t="s">
        <v>1141</v>
      </c>
      <c r="K1028" s="19" t="s">
        <v>1141</v>
      </c>
      <c r="L1028" s="19"/>
      <c r="M1028" s="18" t="s">
        <v>1141</v>
      </c>
      <c r="N1028" s="58">
        <v>2549.4</v>
      </c>
      <c r="O1028" s="61"/>
      <c r="P1028" s="15" t="s">
        <v>1142</v>
      </c>
      <c r="Q1028" s="12" t="s">
        <v>12</v>
      </c>
      <c r="R1028" s="12"/>
      <c r="S1028" s="12"/>
      <c r="T1028" s="12">
        <v>0</v>
      </c>
      <c r="U1028" s="12"/>
      <c r="V1028" s="12"/>
      <c r="W1028" s="12"/>
      <c r="X1028" s="15"/>
      <c r="Y1028" s="13"/>
      <c r="Z1028" s="75"/>
    </row>
    <row r="1029" spans="1:26" hidden="1" x14ac:dyDescent="0.3">
      <c r="A1029" s="12" t="s">
        <v>85</v>
      </c>
      <c r="B1029" s="12">
        <v>30867</v>
      </c>
      <c r="C1029" s="19" t="s">
        <v>130</v>
      </c>
      <c r="D1029" s="12" t="s">
        <v>417</v>
      </c>
      <c r="E1029" s="18" t="s">
        <v>1181</v>
      </c>
      <c r="F1029" s="12" t="s">
        <v>132</v>
      </c>
      <c r="G1029" s="12" t="s">
        <v>132</v>
      </c>
      <c r="H1029" s="34" t="s">
        <v>96</v>
      </c>
      <c r="I1029" s="34" t="s">
        <v>89</v>
      </c>
      <c r="J1029" s="19" t="s">
        <v>1141</v>
      </c>
      <c r="K1029" s="19" t="s">
        <v>1141</v>
      </c>
      <c r="L1029" s="19"/>
      <c r="M1029" s="18" t="s">
        <v>1141</v>
      </c>
      <c r="N1029" s="58">
        <v>735</v>
      </c>
      <c r="O1029" s="61"/>
      <c r="P1029" s="15" t="s">
        <v>1143</v>
      </c>
      <c r="Q1029" s="12" t="s">
        <v>12</v>
      </c>
      <c r="R1029" s="12"/>
      <c r="S1029" s="12"/>
      <c r="T1029" s="12">
        <v>0</v>
      </c>
      <c r="U1029" s="12"/>
      <c r="V1029" s="12"/>
      <c r="W1029" s="12"/>
      <c r="X1029" s="15"/>
      <c r="Y1029" s="13"/>
      <c r="Z1029" s="75"/>
    </row>
    <row r="1030" spans="1:26" hidden="1" x14ac:dyDescent="0.3">
      <c r="A1030" s="12" t="s">
        <v>85</v>
      </c>
      <c r="B1030" s="12">
        <v>32086</v>
      </c>
      <c r="C1030" s="19" t="s">
        <v>130</v>
      </c>
      <c r="D1030" s="12" t="s">
        <v>417</v>
      </c>
      <c r="E1030" s="18" t="s">
        <v>1181</v>
      </c>
      <c r="F1030" s="12" t="s">
        <v>132</v>
      </c>
      <c r="G1030" s="12" t="s">
        <v>132</v>
      </c>
      <c r="H1030" s="34" t="s">
        <v>96</v>
      </c>
      <c r="I1030" s="34" t="s">
        <v>89</v>
      </c>
      <c r="J1030" s="19" t="s">
        <v>1141</v>
      </c>
      <c r="K1030" s="19" t="s">
        <v>1141</v>
      </c>
      <c r="L1030" s="19"/>
      <c r="M1030" s="18" t="s">
        <v>1144</v>
      </c>
      <c r="N1030" s="58">
        <v>1165</v>
      </c>
      <c r="O1030" s="61"/>
      <c r="P1030" s="15">
        <v>0</v>
      </c>
      <c r="Q1030" s="12" t="s">
        <v>12</v>
      </c>
      <c r="R1030" s="12"/>
      <c r="S1030" s="12"/>
      <c r="T1030" s="12">
        <v>0</v>
      </c>
      <c r="U1030" s="12"/>
      <c r="V1030" s="12"/>
      <c r="W1030" s="12"/>
      <c r="X1030" s="15"/>
      <c r="Y1030" s="13"/>
      <c r="Z1030" s="75"/>
    </row>
    <row r="1031" spans="1:26" hidden="1" x14ac:dyDescent="0.3">
      <c r="A1031" s="12" t="s">
        <v>85</v>
      </c>
      <c r="B1031" s="12">
        <v>32878</v>
      </c>
      <c r="C1031" s="19" t="s">
        <v>130</v>
      </c>
      <c r="D1031" s="12" t="s">
        <v>417</v>
      </c>
      <c r="E1031" s="18" t="s">
        <v>1181</v>
      </c>
      <c r="F1031" s="12" t="s">
        <v>132</v>
      </c>
      <c r="G1031" s="12" t="s">
        <v>132</v>
      </c>
      <c r="H1031" s="34" t="s">
        <v>96</v>
      </c>
      <c r="I1031" s="34" t="s">
        <v>89</v>
      </c>
      <c r="J1031" s="19" t="s">
        <v>1141</v>
      </c>
      <c r="K1031" s="19" t="s">
        <v>1141</v>
      </c>
      <c r="L1031" s="19"/>
      <c r="M1031" s="18" t="s">
        <v>1141</v>
      </c>
      <c r="N1031" s="58">
        <v>585.20000000000005</v>
      </c>
      <c r="O1031" s="61"/>
      <c r="P1031" s="15" t="s">
        <v>1145</v>
      </c>
      <c r="Q1031" s="12" t="s">
        <v>12</v>
      </c>
      <c r="R1031" s="12"/>
      <c r="S1031" s="12"/>
      <c r="T1031" s="12">
        <v>0</v>
      </c>
      <c r="U1031" s="12"/>
      <c r="V1031" s="12"/>
      <c r="W1031" s="12"/>
      <c r="X1031" s="15"/>
      <c r="Y1031" s="13"/>
      <c r="Z1031" s="75"/>
    </row>
    <row r="1032" spans="1:26" hidden="1" x14ac:dyDescent="0.3">
      <c r="A1032" s="12" t="s">
        <v>85</v>
      </c>
      <c r="B1032" s="18">
        <v>33118</v>
      </c>
      <c r="C1032" s="19" t="s">
        <v>130</v>
      </c>
      <c r="D1032" s="12" t="s">
        <v>417</v>
      </c>
      <c r="E1032" s="18" t="s">
        <v>1181</v>
      </c>
      <c r="F1032" s="12" t="s">
        <v>132</v>
      </c>
      <c r="G1032" s="18" t="s">
        <v>132</v>
      </c>
      <c r="H1032" s="34" t="s">
        <v>96</v>
      </c>
      <c r="I1032" s="34" t="s">
        <v>89</v>
      </c>
      <c r="J1032" s="19" t="s">
        <v>1141</v>
      </c>
      <c r="K1032" s="19" t="s">
        <v>1141</v>
      </c>
      <c r="L1032" s="19"/>
      <c r="M1032" s="18" t="s">
        <v>1141</v>
      </c>
      <c r="N1032" s="64">
        <v>440</v>
      </c>
      <c r="O1032" s="67"/>
      <c r="P1032" s="34" t="s">
        <v>1146</v>
      </c>
      <c r="Q1032" s="12" t="s">
        <v>12</v>
      </c>
      <c r="R1032" s="18"/>
      <c r="S1032" s="18"/>
      <c r="T1032" s="12">
        <v>0</v>
      </c>
      <c r="U1032" s="18"/>
      <c r="V1032" s="18"/>
      <c r="W1032" s="18"/>
      <c r="X1032" s="34"/>
      <c r="Y1032" s="17"/>
      <c r="Z1032" s="75"/>
    </row>
    <row r="1033" spans="1:26" hidden="1" x14ac:dyDescent="0.3">
      <c r="A1033" s="12" t="s">
        <v>85</v>
      </c>
      <c r="B1033" s="18">
        <v>20182</v>
      </c>
      <c r="C1033" s="19" t="s">
        <v>95</v>
      </c>
      <c r="D1033" s="18" t="s">
        <v>1</v>
      </c>
      <c r="E1033" s="12" t="s">
        <v>1185</v>
      </c>
      <c r="F1033" s="34" t="s">
        <v>132</v>
      </c>
      <c r="G1033" s="12" t="s">
        <v>87</v>
      </c>
      <c r="H1033" s="34" t="s">
        <v>96</v>
      </c>
      <c r="I1033" s="34" t="s">
        <v>89</v>
      </c>
      <c r="J1033" s="19" t="s">
        <v>293</v>
      </c>
      <c r="K1033" s="19" t="s">
        <v>293</v>
      </c>
      <c r="L1033" s="11" t="s">
        <v>1202</v>
      </c>
      <c r="M1033" s="19" t="s">
        <v>92</v>
      </c>
      <c r="N1033" s="58">
        <v>660</v>
      </c>
      <c r="O1033" s="59"/>
      <c r="P1033" s="34" t="s">
        <v>499</v>
      </c>
      <c r="Q1033" s="18" t="s">
        <v>4</v>
      </c>
      <c r="R1033" s="18" t="s">
        <v>15</v>
      </c>
      <c r="S1033" s="18" t="s">
        <v>1139</v>
      </c>
      <c r="T1033" s="12">
        <v>1</v>
      </c>
      <c r="U1033" s="17">
        <v>44256</v>
      </c>
      <c r="V1033" s="18" t="s">
        <v>1147</v>
      </c>
      <c r="W1033" s="18"/>
      <c r="X1033" s="34" t="s">
        <v>93</v>
      </c>
      <c r="Y1033" s="17"/>
      <c r="Z1033" s="75"/>
    </row>
    <row r="1034" spans="1:26" hidden="1" x14ac:dyDescent="0.3">
      <c r="A1034" s="12" t="s">
        <v>85</v>
      </c>
      <c r="B1034" s="18">
        <v>15171</v>
      </c>
      <c r="C1034" s="19" t="s">
        <v>130</v>
      </c>
      <c r="D1034" s="12" t="s">
        <v>417</v>
      </c>
      <c r="E1034" s="18" t="s">
        <v>1179</v>
      </c>
      <c r="F1034" s="34" t="s">
        <v>87</v>
      </c>
      <c r="G1034" s="12" t="s">
        <v>113</v>
      </c>
      <c r="H1034" s="34" t="s">
        <v>96</v>
      </c>
      <c r="I1034" s="34" t="s">
        <v>89</v>
      </c>
      <c r="J1034" s="11" t="s">
        <v>418</v>
      </c>
      <c r="K1034" s="19" t="s">
        <v>418</v>
      </c>
      <c r="L1034" s="19"/>
      <c r="M1034" s="19" t="s">
        <v>419</v>
      </c>
      <c r="N1034" s="58">
        <v>567.88</v>
      </c>
      <c r="O1034" s="59">
        <v>351.86</v>
      </c>
      <c r="P1034" s="34" t="s">
        <v>420</v>
      </c>
      <c r="Q1034" s="18" t="s">
        <v>4</v>
      </c>
      <c r="R1034" s="18" t="s">
        <v>16</v>
      </c>
      <c r="S1034" s="12" t="s">
        <v>26</v>
      </c>
      <c r="T1034" s="12">
        <v>1</v>
      </c>
      <c r="U1034" s="17">
        <v>44263</v>
      </c>
      <c r="V1034" s="18" t="s">
        <v>1148</v>
      </c>
      <c r="W1034" s="18"/>
      <c r="X1034" s="15" t="s">
        <v>93</v>
      </c>
      <c r="Y1034" s="17"/>
      <c r="Z1034" s="75"/>
    </row>
    <row r="1035" spans="1:26" x14ac:dyDescent="0.3">
      <c r="A1035" s="12" t="s">
        <v>122</v>
      </c>
      <c r="B1035" s="12">
        <v>3346</v>
      </c>
      <c r="C1035" s="11" t="s">
        <v>112</v>
      </c>
      <c r="D1035" s="12" t="s">
        <v>1</v>
      </c>
      <c r="E1035" s="12" t="s">
        <v>1185</v>
      </c>
      <c r="F1035" s="12" t="s">
        <v>113</v>
      </c>
      <c r="G1035" s="12" t="s">
        <v>113</v>
      </c>
      <c r="H1035" s="12" t="s">
        <v>114</v>
      </c>
      <c r="I1035" s="12" t="s">
        <v>115</v>
      </c>
      <c r="J1035" s="11" t="s">
        <v>1244</v>
      </c>
      <c r="K1035" s="11" t="s">
        <v>1244</v>
      </c>
      <c r="L1035" s="11" t="s">
        <v>1194</v>
      </c>
      <c r="M1035" s="11" t="s">
        <v>165</v>
      </c>
      <c r="N1035" s="57">
        <v>51535</v>
      </c>
      <c r="O1035" s="59"/>
      <c r="P1035" s="34"/>
      <c r="Q1035" s="12" t="s">
        <v>4</v>
      </c>
      <c r="R1035" s="12" t="s">
        <v>16</v>
      </c>
      <c r="S1035" s="12" t="s">
        <v>26</v>
      </c>
      <c r="T1035" s="12">
        <v>1</v>
      </c>
      <c r="U1035" s="17">
        <v>44265</v>
      </c>
      <c r="V1035" s="18" t="s">
        <v>1149</v>
      </c>
      <c r="W1035" s="18"/>
      <c r="X1035" s="12" t="s">
        <v>93</v>
      </c>
      <c r="Y1035" s="17"/>
      <c r="Z1035" s="75"/>
    </row>
    <row r="1036" spans="1:26" hidden="1" x14ac:dyDescent="0.3">
      <c r="A1036" s="12" t="s">
        <v>85</v>
      </c>
      <c r="B1036" s="18">
        <v>47941</v>
      </c>
      <c r="C1036" s="19" t="s">
        <v>100</v>
      </c>
      <c r="D1036" s="18" t="s">
        <v>1</v>
      </c>
      <c r="E1036" s="12" t="s">
        <v>1185</v>
      </c>
      <c r="F1036" s="34" t="s">
        <v>132</v>
      </c>
      <c r="G1036" s="12" t="s">
        <v>113</v>
      </c>
      <c r="H1036" s="34" t="s">
        <v>101</v>
      </c>
      <c r="I1036" s="34" t="s">
        <v>89</v>
      </c>
      <c r="J1036" s="11" t="s">
        <v>1282</v>
      </c>
      <c r="K1036" s="19" t="s">
        <v>781</v>
      </c>
      <c r="L1036" s="11" t="s">
        <v>1219</v>
      </c>
      <c r="M1036" s="11" t="s">
        <v>782</v>
      </c>
      <c r="N1036" s="57">
        <v>119597.03</v>
      </c>
      <c r="O1036" s="57"/>
      <c r="P1036" s="34" t="s">
        <v>91</v>
      </c>
      <c r="Q1036" s="18" t="s">
        <v>4</v>
      </c>
      <c r="R1036" s="18" t="s">
        <v>15</v>
      </c>
      <c r="S1036" s="18" t="s">
        <v>53</v>
      </c>
      <c r="T1036" s="12">
        <v>1</v>
      </c>
      <c r="U1036" s="17">
        <v>44251</v>
      </c>
      <c r="V1036" s="18" t="s">
        <v>1150</v>
      </c>
      <c r="W1036" s="18"/>
      <c r="X1036" s="34" t="s">
        <v>93</v>
      </c>
      <c r="Y1036" s="17"/>
      <c r="Z1036" s="75"/>
    </row>
    <row r="1037" spans="1:26" hidden="1" x14ac:dyDescent="0.3">
      <c r="A1037" s="12" t="s">
        <v>85</v>
      </c>
      <c r="B1037" s="12">
        <v>40125</v>
      </c>
      <c r="C1037" s="11" t="s">
        <v>674</v>
      </c>
      <c r="D1037" s="12" t="s">
        <v>1</v>
      </c>
      <c r="E1037" s="12" t="s">
        <v>1185</v>
      </c>
      <c r="F1037" s="34" t="s">
        <v>113</v>
      </c>
      <c r="G1037" s="12" t="s">
        <v>87</v>
      </c>
      <c r="H1037" s="15" t="s">
        <v>675</v>
      </c>
      <c r="I1037" s="15" t="s">
        <v>115</v>
      </c>
      <c r="J1037" s="14" t="s">
        <v>679</v>
      </c>
      <c r="K1037" s="11" t="s">
        <v>679</v>
      </c>
      <c r="L1037" s="11" t="s">
        <v>1195</v>
      </c>
      <c r="M1037" s="11" t="s">
        <v>680</v>
      </c>
      <c r="N1037" s="58">
        <v>36802.870000000003</v>
      </c>
      <c r="O1037" s="59"/>
      <c r="P1037" s="12" t="s">
        <v>91</v>
      </c>
      <c r="Q1037" s="12" t="s">
        <v>4</v>
      </c>
      <c r="R1037" s="12" t="s">
        <v>16</v>
      </c>
      <c r="S1037" s="12" t="s">
        <v>30</v>
      </c>
      <c r="T1037" s="12">
        <v>1</v>
      </c>
      <c r="U1037" s="17">
        <v>44266</v>
      </c>
      <c r="V1037" s="18" t="s">
        <v>1151</v>
      </c>
      <c r="W1037" s="18"/>
      <c r="X1037" s="15" t="s">
        <v>93</v>
      </c>
      <c r="Y1037" s="17"/>
      <c r="Z1037" s="75"/>
    </row>
    <row r="1038" spans="1:26" hidden="1" x14ac:dyDescent="0.3">
      <c r="A1038" s="12" t="s">
        <v>85</v>
      </c>
      <c r="B1038" s="18" t="s">
        <v>56</v>
      </c>
      <c r="C1038" s="16" t="s">
        <v>820</v>
      </c>
      <c r="D1038" s="18" t="s">
        <v>1</v>
      </c>
      <c r="E1038" s="12" t="s">
        <v>1185</v>
      </c>
      <c r="F1038" s="18" t="s">
        <v>113</v>
      </c>
      <c r="G1038" s="12" t="s">
        <v>87</v>
      </c>
      <c r="H1038" s="18" t="s">
        <v>153</v>
      </c>
      <c r="I1038" s="18" t="s">
        <v>115</v>
      </c>
      <c r="J1038" s="16" t="s">
        <v>821</v>
      </c>
      <c r="K1038" s="16" t="s">
        <v>821</v>
      </c>
      <c r="L1038" s="11" t="s">
        <v>1194</v>
      </c>
      <c r="M1038" s="16" t="s">
        <v>822</v>
      </c>
      <c r="N1038" s="57">
        <v>172005.53</v>
      </c>
      <c r="O1038" s="59"/>
      <c r="P1038" s="18" t="s">
        <v>1082</v>
      </c>
      <c r="Q1038" s="18" t="s">
        <v>4</v>
      </c>
      <c r="R1038" s="18" t="s">
        <v>15</v>
      </c>
      <c r="S1038" s="18" t="s">
        <v>29</v>
      </c>
      <c r="T1038" s="12">
        <v>1</v>
      </c>
      <c r="U1038" s="17">
        <v>44260</v>
      </c>
      <c r="V1038" s="18" t="s">
        <v>1152</v>
      </c>
      <c r="W1038" s="18"/>
      <c r="X1038" s="12" t="s">
        <v>93</v>
      </c>
      <c r="Y1038" s="17"/>
      <c r="Z1038" s="75"/>
    </row>
    <row r="1039" spans="1:26" hidden="1" x14ac:dyDescent="0.3">
      <c r="A1039" s="12" t="s">
        <v>85</v>
      </c>
      <c r="B1039" s="18">
        <v>7067</v>
      </c>
      <c r="C1039" s="19" t="s">
        <v>295</v>
      </c>
      <c r="D1039" s="18" t="s">
        <v>1</v>
      </c>
      <c r="E1039" s="12" t="s">
        <v>1185</v>
      </c>
      <c r="F1039" s="34" t="s">
        <v>87</v>
      </c>
      <c r="G1039" s="12" t="s">
        <v>113</v>
      </c>
      <c r="H1039" s="34" t="s">
        <v>296</v>
      </c>
      <c r="I1039" s="34" t="s">
        <v>89</v>
      </c>
      <c r="J1039" s="11" t="s">
        <v>297</v>
      </c>
      <c r="K1039" s="19" t="s">
        <v>297</v>
      </c>
      <c r="L1039" s="11" t="s">
        <v>1199</v>
      </c>
      <c r="M1039" s="19" t="s">
        <v>298</v>
      </c>
      <c r="N1039" s="57">
        <v>4312.34</v>
      </c>
      <c r="O1039" s="59"/>
      <c r="P1039" s="34" t="s">
        <v>299</v>
      </c>
      <c r="Q1039" s="18" t="s">
        <v>4</v>
      </c>
      <c r="R1039" s="18" t="s">
        <v>13</v>
      </c>
      <c r="S1039" s="18" t="s">
        <v>25</v>
      </c>
      <c r="T1039" s="12">
        <v>1</v>
      </c>
      <c r="U1039" s="17">
        <v>44265</v>
      </c>
      <c r="V1039" s="12" t="s">
        <v>1123</v>
      </c>
      <c r="W1039" s="18"/>
      <c r="X1039" s="15" t="s">
        <v>93</v>
      </c>
      <c r="Y1039" s="17"/>
      <c r="Z1039" s="75"/>
    </row>
    <row r="1040" spans="1:26" hidden="1" x14ac:dyDescent="0.3">
      <c r="A1040" s="12" t="s">
        <v>85</v>
      </c>
      <c r="B1040" s="18">
        <v>12452</v>
      </c>
      <c r="C1040" s="19" t="s">
        <v>295</v>
      </c>
      <c r="D1040" s="18" t="s">
        <v>1</v>
      </c>
      <c r="E1040" s="12" t="s">
        <v>1185</v>
      </c>
      <c r="F1040" s="34" t="s">
        <v>87</v>
      </c>
      <c r="G1040" s="12" t="s">
        <v>113</v>
      </c>
      <c r="H1040" s="34" t="s">
        <v>296</v>
      </c>
      <c r="I1040" s="34" t="s">
        <v>89</v>
      </c>
      <c r="J1040" s="19" t="s">
        <v>396</v>
      </c>
      <c r="K1040" s="19" t="s">
        <v>396</v>
      </c>
      <c r="L1040" s="11" t="s">
        <v>1195</v>
      </c>
      <c r="M1040" s="19" t="s">
        <v>397</v>
      </c>
      <c r="N1040" s="58">
        <v>964</v>
      </c>
      <c r="O1040" s="59"/>
      <c r="P1040" s="34" t="s">
        <v>398</v>
      </c>
      <c r="Q1040" s="18" t="s">
        <v>4</v>
      </c>
      <c r="R1040" s="18" t="s">
        <v>13</v>
      </c>
      <c r="S1040" s="18" t="s">
        <v>25</v>
      </c>
      <c r="T1040" s="12">
        <v>1</v>
      </c>
      <c r="U1040" s="17">
        <v>44265</v>
      </c>
      <c r="V1040" s="12" t="s">
        <v>1123</v>
      </c>
      <c r="W1040" s="18"/>
      <c r="X1040" s="15" t="s">
        <v>93</v>
      </c>
      <c r="Y1040" s="17"/>
      <c r="Z1040" s="75"/>
    </row>
    <row r="1041" spans="1:35" hidden="1" x14ac:dyDescent="0.3">
      <c r="A1041" s="12" t="s">
        <v>85</v>
      </c>
      <c r="B1041" s="18">
        <v>37550</v>
      </c>
      <c r="C1041" s="19" t="s">
        <v>295</v>
      </c>
      <c r="D1041" s="18" t="s">
        <v>1</v>
      </c>
      <c r="E1041" s="12" t="s">
        <v>1185</v>
      </c>
      <c r="F1041" s="34" t="s">
        <v>87</v>
      </c>
      <c r="G1041" s="12" t="s">
        <v>113</v>
      </c>
      <c r="H1041" s="34" t="s">
        <v>296</v>
      </c>
      <c r="I1041" s="34" t="s">
        <v>89</v>
      </c>
      <c r="J1041" s="19" t="s">
        <v>661</v>
      </c>
      <c r="K1041" s="19" t="s">
        <v>661</v>
      </c>
      <c r="L1041" s="11" t="s">
        <v>1194</v>
      </c>
      <c r="M1041" s="19" t="s">
        <v>662</v>
      </c>
      <c r="N1041" s="58">
        <v>1484.4</v>
      </c>
      <c r="O1041" s="59"/>
      <c r="P1041" s="34" t="s">
        <v>663</v>
      </c>
      <c r="Q1041" s="18" t="s">
        <v>4</v>
      </c>
      <c r="R1041" s="18" t="s">
        <v>13</v>
      </c>
      <c r="S1041" s="18" t="s">
        <v>14</v>
      </c>
      <c r="T1041" s="12">
        <v>1</v>
      </c>
      <c r="U1041" s="17">
        <v>44265</v>
      </c>
      <c r="V1041" s="12" t="s">
        <v>1123</v>
      </c>
      <c r="W1041" s="18"/>
      <c r="X1041" s="34" t="s">
        <v>93</v>
      </c>
      <c r="Y1041" s="17"/>
      <c r="Z1041" s="75"/>
    </row>
    <row r="1042" spans="1:35" hidden="1" x14ac:dyDescent="0.3">
      <c r="A1042" s="12" t="s">
        <v>85</v>
      </c>
      <c r="B1042" s="18">
        <v>37551</v>
      </c>
      <c r="C1042" s="19" t="s">
        <v>295</v>
      </c>
      <c r="D1042" s="18" t="s">
        <v>1</v>
      </c>
      <c r="E1042" s="12" t="s">
        <v>1185</v>
      </c>
      <c r="F1042" s="34" t="s">
        <v>87</v>
      </c>
      <c r="G1042" s="12" t="s">
        <v>113</v>
      </c>
      <c r="H1042" s="34" t="s">
        <v>296</v>
      </c>
      <c r="I1042" s="34" t="s">
        <v>89</v>
      </c>
      <c r="J1042" s="19" t="s">
        <v>661</v>
      </c>
      <c r="K1042" s="19" t="s">
        <v>661</v>
      </c>
      <c r="L1042" s="11" t="s">
        <v>1194</v>
      </c>
      <c r="M1042" s="19" t="s">
        <v>662</v>
      </c>
      <c r="N1042" s="58">
        <v>294.5</v>
      </c>
      <c r="O1042" s="59"/>
      <c r="P1042" s="34" t="s">
        <v>665</v>
      </c>
      <c r="Q1042" s="18" t="s">
        <v>4</v>
      </c>
      <c r="R1042" s="18" t="s">
        <v>13</v>
      </c>
      <c r="S1042" s="18" t="s">
        <v>14</v>
      </c>
      <c r="T1042" s="12">
        <v>1</v>
      </c>
      <c r="U1042" s="17">
        <v>44265</v>
      </c>
      <c r="V1042" s="12" t="s">
        <v>1123</v>
      </c>
      <c r="W1042" s="18"/>
      <c r="X1042" s="34" t="s">
        <v>93</v>
      </c>
      <c r="Y1042" s="17"/>
      <c r="Z1042" s="75"/>
    </row>
    <row r="1043" spans="1:35" hidden="1" x14ac:dyDescent="0.3">
      <c r="A1043" s="12" t="s">
        <v>85</v>
      </c>
      <c r="B1043" s="18">
        <v>37552</v>
      </c>
      <c r="C1043" s="19" t="s">
        <v>295</v>
      </c>
      <c r="D1043" s="18" t="s">
        <v>1</v>
      </c>
      <c r="E1043" s="12" t="s">
        <v>1185</v>
      </c>
      <c r="F1043" s="34" t="s">
        <v>87</v>
      </c>
      <c r="G1043" s="12" t="s">
        <v>113</v>
      </c>
      <c r="H1043" s="34" t="s">
        <v>296</v>
      </c>
      <c r="I1043" s="34" t="s">
        <v>89</v>
      </c>
      <c r="J1043" s="19" t="s">
        <v>661</v>
      </c>
      <c r="K1043" s="19" t="s">
        <v>661</v>
      </c>
      <c r="L1043" s="11" t="s">
        <v>1194</v>
      </c>
      <c r="M1043" s="19" t="s">
        <v>662</v>
      </c>
      <c r="N1043" s="58">
        <v>263.5</v>
      </c>
      <c r="O1043" s="59"/>
      <c r="P1043" s="34" t="s">
        <v>666</v>
      </c>
      <c r="Q1043" s="18" t="s">
        <v>4</v>
      </c>
      <c r="R1043" s="18" t="s">
        <v>13</v>
      </c>
      <c r="S1043" s="18" t="s">
        <v>14</v>
      </c>
      <c r="T1043" s="12">
        <v>1</v>
      </c>
      <c r="U1043" s="17">
        <v>44265</v>
      </c>
      <c r="V1043" s="12" t="s">
        <v>1123</v>
      </c>
      <c r="W1043" s="18"/>
      <c r="X1043" s="34" t="s">
        <v>93</v>
      </c>
      <c r="Y1043" s="17"/>
      <c r="Z1043" s="75"/>
    </row>
    <row r="1044" spans="1:35" hidden="1" x14ac:dyDescent="0.3">
      <c r="A1044" s="12" t="s">
        <v>85</v>
      </c>
      <c r="B1044" s="18">
        <v>37553</v>
      </c>
      <c r="C1044" s="19" t="s">
        <v>295</v>
      </c>
      <c r="D1044" s="18" t="s">
        <v>1</v>
      </c>
      <c r="E1044" s="12" t="s">
        <v>1185</v>
      </c>
      <c r="F1044" s="34" t="s">
        <v>87</v>
      </c>
      <c r="G1044" s="12" t="s">
        <v>113</v>
      </c>
      <c r="H1044" s="34" t="s">
        <v>296</v>
      </c>
      <c r="I1044" s="34" t="s">
        <v>89</v>
      </c>
      <c r="J1044" s="19" t="s">
        <v>661</v>
      </c>
      <c r="K1044" s="19" t="s">
        <v>661</v>
      </c>
      <c r="L1044" s="11" t="s">
        <v>1194</v>
      </c>
      <c r="M1044" s="19" t="s">
        <v>662</v>
      </c>
      <c r="N1044" s="58">
        <v>247.5</v>
      </c>
      <c r="O1044" s="59"/>
      <c r="P1044" s="34" t="s">
        <v>667</v>
      </c>
      <c r="Q1044" s="18" t="s">
        <v>4</v>
      </c>
      <c r="R1044" s="18" t="s">
        <v>13</v>
      </c>
      <c r="S1044" s="18" t="s">
        <v>14</v>
      </c>
      <c r="T1044" s="12">
        <v>1</v>
      </c>
      <c r="U1044" s="17">
        <v>44265</v>
      </c>
      <c r="V1044" s="12" t="s">
        <v>1123</v>
      </c>
      <c r="W1044" s="18"/>
      <c r="X1044" s="34" t="s">
        <v>93</v>
      </c>
      <c r="Y1044" s="17"/>
      <c r="Z1044" s="75"/>
    </row>
    <row r="1045" spans="1:35" hidden="1" x14ac:dyDescent="0.3">
      <c r="A1045" s="12" t="s">
        <v>85</v>
      </c>
      <c r="B1045" s="12">
        <v>42520</v>
      </c>
      <c r="C1045" s="11" t="s">
        <v>711</v>
      </c>
      <c r="D1045" s="12" t="s">
        <v>1</v>
      </c>
      <c r="E1045" s="12" t="s">
        <v>1185</v>
      </c>
      <c r="F1045" s="34" t="s">
        <v>87</v>
      </c>
      <c r="G1045" s="12" t="s">
        <v>113</v>
      </c>
      <c r="H1045" s="15" t="s">
        <v>712</v>
      </c>
      <c r="I1045" s="15" t="s">
        <v>713</v>
      </c>
      <c r="J1045" s="11" t="s">
        <v>714</v>
      </c>
      <c r="K1045" s="11" t="s">
        <v>714</v>
      </c>
      <c r="L1045" s="11" t="s">
        <v>1197</v>
      </c>
      <c r="M1045" s="11" t="s">
        <v>715</v>
      </c>
      <c r="N1045" s="67">
        <v>0</v>
      </c>
      <c r="O1045" s="59">
        <v>976.13</v>
      </c>
      <c r="P1045" s="12" t="s">
        <v>716</v>
      </c>
      <c r="Q1045" s="18" t="s">
        <v>12</v>
      </c>
      <c r="R1045" s="12" t="s">
        <v>13</v>
      </c>
      <c r="S1045" s="12" t="s">
        <v>25</v>
      </c>
      <c r="T1045" s="12">
        <v>1</v>
      </c>
      <c r="U1045" s="17">
        <v>44264</v>
      </c>
      <c r="V1045" s="18" t="s">
        <v>1153</v>
      </c>
      <c r="W1045" s="18"/>
      <c r="X1045" s="15" t="s">
        <v>93</v>
      </c>
      <c r="Y1045" s="17"/>
      <c r="Z1045" s="75"/>
    </row>
    <row r="1046" spans="1:35" hidden="1" x14ac:dyDescent="0.3">
      <c r="A1046" s="12" t="s">
        <v>85</v>
      </c>
      <c r="B1046" s="18">
        <v>2197</v>
      </c>
      <c r="C1046" s="19" t="s">
        <v>152</v>
      </c>
      <c r="D1046" s="18" t="s">
        <v>1</v>
      </c>
      <c r="E1046" s="12" t="s">
        <v>1185</v>
      </c>
      <c r="F1046" s="12" t="s">
        <v>113</v>
      </c>
      <c r="G1046" s="18" t="s">
        <v>87</v>
      </c>
      <c r="H1046" s="34" t="s">
        <v>153</v>
      </c>
      <c r="I1046" s="34" t="s">
        <v>115</v>
      </c>
      <c r="J1046" s="19" t="s">
        <v>154</v>
      </c>
      <c r="K1046" s="19" t="s">
        <v>154</v>
      </c>
      <c r="L1046" s="11" t="s">
        <v>1195</v>
      </c>
      <c r="M1046" s="19" t="s">
        <v>155</v>
      </c>
      <c r="N1046" s="58">
        <v>880</v>
      </c>
      <c r="O1046" s="59"/>
      <c r="P1046" s="34"/>
      <c r="Q1046" s="12" t="s">
        <v>4</v>
      </c>
      <c r="R1046" s="12" t="s">
        <v>21</v>
      </c>
      <c r="S1046" s="12" t="s">
        <v>25</v>
      </c>
      <c r="T1046" s="12">
        <v>1</v>
      </c>
      <c r="U1046" s="17">
        <v>44245</v>
      </c>
      <c r="V1046" s="18" t="s">
        <v>1154</v>
      </c>
      <c r="W1046" s="18"/>
      <c r="X1046" s="15" t="s">
        <v>93</v>
      </c>
      <c r="Y1046" s="17"/>
      <c r="Z1046" s="75"/>
    </row>
    <row r="1047" spans="1:35" hidden="1" x14ac:dyDescent="0.3">
      <c r="A1047" s="12" t="s">
        <v>85</v>
      </c>
      <c r="B1047" s="18">
        <v>167236</v>
      </c>
      <c r="C1047" s="19" t="s">
        <v>1033</v>
      </c>
      <c r="D1047" s="18" t="s">
        <v>1</v>
      </c>
      <c r="E1047" s="12" t="s">
        <v>1185</v>
      </c>
      <c r="F1047" s="34" t="s">
        <v>113</v>
      </c>
      <c r="G1047" s="18" t="s">
        <v>132</v>
      </c>
      <c r="H1047" s="34" t="s">
        <v>195</v>
      </c>
      <c r="I1047" s="34" t="s">
        <v>115</v>
      </c>
      <c r="J1047" s="11" t="s">
        <v>1062</v>
      </c>
      <c r="K1047" s="19" t="s">
        <v>1062</v>
      </c>
      <c r="L1047" s="11" t="s">
        <v>1195</v>
      </c>
      <c r="M1047" s="19" t="s">
        <v>1063</v>
      </c>
      <c r="N1047" s="64">
        <v>232889.33</v>
      </c>
      <c r="O1047" s="59"/>
      <c r="P1047" s="18" t="s">
        <v>1064</v>
      </c>
      <c r="Q1047" s="94" t="s">
        <v>4</v>
      </c>
      <c r="R1047" s="48" t="s">
        <v>21</v>
      </c>
      <c r="S1047" s="99" t="s">
        <v>14</v>
      </c>
      <c r="T1047" s="12">
        <v>1</v>
      </c>
      <c r="U1047" s="100">
        <v>44245</v>
      </c>
      <c r="V1047" s="18" t="s">
        <v>1154</v>
      </c>
      <c r="W1047" s="18"/>
      <c r="X1047" s="101" t="s">
        <v>93</v>
      </c>
      <c r="Y1047" s="17"/>
      <c r="Z1047" s="75"/>
    </row>
    <row r="1048" spans="1:35" hidden="1" x14ac:dyDescent="0.3">
      <c r="A1048" s="12" t="s">
        <v>85</v>
      </c>
      <c r="B1048" s="18">
        <v>167236</v>
      </c>
      <c r="C1048" s="19" t="s">
        <v>1033</v>
      </c>
      <c r="D1048" s="12" t="s">
        <v>1</v>
      </c>
      <c r="E1048" s="12" t="s">
        <v>1185</v>
      </c>
      <c r="F1048" s="34" t="s">
        <v>113</v>
      </c>
      <c r="G1048" s="18" t="s">
        <v>132</v>
      </c>
      <c r="H1048" s="15" t="s">
        <v>195</v>
      </c>
      <c r="I1048" s="15" t="s">
        <v>115</v>
      </c>
      <c r="J1048" s="11" t="s">
        <v>1062</v>
      </c>
      <c r="K1048" s="14" t="s">
        <v>1062</v>
      </c>
      <c r="L1048" s="11" t="s">
        <v>1195</v>
      </c>
      <c r="M1048" s="14" t="s">
        <v>1063</v>
      </c>
      <c r="N1048" s="58">
        <v>232889.33</v>
      </c>
      <c r="O1048" s="61"/>
      <c r="P1048" s="34" t="s">
        <v>1064</v>
      </c>
      <c r="Q1048" s="15" t="s">
        <v>4</v>
      </c>
      <c r="R1048" s="12" t="s">
        <v>21</v>
      </c>
      <c r="S1048" s="12" t="s">
        <v>14</v>
      </c>
      <c r="T1048" s="12">
        <v>1</v>
      </c>
      <c r="U1048" s="13">
        <v>44299</v>
      </c>
      <c r="V1048" s="12" t="s">
        <v>1155</v>
      </c>
      <c r="W1048" s="12"/>
      <c r="X1048" s="15" t="s">
        <v>93</v>
      </c>
      <c r="Y1048" s="13"/>
      <c r="Z1048" s="75"/>
    </row>
    <row r="1049" spans="1:35" s="25" customFormat="1" hidden="1" x14ac:dyDescent="0.3">
      <c r="A1049" s="12" t="s">
        <v>85</v>
      </c>
      <c r="B1049" s="74">
        <v>42520</v>
      </c>
      <c r="C1049" s="19" t="s">
        <v>711</v>
      </c>
      <c r="D1049" s="12" t="s">
        <v>1</v>
      </c>
      <c r="E1049" s="12" t="s">
        <v>1185</v>
      </c>
      <c r="F1049" s="34" t="s">
        <v>87</v>
      </c>
      <c r="G1049" s="12" t="s">
        <v>113</v>
      </c>
      <c r="H1049" s="15" t="s">
        <v>712</v>
      </c>
      <c r="I1049" s="15" t="s">
        <v>713</v>
      </c>
      <c r="J1049" s="11" t="s">
        <v>714</v>
      </c>
      <c r="K1049" s="14" t="s">
        <v>714</v>
      </c>
      <c r="L1049" s="11" t="s">
        <v>1197</v>
      </c>
      <c r="M1049" s="14" t="s">
        <v>715</v>
      </c>
      <c r="N1049" s="61">
        <v>0</v>
      </c>
      <c r="O1049" s="61">
        <v>976.13</v>
      </c>
      <c r="P1049" s="93" t="s">
        <v>716</v>
      </c>
      <c r="Q1049" s="18" t="s">
        <v>12</v>
      </c>
      <c r="R1049" s="12" t="s">
        <v>13</v>
      </c>
      <c r="S1049" s="12" t="s">
        <v>25</v>
      </c>
      <c r="T1049" s="12">
        <v>1</v>
      </c>
      <c r="U1049" s="13">
        <v>44302</v>
      </c>
      <c r="V1049" s="15" t="s">
        <v>1156</v>
      </c>
      <c r="W1049" s="12"/>
      <c r="X1049" s="15" t="s">
        <v>93</v>
      </c>
      <c r="Y1049" s="13"/>
      <c r="Z1049" s="75"/>
      <c r="AA1049" s="73"/>
      <c r="AC1049" s="73"/>
      <c r="AD1049" s="72"/>
      <c r="AE1049" s="72"/>
      <c r="AF1049" s="72"/>
      <c r="AG1049" s="72"/>
      <c r="AH1049" s="72"/>
      <c r="AI1049" s="72"/>
    </row>
    <row r="1050" spans="1:35" hidden="1" x14ac:dyDescent="0.3">
      <c r="A1050" s="12" t="s">
        <v>85</v>
      </c>
      <c r="B1050" s="74">
        <v>40125</v>
      </c>
      <c r="C1050" s="19" t="s">
        <v>674</v>
      </c>
      <c r="D1050" s="12" t="s">
        <v>1</v>
      </c>
      <c r="E1050" s="12" t="s">
        <v>1185</v>
      </c>
      <c r="F1050" s="34" t="s">
        <v>113</v>
      </c>
      <c r="G1050" s="18" t="s">
        <v>87</v>
      </c>
      <c r="H1050" s="15" t="s">
        <v>675</v>
      </c>
      <c r="I1050" s="15" t="s">
        <v>115</v>
      </c>
      <c r="J1050" s="14" t="s">
        <v>679</v>
      </c>
      <c r="K1050" s="14" t="s">
        <v>679</v>
      </c>
      <c r="L1050" s="11" t="s">
        <v>1195</v>
      </c>
      <c r="M1050" s="14" t="s">
        <v>680</v>
      </c>
      <c r="N1050" s="61">
        <v>36802.870000000003</v>
      </c>
      <c r="O1050" s="61"/>
      <c r="P1050" s="93" t="s">
        <v>91</v>
      </c>
      <c r="Q1050" s="15" t="s">
        <v>4</v>
      </c>
      <c r="R1050" s="12" t="s">
        <v>16</v>
      </c>
      <c r="S1050" s="12" t="s">
        <v>30</v>
      </c>
      <c r="T1050" s="12">
        <v>1</v>
      </c>
      <c r="U1050" s="13">
        <v>44302</v>
      </c>
      <c r="V1050" s="15" t="s">
        <v>1157</v>
      </c>
      <c r="W1050" s="12"/>
      <c r="X1050" s="15" t="s">
        <v>93</v>
      </c>
      <c r="Y1050" s="13"/>
      <c r="Z1050" s="75"/>
    </row>
    <row r="1051" spans="1:35" hidden="1" x14ac:dyDescent="0.3">
      <c r="A1051" s="12" t="s">
        <v>85</v>
      </c>
      <c r="B1051" s="74">
        <v>20182</v>
      </c>
      <c r="C1051" s="19" t="s">
        <v>95</v>
      </c>
      <c r="D1051" s="12" t="s">
        <v>1</v>
      </c>
      <c r="E1051" s="12" t="s">
        <v>1185</v>
      </c>
      <c r="F1051" s="34" t="s">
        <v>132</v>
      </c>
      <c r="G1051" s="18" t="s">
        <v>87</v>
      </c>
      <c r="H1051" s="15" t="s">
        <v>96</v>
      </c>
      <c r="I1051" s="15" t="s">
        <v>89</v>
      </c>
      <c r="J1051" s="11" t="s">
        <v>293</v>
      </c>
      <c r="K1051" s="14" t="s">
        <v>293</v>
      </c>
      <c r="L1051" s="11" t="s">
        <v>1202</v>
      </c>
      <c r="M1051" s="14" t="s">
        <v>92</v>
      </c>
      <c r="N1051" s="58">
        <v>660</v>
      </c>
      <c r="O1051" s="61"/>
      <c r="P1051" s="93" t="s">
        <v>499</v>
      </c>
      <c r="Q1051" s="15" t="s">
        <v>4</v>
      </c>
      <c r="R1051" s="12" t="s">
        <v>15</v>
      </c>
      <c r="S1051" s="12" t="s">
        <v>1139</v>
      </c>
      <c r="T1051" s="12">
        <v>1</v>
      </c>
      <c r="U1051" s="13">
        <v>44256</v>
      </c>
      <c r="V1051" s="15" t="s">
        <v>1158</v>
      </c>
      <c r="W1051" s="12"/>
      <c r="X1051" s="15" t="s">
        <v>93</v>
      </c>
      <c r="Y1051" s="13"/>
      <c r="Z1051" s="75"/>
    </row>
    <row r="1052" spans="1:35" hidden="1" x14ac:dyDescent="0.3">
      <c r="A1052" s="18" t="s">
        <v>85</v>
      </c>
      <c r="B1052" s="74">
        <v>15171</v>
      </c>
      <c r="C1052" s="19" t="s">
        <v>130</v>
      </c>
      <c r="D1052" s="12" t="s">
        <v>417</v>
      </c>
      <c r="E1052" s="18" t="s">
        <v>1179</v>
      </c>
      <c r="F1052" s="34" t="s">
        <v>87</v>
      </c>
      <c r="G1052" s="12" t="s">
        <v>113</v>
      </c>
      <c r="H1052" s="34" t="s">
        <v>96</v>
      </c>
      <c r="I1052" s="34" t="s">
        <v>89</v>
      </c>
      <c r="J1052" s="11" t="s">
        <v>418</v>
      </c>
      <c r="K1052" s="19" t="s">
        <v>418</v>
      </c>
      <c r="L1052" s="19"/>
      <c r="M1052" s="19" t="s">
        <v>419</v>
      </c>
      <c r="N1052" s="67">
        <v>567.88</v>
      </c>
      <c r="O1052" s="67">
        <v>351.86</v>
      </c>
      <c r="P1052" s="93" t="s">
        <v>420</v>
      </c>
      <c r="Q1052" s="34" t="s">
        <v>4</v>
      </c>
      <c r="R1052" s="18" t="s">
        <v>16</v>
      </c>
      <c r="S1052" s="18" t="s">
        <v>26</v>
      </c>
      <c r="T1052" s="12">
        <v>1</v>
      </c>
      <c r="U1052" s="17">
        <v>44263</v>
      </c>
      <c r="V1052" s="34" t="s">
        <v>1159</v>
      </c>
      <c r="W1052" s="18"/>
      <c r="X1052" s="34" t="s">
        <v>93</v>
      </c>
      <c r="Y1052" s="17"/>
      <c r="Z1052" s="75"/>
    </row>
    <row r="1053" spans="1:35" hidden="1" x14ac:dyDescent="0.3">
      <c r="A1053" s="18" t="s">
        <v>85</v>
      </c>
      <c r="B1053" s="18">
        <v>47941</v>
      </c>
      <c r="C1053" s="19" t="s">
        <v>100</v>
      </c>
      <c r="D1053" s="18" t="s">
        <v>1</v>
      </c>
      <c r="E1053" s="12" t="s">
        <v>1185</v>
      </c>
      <c r="F1053" s="34" t="s">
        <v>132</v>
      </c>
      <c r="G1053" s="12" t="s">
        <v>113</v>
      </c>
      <c r="H1053" s="34" t="s">
        <v>101</v>
      </c>
      <c r="I1053" s="34" t="s">
        <v>89</v>
      </c>
      <c r="J1053" s="11" t="s">
        <v>1282</v>
      </c>
      <c r="K1053" s="19" t="s">
        <v>781</v>
      </c>
      <c r="L1053" s="11" t="s">
        <v>1219</v>
      </c>
      <c r="M1053" s="11" t="s">
        <v>782</v>
      </c>
      <c r="N1053" s="57">
        <v>119597.03</v>
      </c>
      <c r="O1053" s="57"/>
      <c r="P1053" s="34" t="s">
        <v>91</v>
      </c>
      <c r="Q1053" s="18" t="s">
        <v>4</v>
      </c>
      <c r="R1053" s="18" t="s">
        <v>15</v>
      </c>
      <c r="S1053" s="18" t="s">
        <v>53</v>
      </c>
      <c r="T1053" s="12">
        <v>1</v>
      </c>
      <c r="U1053" s="17">
        <v>44300</v>
      </c>
      <c r="V1053" s="18" t="s">
        <v>1160</v>
      </c>
      <c r="W1053" s="18"/>
      <c r="X1053" s="34" t="s">
        <v>93</v>
      </c>
      <c r="Y1053" s="17"/>
      <c r="Z1053" s="75"/>
    </row>
    <row r="1054" spans="1:35" hidden="1" x14ac:dyDescent="0.3">
      <c r="A1054" s="18" t="s">
        <v>85</v>
      </c>
      <c r="B1054" s="18">
        <v>7067</v>
      </c>
      <c r="C1054" s="19" t="s">
        <v>295</v>
      </c>
      <c r="D1054" s="18" t="s">
        <v>1</v>
      </c>
      <c r="E1054" s="12" t="s">
        <v>1185</v>
      </c>
      <c r="F1054" s="34" t="s">
        <v>87</v>
      </c>
      <c r="G1054" s="12" t="s">
        <v>113</v>
      </c>
      <c r="H1054" s="34" t="s">
        <v>296</v>
      </c>
      <c r="I1054" s="34" t="s">
        <v>89</v>
      </c>
      <c r="J1054" s="11" t="s">
        <v>297</v>
      </c>
      <c r="K1054" s="19" t="s">
        <v>297</v>
      </c>
      <c r="L1054" s="11" t="s">
        <v>1199</v>
      </c>
      <c r="M1054" s="19" t="s">
        <v>298</v>
      </c>
      <c r="N1054" s="67">
        <v>4312.34</v>
      </c>
      <c r="O1054" s="59"/>
      <c r="P1054" s="34" t="s">
        <v>299</v>
      </c>
      <c r="Q1054" s="18" t="s">
        <v>4</v>
      </c>
      <c r="R1054" s="18" t="s">
        <v>13</v>
      </c>
      <c r="S1054" s="18" t="s">
        <v>25</v>
      </c>
      <c r="T1054" s="12">
        <v>1</v>
      </c>
      <c r="U1054" s="17">
        <v>44300</v>
      </c>
      <c r="V1054" s="18" t="s">
        <v>1161</v>
      </c>
      <c r="W1054" s="18"/>
      <c r="X1054" s="15" t="s">
        <v>93</v>
      </c>
      <c r="Y1054" s="17"/>
      <c r="Z1054" s="75"/>
    </row>
    <row r="1055" spans="1:35" hidden="1" x14ac:dyDescent="0.3">
      <c r="A1055" s="18" t="s">
        <v>85</v>
      </c>
      <c r="B1055" s="18">
        <v>37551</v>
      </c>
      <c r="C1055" s="19" t="s">
        <v>295</v>
      </c>
      <c r="D1055" s="18" t="s">
        <v>1</v>
      </c>
      <c r="E1055" s="12" t="s">
        <v>1185</v>
      </c>
      <c r="F1055" s="34" t="s">
        <v>87</v>
      </c>
      <c r="G1055" s="12" t="s">
        <v>113</v>
      </c>
      <c r="H1055" s="34" t="s">
        <v>296</v>
      </c>
      <c r="I1055" s="34" t="s">
        <v>89</v>
      </c>
      <c r="J1055" s="19" t="s">
        <v>661</v>
      </c>
      <c r="K1055" s="19" t="s">
        <v>661</v>
      </c>
      <c r="L1055" s="11" t="s">
        <v>1194</v>
      </c>
      <c r="M1055" s="19" t="s">
        <v>662</v>
      </c>
      <c r="N1055" s="58">
        <v>294.5</v>
      </c>
      <c r="O1055" s="59"/>
      <c r="P1055" s="34" t="s">
        <v>665</v>
      </c>
      <c r="Q1055" s="18" t="s">
        <v>4</v>
      </c>
      <c r="R1055" s="18" t="s">
        <v>13</v>
      </c>
      <c r="S1055" s="18" t="s">
        <v>14</v>
      </c>
      <c r="T1055" s="12">
        <v>1</v>
      </c>
      <c r="U1055" s="17">
        <v>44300</v>
      </c>
      <c r="V1055" s="18" t="s">
        <v>1162</v>
      </c>
      <c r="W1055" s="18"/>
      <c r="X1055" s="34" t="s">
        <v>93</v>
      </c>
      <c r="Y1055" s="17"/>
      <c r="Z1055" s="75"/>
    </row>
    <row r="1056" spans="1:35" hidden="1" x14ac:dyDescent="0.3">
      <c r="A1056" s="12" t="s">
        <v>85</v>
      </c>
      <c r="B1056" s="18">
        <v>37550</v>
      </c>
      <c r="C1056" s="19" t="s">
        <v>295</v>
      </c>
      <c r="D1056" s="18" t="s">
        <v>1</v>
      </c>
      <c r="E1056" s="12" t="s">
        <v>1185</v>
      </c>
      <c r="F1056" s="34" t="s">
        <v>87</v>
      </c>
      <c r="G1056" s="12" t="s">
        <v>113</v>
      </c>
      <c r="H1056" s="34" t="s">
        <v>296</v>
      </c>
      <c r="I1056" s="34" t="s">
        <v>89</v>
      </c>
      <c r="J1056" s="19" t="s">
        <v>661</v>
      </c>
      <c r="K1056" s="19" t="s">
        <v>661</v>
      </c>
      <c r="L1056" s="11" t="s">
        <v>1194</v>
      </c>
      <c r="M1056" s="19" t="s">
        <v>662</v>
      </c>
      <c r="N1056" s="58">
        <v>1484.4</v>
      </c>
      <c r="O1056" s="59"/>
      <c r="P1056" s="34" t="s">
        <v>663</v>
      </c>
      <c r="Q1056" s="18" t="s">
        <v>4</v>
      </c>
      <c r="R1056" s="18" t="s">
        <v>13</v>
      </c>
      <c r="S1056" s="18" t="s">
        <v>14</v>
      </c>
      <c r="T1056" s="12">
        <v>1</v>
      </c>
      <c r="U1056" s="17">
        <v>44300</v>
      </c>
      <c r="V1056" s="18" t="s">
        <v>1162</v>
      </c>
      <c r="W1056" s="18"/>
      <c r="X1056" s="34" t="s">
        <v>93</v>
      </c>
      <c r="Y1056" s="17"/>
      <c r="Z1056" s="75"/>
    </row>
    <row r="1057" spans="1:26" hidden="1" x14ac:dyDescent="0.3">
      <c r="A1057" s="18" t="s">
        <v>85</v>
      </c>
      <c r="B1057" s="18">
        <v>12452</v>
      </c>
      <c r="C1057" s="19" t="s">
        <v>295</v>
      </c>
      <c r="D1057" s="18" t="s">
        <v>1</v>
      </c>
      <c r="E1057" s="12" t="s">
        <v>1185</v>
      </c>
      <c r="F1057" s="34" t="s">
        <v>87</v>
      </c>
      <c r="G1057" s="12" t="s">
        <v>113</v>
      </c>
      <c r="H1057" s="34" t="s">
        <v>296</v>
      </c>
      <c r="I1057" s="34" t="s">
        <v>89</v>
      </c>
      <c r="J1057" s="19" t="s">
        <v>396</v>
      </c>
      <c r="K1057" s="19" t="s">
        <v>396</v>
      </c>
      <c r="L1057" s="11" t="s">
        <v>1195</v>
      </c>
      <c r="M1057" s="19" t="s">
        <v>397</v>
      </c>
      <c r="N1057" s="67">
        <v>964</v>
      </c>
      <c r="O1057" s="67"/>
      <c r="P1057" s="34" t="s">
        <v>398</v>
      </c>
      <c r="Q1057" s="18" t="s">
        <v>4</v>
      </c>
      <c r="R1057" s="18" t="s">
        <v>13</v>
      </c>
      <c r="S1057" s="18" t="s">
        <v>25</v>
      </c>
      <c r="T1057" s="12">
        <v>1</v>
      </c>
      <c r="U1057" s="17">
        <v>44300</v>
      </c>
      <c r="V1057" s="18" t="s">
        <v>1161</v>
      </c>
      <c r="W1057" s="18"/>
      <c r="X1057" s="34" t="s">
        <v>93</v>
      </c>
      <c r="Y1057" s="17"/>
      <c r="Z1057" s="75"/>
    </row>
    <row r="1058" spans="1:26" hidden="1" x14ac:dyDescent="0.3">
      <c r="A1058" s="18" t="s">
        <v>85</v>
      </c>
      <c r="B1058" s="18">
        <v>37553</v>
      </c>
      <c r="C1058" s="19" t="s">
        <v>295</v>
      </c>
      <c r="D1058" s="18" t="s">
        <v>1</v>
      </c>
      <c r="E1058" s="12" t="s">
        <v>1185</v>
      </c>
      <c r="F1058" s="34" t="s">
        <v>87</v>
      </c>
      <c r="G1058" s="12" t="s">
        <v>113</v>
      </c>
      <c r="H1058" s="34" t="s">
        <v>296</v>
      </c>
      <c r="I1058" s="34" t="s">
        <v>89</v>
      </c>
      <c r="J1058" s="19" t="s">
        <v>661</v>
      </c>
      <c r="K1058" s="19" t="s">
        <v>661</v>
      </c>
      <c r="L1058" s="11" t="s">
        <v>1194</v>
      </c>
      <c r="M1058" s="19" t="s">
        <v>662</v>
      </c>
      <c r="N1058" s="67">
        <v>247.5</v>
      </c>
      <c r="O1058" s="67"/>
      <c r="P1058" s="34" t="s">
        <v>667</v>
      </c>
      <c r="Q1058" s="18" t="s">
        <v>4</v>
      </c>
      <c r="R1058" s="18" t="s">
        <v>13</v>
      </c>
      <c r="S1058" s="18" t="s">
        <v>14</v>
      </c>
      <c r="T1058" s="12">
        <v>1</v>
      </c>
      <c r="U1058" s="17">
        <v>44265</v>
      </c>
      <c r="V1058" s="18" t="s">
        <v>1123</v>
      </c>
      <c r="W1058" s="18"/>
      <c r="X1058" s="34" t="s">
        <v>93</v>
      </c>
      <c r="Y1058" s="17"/>
      <c r="Z1058" s="75"/>
    </row>
    <row r="1059" spans="1:26" hidden="1" x14ac:dyDescent="0.3">
      <c r="A1059" s="18" t="s">
        <v>85</v>
      </c>
      <c r="B1059" s="18">
        <v>37552</v>
      </c>
      <c r="C1059" s="19" t="s">
        <v>295</v>
      </c>
      <c r="D1059" s="18" t="s">
        <v>1</v>
      </c>
      <c r="E1059" s="12" t="s">
        <v>1185</v>
      </c>
      <c r="F1059" s="34" t="s">
        <v>87</v>
      </c>
      <c r="G1059" s="12" t="s">
        <v>113</v>
      </c>
      <c r="H1059" s="34" t="s">
        <v>296</v>
      </c>
      <c r="I1059" s="34" t="s">
        <v>89</v>
      </c>
      <c r="J1059" s="19" t="s">
        <v>661</v>
      </c>
      <c r="K1059" s="19" t="s">
        <v>661</v>
      </c>
      <c r="L1059" s="11" t="s">
        <v>1194</v>
      </c>
      <c r="M1059" s="19" t="s">
        <v>662</v>
      </c>
      <c r="N1059" s="64">
        <v>263.5</v>
      </c>
      <c r="O1059" s="67"/>
      <c r="P1059" s="34" t="s">
        <v>666</v>
      </c>
      <c r="Q1059" s="18" t="s">
        <v>4</v>
      </c>
      <c r="R1059" s="18" t="s">
        <v>13</v>
      </c>
      <c r="S1059" s="18" t="s">
        <v>14</v>
      </c>
      <c r="T1059" s="12">
        <v>1</v>
      </c>
      <c r="U1059" s="17">
        <v>44300</v>
      </c>
      <c r="V1059" s="18" t="s">
        <v>1162</v>
      </c>
      <c r="W1059" s="18"/>
      <c r="X1059" s="34" t="s">
        <v>93</v>
      </c>
      <c r="Y1059" s="17"/>
      <c r="Z1059" s="75"/>
    </row>
    <row r="1060" spans="1:26" hidden="1" x14ac:dyDescent="0.3">
      <c r="A1060" s="18" t="s">
        <v>85</v>
      </c>
      <c r="B1060" s="18">
        <v>37553</v>
      </c>
      <c r="C1060" s="19" t="s">
        <v>295</v>
      </c>
      <c r="D1060" s="18" t="s">
        <v>1</v>
      </c>
      <c r="E1060" s="12" t="s">
        <v>1185</v>
      </c>
      <c r="F1060" s="34" t="s">
        <v>87</v>
      </c>
      <c r="G1060" s="12" t="s">
        <v>113</v>
      </c>
      <c r="H1060" s="34" t="s">
        <v>296</v>
      </c>
      <c r="I1060" s="34" t="s">
        <v>89</v>
      </c>
      <c r="J1060" s="19" t="s">
        <v>661</v>
      </c>
      <c r="K1060" s="19" t="s">
        <v>661</v>
      </c>
      <c r="L1060" s="11" t="s">
        <v>1194</v>
      </c>
      <c r="M1060" s="19" t="s">
        <v>662</v>
      </c>
      <c r="N1060" s="67">
        <v>247.5</v>
      </c>
      <c r="O1060" s="67"/>
      <c r="P1060" s="34" t="s">
        <v>667</v>
      </c>
      <c r="Q1060" s="18" t="s">
        <v>4</v>
      </c>
      <c r="R1060" s="18" t="s">
        <v>13</v>
      </c>
      <c r="S1060" s="18" t="s">
        <v>14</v>
      </c>
      <c r="T1060" s="12">
        <v>1</v>
      </c>
      <c r="U1060" s="17">
        <v>44300</v>
      </c>
      <c r="V1060" s="18" t="s">
        <v>1162</v>
      </c>
      <c r="W1060" s="18"/>
      <c r="X1060" s="34" t="s">
        <v>93</v>
      </c>
      <c r="Y1060" s="17"/>
      <c r="Z1060" s="75"/>
    </row>
    <row r="1061" spans="1:26" hidden="1" x14ac:dyDescent="0.3">
      <c r="A1061" s="18" t="s">
        <v>85</v>
      </c>
      <c r="B1061" s="18">
        <v>37554</v>
      </c>
      <c r="C1061" s="19" t="s">
        <v>295</v>
      </c>
      <c r="D1061" s="18" t="s">
        <v>1</v>
      </c>
      <c r="E1061" s="12" t="s">
        <v>1185</v>
      </c>
      <c r="F1061" s="34" t="s">
        <v>87</v>
      </c>
      <c r="G1061" s="12" t="s">
        <v>113</v>
      </c>
      <c r="H1061" s="34" t="s">
        <v>296</v>
      </c>
      <c r="I1061" s="34" t="s">
        <v>89</v>
      </c>
      <c r="J1061" s="19" t="s">
        <v>661</v>
      </c>
      <c r="K1061" s="19" t="s">
        <v>661</v>
      </c>
      <c r="L1061" s="11" t="s">
        <v>1194</v>
      </c>
      <c r="M1061" s="19" t="s">
        <v>662</v>
      </c>
      <c r="N1061" s="64">
        <v>375</v>
      </c>
      <c r="O1061" s="59"/>
      <c r="P1061" s="34" t="s">
        <v>668</v>
      </c>
      <c r="Q1061" s="18" t="s">
        <v>4</v>
      </c>
      <c r="R1061" s="18" t="s">
        <v>13</v>
      </c>
      <c r="S1061" s="18" t="s">
        <v>14</v>
      </c>
      <c r="T1061" s="12">
        <v>1</v>
      </c>
      <c r="U1061" s="17">
        <v>44265</v>
      </c>
      <c r="V1061" s="12" t="s">
        <v>1123</v>
      </c>
      <c r="W1061" s="18"/>
      <c r="X1061" s="34" t="s">
        <v>93</v>
      </c>
      <c r="Y1061" s="17"/>
      <c r="Z1061" s="75"/>
    </row>
    <row r="1062" spans="1:26" hidden="1" x14ac:dyDescent="0.3">
      <c r="A1062" s="18" t="s">
        <v>85</v>
      </c>
      <c r="B1062" s="18">
        <v>37554</v>
      </c>
      <c r="C1062" s="19" t="s">
        <v>295</v>
      </c>
      <c r="D1062" s="18" t="s">
        <v>1</v>
      </c>
      <c r="E1062" s="12" t="s">
        <v>1185</v>
      </c>
      <c r="F1062" s="34" t="s">
        <v>87</v>
      </c>
      <c r="G1062" s="12" t="s">
        <v>113</v>
      </c>
      <c r="H1062" s="34" t="s">
        <v>296</v>
      </c>
      <c r="I1062" s="34" t="s">
        <v>89</v>
      </c>
      <c r="J1062" s="19" t="s">
        <v>661</v>
      </c>
      <c r="K1062" s="19" t="s">
        <v>661</v>
      </c>
      <c r="L1062" s="11" t="s">
        <v>1194</v>
      </c>
      <c r="M1062" s="19" t="s">
        <v>662</v>
      </c>
      <c r="N1062" s="67">
        <v>375</v>
      </c>
      <c r="O1062" s="67"/>
      <c r="P1062" s="34" t="s">
        <v>668</v>
      </c>
      <c r="Q1062" s="18" t="s">
        <v>4</v>
      </c>
      <c r="R1062" s="18" t="s">
        <v>13</v>
      </c>
      <c r="S1062" s="18" t="s">
        <v>14</v>
      </c>
      <c r="T1062" s="12">
        <v>1</v>
      </c>
      <c r="U1062" s="17">
        <v>44300</v>
      </c>
      <c r="V1062" s="18" t="s">
        <v>1162</v>
      </c>
      <c r="W1062" s="18"/>
      <c r="X1062" s="34" t="s">
        <v>93</v>
      </c>
      <c r="Y1062" s="17"/>
      <c r="Z1062" s="75"/>
    </row>
    <row r="1063" spans="1:26" x14ac:dyDescent="0.3">
      <c r="A1063" s="18" t="s">
        <v>122</v>
      </c>
      <c r="B1063" s="18">
        <v>3346</v>
      </c>
      <c r="C1063" s="19" t="s">
        <v>112</v>
      </c>
      <c r="D1063" s="18" t="s">
        <v>1</v>
      </c>
      <c r="E1063" s="12" t="s">
        <v>1185</v>
      </c>
      <c r="F1063" s="34" t="s">
        <v>113</v>
      </c>
      <c r="G1063" s="12" t="s">
        <v>113</v>
      </c>
      <c r="H1063" s="34" t="s">
        <v>114</v>
      </c>
      <c r="I1063" s="34" t="s">
        <v>115</v>
      </c>
      <c r="J1063" s="11" t="s">
        <v>1244</v>
      </c>
      <c r="K1063" s="11" t="s">
        <v>1244</v>
      </c>
      <c r="L1063" s="11" t="s">
        <v>1194</v>
      </c>
      <c r="M1063" s="19" t="s">
        <v>165</v>
      </c>
      <c r="N1063" s="64">
        <v>51535</v>
      </c>
      <c r="O1063" s="64"/>
      <c r="P1063" s="34"/>
      <c r="Q1063" s="12" t="s">
        <v>4</v>
      </c>
      <c r="R1063" s="12" t="s">
        <v>16</v>
      </c>
      <c r="S1063" s="12" t="s">
        <v>26</v>
      </c>
      <c r="T1063" s="12">
        <v>1</v>
      </c>
      <c r="U1063" s="17">
        <v>44286</v>
      </c>
      <c r="V1063" s="18" t="s">
        <v>1163</v>
      </c>
      <c r="W1063" s="18"/>
      <c r="X1063" s="12" t="s">
        <v>93</v>
      </c>
      <c r="Y1063" s="17"/>
      <c r="Z1063" s="75"/>
    </row>
    <row r="1064" spans="1:26" hidden="1" x14ac:dyDescent="0.3">
      <c r="A1064" s="12" t="s">
        <v>85</v>
      </c>
      <c r="B1064" s="18">
        <v>4942</v>
      </c>
      <c r="C1064" s="19" t="s">
        <v>243</v>
      </c>
      <c r="D1064" s="18" t="s">
        <v>1</v>
      </c>
      <c r="E1064" s="12" t="s">
        <v>1185</v>
      </c>
      <c r="F1064" s="34" t="s">
        <v>132</v>
      </c>
      <c r="G1064" s="12" t="s">
        <v>113</v>
      </c>
      <c r="H1064" s="34" t="s">
        <v>244</v>
      </c>
      <c r="I1064" s="34" t="s">
        <v>115</v>
      </c>
      <c r="J1064" s="11" t="s">
        <v>245</v>
      </c>
      <c r="K1064" s="11" t="s">
        <v>245</v>
      </c>
      <c r="L1064" s="16" t="s">
        <v>1195</v>
      </c>
      <c r="M1064" s="19" t="s">
        <v>246</v>
      </c>
      <c r="N1064" s="59">
        <v>222.89699999999999</v>
      </c>
      <c r="O1064" s="59"/>
      <c r="P1064" s="34" t="s">
        <v>247</v>
      </c>
      <c r="Q1064" s="18" t="s">
        <v>12</v>
      </c>
      <c r="R1064" s="18" t="s">
        <v>13</v>
      </c>
      <c r="S1064" s="18" t="s">
        <v>25</v>
      </c>
      <c r="T1064" s="12">
        <v>1</v>
      </c>
      <c r="U1064" s="17">
        <v>44280</v>
      </c>
      <c r="V1064" s="18" t="s">
        <v>1125</v>
      </c>
      <c r="W1064" s="12">
        <v>21914</v>
      </c>
      <c r="X1064" s="34" t="s">
        <v>93</v>
      </c>
      <c r="Y1064" s="17">
        <v>44280</v>
      </c>
      <c r="Z1064" s="75"/>
    </row>
    <row r="1065" spans="1:26" hidden="1" x14ac:dyDescent="0.3">
      <c r="A1065" s="18" t="s">
        <v>122</v>
      </c>
      <c r="B1065" s="18">
        <v>17352</v>
      </c>
      <c r="C1065" s="19" t="s">
        <v>457</v>
      </c>
      <c r="D1065" s="18" t="s">
        <v>1</v>
      </c>
      <c r="E1065" s="12" t="s">
        <v>1185</v>
      </c>
      <c r="F1065" s="34" t="s">
        <v>87</v>
      </c>
      <c r="G1065" s="12" t="s">
        <v>113</v>
      </c>
      <c r="H1065" s="34" t="s">
        <v>458</v>
      </c>
      <c r="I1065" s="34" t="s">
        <v>125</v>
      </c>
      <c r="J1065" s="19" t="s">
        <v>459</v>
      </c>
      <c r="K1065" s="19" t="s">
        <v>459</v>
      </c>
      <c r="L1065" s="16" t="s">
        <v>1199</v>
      </c>
      <c r="M1065" s="11" t="s">
        <v>460</v>
      </c>
      <c r="N1065" s="57">
        <v>60000</v>
      </c>
      <c r="O1065" s="59"/>
      <c r="P1065" s="12" t="s">
        <v>91</v>
      </c>
      <c r="Q1065" s="12" t="s">
        <v>4</v>
      </c>
      <c r="R1065" s="12" t="s">
        <v>15</v>
      </c>
      <c r="S1065" s="12" t="s">
        <v>25</v>
      </c>
      <c r="T1065" s="12">
        <v>1</v>
      </c>
      <c r="U1065" s="13">
        <v>44295</v>
      </c>
      <c r="V1065" s="12" t="s">
        <v>1164</v>
      </c>
      <c r="W1065" s="18"/>
      <c r="X1065" s="12" t="s">
        <v>105</v>
      </c>
      <c r="Y1065" s="17"/>
      <c r="Z1065" s="75"/>
    </row>
    <row r="1066" spans="1:26" hidden="1" x14ac:dyDescent="0.3">
      <c r="A1066" s="18" t="s">
        <v>122</v>
      </c>
      <c r="B1066" s="18">
        <v>1308</v>
      </c>
      <c r="C1066" s="19" t="s">
        <v>123</v>
      </c>
      <c r="D1066" s="18" t="s">
        <v>1</v>
      </c>
      <c r="E1066" s="12" t="s">
        <v>1185</v>
      </c>
      <c r="F1066" s="34" t="s">
        <v>87</v>
      </c>
      <c r="G1066" s="12" t="s">
        <v>113</v>
      </c>
      <c r="H1066" s="34" t="s">
        <v>124</v>
      </c>
      <c r="I1066" s="34" t="s">
        <v>125</v>
      </c>
      <c r="J1066" s="19" t="s">
        <v>126</v>
      </c>
      <c r="K1066" s="19" t="s">
        <v>126</v>
      </c>
      <c r="L1066" s="16" t="s">
        <v>1199</v>
      </c>
      <c r="M1066" s="19" t="s">
        <v>127</v>
      </c>
      <c r="N1066" s="57">
        <v>179465</v>
      </c>
      <c r="O1066" s="59"/>
      <c r="P1066" s="56">
        <v>524500002000</v>
      </c>
      <c r="Q1066" s="12" t="s">
        <v>4</v>
      </c>
      <c r="R1066" s="12" t="s">
        <v>16</v>
      </c>
      <c r="S1066" s="12" t="s">
        <v>26</v>
      </c>
      <c r="T1066" s="12">
        <v>1</v>
      </c>
      <c r="U1066" s="17">
        <v>44295</v>
      </c>
      <c r="V1066" s="18" t="s">
        <v>1164</v>
      </c>
      <c r="W1066" s="18"/>
      <c r="X1066" s="34" t="s">
        <v>105</v>
      </c>
      <c r="Y1066" s="17"/>
      <c r="Z1066" s="75"/>
    </row>
    <row r="1067" spans="1:26" hidden="1" x14ac:dyDescent="0.3">
      <c r="A1067" s="18" t="s">
        <v>85</v>
      </c>
      <c r="B1067" s="18">
        <v>30417</v>
      </c>
      <c r="C1067" s="19" t="s">
        <v>95</v>
      </c>
      <c r="D1067" s="18" t="s">
        <v>1</v>
      </c>
      <c r="E1067" s="12" t="s">
        <v>1185</v>
      </c>
      <c r="F1067" s="34" t="s">
        <v>87</v>
      </c>
      <c r="G1067" s="12" t="s">
        <v>113</v>
      </c>
      <c r="H1067" s="34" t="s">
        <v>96</v>
      </c>
      <c r="I1067" s="34" t="s">
        <v>89</v>
      </c>
      <c r="J1067" s="11" t="s">
        <v>1281</v>
      </c>
      <c r="K1067" s="19" t="s">
        <v>581</v>
      </c>
      <c r="L1067" s="19" t="s">
        <v>1204</v>
      </c>
      <c r="M1067" s="19" t="s">
        <v>582</v>
      </c>
      <c r="N1067" s="64">
        <v>58660.9</v>
      </c>
      <c r="O1067" s="67"/>
      <c r="P1067" s="34">
        <v>0</v>
      </c>
      <c r="Q1067" s="18" t="s">
        <v>12</v>
      </c>
      <c r="R1067" s="18" t="s">
        <v>99</v>
      </c>
      <c r="S1067" s="18"/>
      <c r="T1067" s="77">
        <v>1</v>
      </c>
      <c r="U1067" s="17">
        <v>44216</v>
      </c>
      <c r="V1067" s="18"/>
      <c r="W1067" s="18"/>
      <c r="X1067" s="34"/>
      <c r="Y1067" s="17"/>
      <c r="Z1067" s="78"/>
    </row>
    <row r="1068" spans="1:26" hidden="1" x14ac:dyDescent="0.3">
      <c r="A1068" s="18" t="s">
        <v>85</v>
      </c>
      <c r="B1068" s="18">
        <v>236265</v>
      </c>
      <c r="C1068" s="19" t="s">
        <v>1001</v>
      </c>
      <c r="D1068" s="18" t="s">
        <v>1</v>
      </c>
      <c r="E1068" s="12" t="s">
        <v>1185</v>
      </c>
      <c r="F1068" s="34" t="s">
        <v>87</v>
      </c>
      <c r="G1068" s="12" t="s">
        <v>113</v>
      </c>
      <c r="H1068" s="34" t="s">
        <v>528</v>
      </c>
      <c r="I1068" s="34" t="s">
        <v>125</v>
      </c>
      <c r="J1068" s="19" t="s">
        <v>1002</v>
      </c>
      <c r="K1068" s="19" t="s">
        <v>1002</v>
      </c>
      <c r="L1068" s="11" t="s">
        <v>1212</v>
      </c>
      <c r="M1068" s="19" t="s">
        <v>92</v>
      </c>
      <c r="N1068" s="64">
        <v>25241.03</v>
      </c>
      <c r="O1068" s="67" t="s">
        <v>1004</v>
      </c>
      <c r="P1068" s="34" t="s">
        <v>1005</v>
      </c>
      <c r="Q1068" s="18" t="s">
        <v>4</v>
      </c>
      <c r="R1068" s="18" t="s">
        <v>16</v>
      </c>
      <c r="S1068" s="18" t="s">
        <v>26</v>
      </c>
      <c r="T1068" s="18">
        <v>1</v>
      </c>
      <c r="U1068" s="17">
        <v>44327</v>
      </c>
      <c r="V1068" s="18" t="s">
        <v>1168</v>
      </c>
      <c r="W1068" s="18" t="s">
        <v>92</v>
      </c>
      <c r="X1068" s="34" t="s">
        <v>105</v>
      </c>
      <c r="Y1068" s="17"/>
      <c r="Z1068" s="78"/>
    </row>
    <row r="1069" spans="1:26" hidden="1" x14ac:dyDescent="0.3">
      <c r="A1069" s="18" t="s">
        <v>85</v>
      </c>
      <c r="B1069" s="18">
        <v>236265</v>
      </c>
      <c r="C1069" s="19" t="s">
        <v>1001</v>
      </c>
      <c r="D1069" s="18" t="s">
        <v>1</v>
      </c>
      <c r="E1069" s="12" t="s">
        <v>1185</v>
      </c>
      <c r="F1069" s="34" t="s">
        <v>87</v>
      </c>
      <c r="G1069" s="12" t="s">
        <v>113</v>
      </c>
      <c r="H1069" s="34" t="s">
        <v>528</v>
      </c>
      <c r="I1069" s="34" t="s">
        <v>125</v>
      </c>
      <c r="J1069" s="19" t="s">
        <v>1002</v>
      </c>
      <c r="K1069" s="19" t="s">
        <v>1002</v>
      </c>
      <c r="L1069" s="11" t="s">
        <v>1212</v>
      </c>
      <c r="M1069" s="19" t="s">
        <v>92</v>
      </c>
      <c r="N1069" s="64">
        <v>25241.03</v>
      </c>
      <c r="O1069" s="67" t="s">
        <v>1004</v>
      </c>
      <c r="P1069" s="34" t="s">
        <v>1005</v>
      </c>
      <c r="Q1069" s="18" t="s">
        <v>4</v>
      </c>
      <c r="R1069" s="18" t="s">
        <v>13</v>
      </c>
      <c r="S1069" s="18" t="s">
        <v>25</v>
      </c>
      <c r="T1069" s="18">
        <v>1</v>
      </c>
      <c r="U1069" s="17">
        <v>44327</v>
      </c>
      <c r="V1069" s="18" t="s">
        <v>1170</v>
      </c>
      <c r="W1069" s="18"/>
      <c r="X1069" s="34" t="s">
        <v>105</v>
      </c>
      <c r="Y1069" s="17"/>
      <c r="Z1069" s="78"/>
    </row>
    <row r="1070" spans="1:26" hidden="1" x14ac:dyDescent="0.3">
      <c r="A1070" s="18" t="s">
        <v>122</v>
      </c>
      <c r="B1070" s="18">
        <v>21907</v>
      </c>
      <c r="C1070" s="19" t="s">
        <v>520</v>
      </c>
      <c r="D1070" s="12" t="s">
        <v>417</v>
      </c>
      <c r="E1070" s="18" t="s">
        <v>417</v>
      </c>
      <c r="F1070" s="34" t="s">
        <v>113</v>
      </c>
      <c r="G1070" s="18" t="s">
        <v>113</v>
      </c>
      <c r="H1070" s="34" t="s">
        <v>521</v>
      </c>
      <c r="I1070" s="34" t="s">
        <v>115</v>
      </c>
      <c r="J1070" s="11" t="s">
        <v>522</v>
      </c>
      <c r="K1070" s="19" t="s">
        <v>522</v>
      </c>
      <c r="L1070" s="19"/>
      <c r="M1070" s="19" t="s">
        <v>523</v>
      </c>
      <c r="N1070" s="67">
        <v>266</v>
      </c>
      <c r="O1070" s="67"/>
      <c r="P1070" s="34" t="s">
        <v>91</v>
      </c>
      <c r="Q1070" s="34" t="s">
        <v>4</v>
      </c>
      <c r="R1070" s="12" t="s">
        <v>15</v>
      </c>
      <c r="S1070" s="18"/>
      <c r="T1070" s="77">
        <v>1</v>
      </c>
      <c r="U1070" s="17">
        <v>44362</v>
      </c>
      <c r="V1070" s="34" t="s">
        <v>1255</v>
      </c>
      <c r="W1070" s="18"/>
      <c r="X1070" s="34" t="s">
        <v>105</v>
      </c>
      <c r="Y1070" s="17">
        <v>44364</v>
      </c>
      <c r="Z1070" s="78"/>
    </row>
    <row r="1071" spans="1:26" hidden="1" x14ac:dyDescent="0.3">
      <c r="A1071" s="18" t="s">
        <v>122</v>
      </c>
      <c r="B1071" s="18">
        <v>22230</v>
      </c>
      <c r="C1071" s="19" t="s">
        <v>520</v>
      </c>
      <c r="D1071" s="12" t="s">
        <v>417</v>
      </c>
      <c r="E1071" s="18" t="s">
        <v>1185</v>
      </c>
      <c r="F1071" s="34" t="s">
        <v>113</v>
      </c>
      <c r="G1071" s="18" t="s">
        <v>113</v>
      </c>
      <c r="H1071" s="34" t="s">
        <v>521</v>
      </c>
      <c r="I1071" s="34" t="s">
        <v>115</v>
      </c>
      <c r="J1071" s="34"/>
      <c r="K1071" s="19" t="s">
        <v>522</v>
      </c>
      <c r="L1071" s="19"/>
      <c r="M1071" s="11" t="s">
        <v>523</v>
      </c>
      <c r="N1071" s="60">
        <v>724</v>
      </c>
      <c r="O1071" s="59"/>
      <c r="P1071" s="12" t="s">
        <v>91</v>
      </c>
      <c r="Q1071" s="12" t="s">
        <v>4</v>
      </c>
      <c r="R1071" s="12" t="s">
        <v>15</v>
      </c>
      <c r="S1071" s="12"/>
      <c r="T1071" s="12">
        <v>1</v>
      </c>
      <c r="U1071" s="17">
        <v>44362</v>
      </c>
      <c r="V1071" s="34" t="s">
        <v>1206</v>
      </c>
      <c r="W1071" s="18"/>
      <c r="X1071" s="12" t="s">
        <v>105</v>
      </c>
      <c r="Y1071" s="17">
        <v>44364</v>
      </c>
      <c r="Z1071" s="78"/>
    </row>
    <row r="1072" spans="1:26" hidden="1" x14ac:dyDescent="0.3">
      <c r="A1072" s="18" t="s">
        <v>85</v>
      </c>
      <c r="B1072" s="18">
        <v>35206</v>
      </c>
      <c r="C1072" s="19" t="s">
        <v>367</v>
      </c>
      <c r="D1072" s="18" t="s">
        <v>1</v>
      </c>
      <c r="E1072" s="18" t="s">
        <v>1185</v>
      </c>
      <c r="F1072" s="34" t="s">
        <v>87</v>
      </c>
      <c r="G1072" s="18" t="s">
        <v>87</v>
      </c>
      <c r="H1072" s="34" t="s">
        <v>1131</v>
      </c>
      <c r="I1072" s="34" t="s">
        <v>115</v>
      </c>
      <c r="J1072" s="11" t="s">
        <v>645</v>
      </c>
      <c r="K1072" s="19" t="s">
        <v>645</v>
      </c>
      <c r="L1072" s="19" t="s">
        <v>1207</v>
      </c>
      <c r="M1072" s="19" t="s">
        <v>582</v>
      </c>
      <c r="N1072" s="59">
        <v>998.24</v>
      </c>
      <c r="O1072" s="59"/>
      <c r="P1072" s="34">
        <v>21726</v>
      </c>
      <c r="Q1072" s="18" t="s">
        <v>4</v>
      </c>
      <c r="R1072" s="12" t="s">
        <v>21</v>
      </c>
      <c r="S1072" s="18" t="s">
        <v>21</v>
      </c>
      <c r="T1072" s="77">
        <v>1</v>
      </c>
      <c r="U1072" s="17">
        <v>44362</v>
      </c>
      <c r="V1072" s="18" t="s">
        <v>1208</v>
      </c>
      <c r="W1072" s="18"/>
      <c r="X1072" s="18" t="s">
        <v>105</v>
      </c>
      <c r="Y1072" s="17"/>
      <c r="Z1072" s="78"/>
    </row>
    <row r="1073" spans="1:26" hidden="1" x14ac:dyDescent="0.3">
      <c r="A1073" s="18" t="s">
        <v>85</v>
      </c>
      <c r="B1073" s="18">
        <v>9469</v>
      </c>
      <c r="C1073" s="19" t="s">
        <v>367</v>
      </c>
      <c r="D1073" s="12" t="s">
        <v>1</v>
      </c>
      <c r="E1073" s="18" t="s">
        <v>1185</v>
      </c>
      <c r="F1073" s="34" t="s">
        <v>113</v>
      </c>
      <c r="G1073" s="18" t="s">
        <v>113</v>
      </c>
      <c r="H1073" s="34" t="s">
        <v>368</v>
      </c>
      <c r="I1073" s="34" t="s">
        <v>115</v>
      </c>
      <c r="J1073" s="19" t="s">
        <v>369</v>
      </c>
      <c r="K1073" s="19" t="s">
        <v>369</v>
      </c>
      <c r="L1073" s="11" t="s">
        <v>1210</v>
      </c>
      <c r="M1073" s="11" t="s">
        <v>370</v>
      </c>
      <c r="N1073" s="59">
        <v>749.25</v>
      </c>
      <c r="O1073" s="59"/>
      <c r="P1073" s="12">
        <v>4063</v>
      </c>
      <c r="Q1073" s="12" t="s">
        <v>12</v>
      </c>
      <c r="R1073" s="12" t="s">
        <v>99</v>
      </c>
      <c r="S1073" s="18" t="s">
        <v>99</v>
      </c>
      <c r="T1073" s="77">
        <v>1</v>
      </c>
      <c r="U1073" s="17">
        <v>44362</v>
      </c>
      <c r="V1073" s="18" t="s">
        <v>1211</v>
      </c>
      <c r="W1073" s="18"/>
      <c r="X1073" s="34" t="s">
        <v>105</v>
      </c>
      <c r="Y1073" s="17"/>
      <c r="Z1073" s="78"/>
    </row>
    <row r="1074" spans="1:26" hidden="1" x14ac:dyDescent="0.3">
      <c r="A1074" s="18" t="s">
        <v>85</v>
      </c>
      <c r="B1074" s="18">
        <v>48437</v>
      </c>
      <c r="C1074" s="19" t="s">
        <v>333</v>
      </c>
      <c r="D1074" s="18" t="s">
        <v>1</v>
      </c>
      <c r="E1074" s="18" t="s">
        <v>1185</v>
      </c>
      <c r="F1074" s="34" t="s">
        <v>132</v>
      </c>
      <c r="G1074" s="18" t="s">
        <v>87</v>
      </c>
      <c r="H1074" s="34" t="s">
        <v>334</v>
      </c>
      <c r="I1074" s="34" t="s">
        <v>89</v>
      </c>
      <c r="J1074" s="19" t="s">
        <v>791</v>
      </c>
      <c r="K1074" s="19" t="s">
        <v>791</v>
      </c>
      <c r="L1074" s="11" t="s">
        <v>1195</v>
      </c>
      <c r="M1074" s="11" t="s">
        <v>792</v>
      </c>
      <c r="N1074" s="58">
        <v>93714.35</v>
      </c>
      <c r="O1074" s="59"/>
      <c r="P1074" s="56">
        <v>6030081208150000</v>
      </c>
      <c r="Q1074" s="12" t="s">
        <v>12</v>
      </c>
      <c r="R1074" s="18" t="s">
        <v>15</v>
      </c>
      <c r="S1074" s="18"/>
      <c r="T1074" s="77">
        <v>1</v>
      </c>
      <c r="U1074" s="17">
        <v>44362</v>
      </c>
      <c r="V1074" s="18" t="s">
        <v>1213</v>
      </c>
      <c r="W1074" s="18"/>
      <c r="X1074" s="34" t="s">
        <v>105</v>
      </c>
      <c r="Y1074" s="17">
        <v>44362</v>
      </c>
      <c r="Z1074" s="78"/>
    </row>
    <row r="1075" spans="1:26" hidden="1" x14ac:dyDescent="0.3">
      <c r="A1075" s="18" t="s">
        <v>85</v>
      </c>
      <c r="B1075" s="18">
        <v>129887</v>
      </c>
      <c r="C1075" s="19" t="s">
        <v>674</v>
      </c>
      <c r="D1075" s="18" t="s">
        <v>1</v>
      </c>
      <c r="E1075" s="18" t="s">
        <v>1185</v>
      </c>
      <c r="F1075" s="34" t="s">
        <v>87</v>
      </c>
      <c r="G1075" s="18" t="s">
        <v>113</v>
      </c>
      <c r="H1075" s="34" t="s">
        <v>675</v>
      </c>
      <c r="I1075" s="34" t="s">
        <v>115</v>
      </c>
      <c r="J1075" s="16" t="s">
        <v>1060</v>
      </c>
      <c r="K1075" s="19" t="s">
        <v>1060</v>
      </c>
      <c r="L1075" s="19" t="s">
        <v>1224</v>
      </c>
      <c r="M1075" s="16" t="s">
        <v>1061</v>
      </c>
      <c r="N1075" s="65">
        <f>1.0866*10000</f>
        <v>10866</v>
      </c>
      <c r="O1075" s="63"/>
      <c r="P1075" s="18" t="s">
        <v>91</v>
      </c>
      <c r="Q1075" s="18" t="s">
        <v>12</v>
      </c>
      <c r="R1075" s="12" t="s">
        <v>99</v>
      </c>
      <c r="S1075" s="12" t="s">
        <v>99</v>
      </c>
      <c r="T1075" s="18">
        <v>1</v>
      </c>
      <c r="U1075" s="17">
        <v>44361</v>
      </c>
      <c r="V1075" s="18" t="s">
        <v>1225</v>
      </c>
      <c r="W1075" s="18"/>
      <c r="X1075" s="34" t="s">
        <v>105</v>
      </c>
      <c r="Y1075" s="17"/>
      <c r="Z1075" s="78"/>
    </row>
    <row r="1076" spans="1:26" hidden="1" x14ac:dyDescent="0.3">
      <c r="A1076" s="18" t="s">
        <v>85</v>
      </c>
      <c r="B1076" s="18">
        <v>26006</v>
      </c>
      <c r="C1076" s="19" t="s">
        <v>254</v>
      </c>
      <c r="D1076" s="18" t="s">
        <v>1</v>
      </c>
      <c r="E1076" s="18" t="s">
        <v>1185</v>
      </c>
      <c r="F1076" s="34" t="s">
        <v>132</v>
      </c>
      <c r="G1076" s="18" t="s">
        <v>132</v>
      </c>
      <c r="H1076" s="34" t="s">
        <v>547</v>
      </c>
      <c r="I1076" s="34" t="s">
        <v>89</v>
      </c>
      <c r="J1076" s="19" t="s">
        <v>548</v>
      </c>
      <c r="K1076" s="19" t="s">
        <v>548</v>
      </c>
      <c r="L1076" s="19" t="s">
        <v>1195</v>
      </c>
      <c r="M1076" s="19" t="s">
        <v>549</v>
      </c>
      <c r="N1076" s="60">
        <v>510</v>
      </c>
      <c r="O1076" s="59"/>
      <c r="P1076" s="12" t="s">
        <v>550</v>
      </c>
      <c r="Q1076" s="12" t="s">
        <v>4</v>
      </c>
      <c r="R1076" s="12" t="s">
        <v>1190</v>
      </c>
      <c r="S1076" s="12" t="s">
        <v>25</v>
      </c>
      <c r="T1076" s="12">
        <v>1</v>
      </c>
      <c r="U1076" s="13">
        <v>44362</v>
      </c>
      <c r="V1076" s="12" t="s">
        <v>1226</v>
      </c>
      <c r="W1076" s="18"/>
      <c r="X1076" s="12" t="s">
        <v>93</v>
      </c>
      <c r="Y1076" s="17"/>
      <c r="Z1076" s="78"/>
    </row>
    <row r="1077" spans="1:26" hidden="1" x14ac:dyDescent="0.3">
      <c r="A1077" s="18" t="s">
        <v>85</v>
      </c>
      <c r="B1077" s="18">
        <v>4603</v>
      </c>
      <c r="C1077" s="19" t="s">
        <v>221</v>
      </c>
      <c r="D1077" s="18" t="s">
        <v>1</v>
      </c>
      <c r="E1077" s="18" t="s">
        <v>1185</v>
      </c>
      <c r="F1077" s="34" t="s">
        <v>87</v>
      </c>
      <c r="G1077" s="18" t="s">
        <v>113</v>
      </c>
      <c r="H1077" s="34" t="s">
        <v>222</v>
      </c>
      <c r="I1077" s="34" t="s">
        <v>223</v>
      </c>
      <c r="J1077" s="19" t="s">
        <v>224</v>
      </c>
      <c r="K1077" s="19" t="s">
        <v>224</v>
      </c>
      <c r="L1077" s="19" t="s">
        <v>1197</v>
      </c>
      <c r="M1077" s="19" t="s">
        <v>225</v>
      </c>
      <c r="N1077" s="59">
        <v>0</v>
      </c>
      <c r="O1077" s="59"/>
      <c r="P1077" s="34" t="s">
        <v>226</v>
      </c>
      <c r="Q1077" s="18" t="s">
        <v>4</v>
      </c>
      <c r="R1077" s="18" t="s">
        <v>15</v>
      </c>
      <c r="S1077" s="18" t="s">
        <v>25</v>
      </c>
      <c r="T1077" s="12">
        <v>1</v>
      </c>
      <c r="U1077" s="17">
        <v>44331</v>
      </c>
      <c r="V1077" s="18" t="s">
        <v>1227</v>
      </c>
      <c r="W1077" s="18"/>
      <c r="X1077" s="34" t="s">
        <v>93</v>
      </c>
      <c r="Y1077" s="17"/>
      <c r="Z1077" s="78"/>
    </row>
    <row r="1078" spans="1:26" hidden="1" x14ac:dyDescent="0.3">
      <c r="A1078" s="18" t="s">
        <v>85</v>
      </c>
      <c r="B1078" s="18">
        <v>42520</v>
      </c>
      <c r="C1078" s="19" t="s">
        <v>711</v>
      </c>
      <c r="D1078" s="18" t="s">
        <v>1</v>
      </c>
      <c r="E1078" s="18" t="s">
        <v>1185</v>
      </c>
      <c r="F1078" s="34" t="s">
        <v>87</v>
      </c>
      <c r="G1078" s="18" t="s">
        <v>113</v>
      </c>
      <c r="H1078" s="34" t="s">
        <v>712</v>
      </c>
      <c r="I1078" s="34" t="s">
        <v>713</v>
      </c>
      <c r="J1078" s="11" t="s">
        <v>714</v>
      </c>
      <c r="K1078" s="19" t="s">
        <v>714</v>
      </c>
      <c r="L1078" s="19" t="s">
        <v>1197</v>
      </c>
      <c r="M1078" s="19" t="s">
        <v>715</v>
      </c>
      <c r="N1078" s="61">
        <v>0</v>
      </c>
      <c r="O1078" s="61">
        <v>976.13</v>
      </c>
      <c r="P1078" s="93" t="s">
        <v>716</v>
      </c>
      <c r="Q1078" s="18" t="s">
        <v>12</v>
      </c>
      <c r="R1078" s="12" t="s">
        <v>13</v>
      </c>
      <c r="S1078" s="12" t="s">
        <v>25</v>
      </c>
      <c r="T1078" s="12">
        <v>1</v>
      </c>
      <c r="U1078" s="13">
        <v>44355</v>
      </c>
      <c r="V1078" s="15" t="s">
        <v>1228</v>
      </c>
      <c r="W1078" s="18"/>
      <c r="X1078" s="15" t="s">
        <v>93</v>
      </c>
      <c r="Y1078" s="17"/>
      <c r="Z1078" s="78"/>
    </row>
    <row r="1079" spans="1:26" hidden="1" x14ac:dyDescent="0.3">
      <c r="A1079" s="18" t="s">
        <v>85</v>
      </c>
      <c r="B1079" s="18">
        <v>20182</v>
      </c>
      <c r="C1079" s="19" t="s">
        <v>95</v>
      </c>
      <c r="D1079" s="18" t="s">
        <v>1</v>
      </c>
      <c r="E1079" s="18" t="s">
        <v>1185</v>
      </c>
      <c r="F1079" s="34" t="s">
        <v>132</v>
      </c>
      <c r="G1079" s="18" t="s">
        <v>87</v>
      </c>
      <c r="H1079" s="34" t="s">
        <v>96</v>
      </c>
      <c r="I1079" s="34" t="s">
        <v>89</v>
      </c>
      <c r="J1079" s="11" t="s">
        <v>293</v>
      </c>
      <c r="K1079" s="19" t="s">
        <v>293</v>
      </c>
      <c r="L1079" s="19" t="s">
        <v>1202</v>
      </c>
      <c r="M1079" s="19"/>
      <c r="N1079" s="58">
        <v>660</v>
      </c>
      <c r="O1079" s="61"/>
      <c r="P1079" s="93" t="s">
        <v>499</v>
      </c>
      <c r="Q1079" s="15" t="s">
        <v>4</v>
      </c>
      <c r="R1079" s="12" t="s">
        <v>15</v>
      </c>
      <c r="S1079" s="12" t="s">
        <v>1139</v>
      </c>
      <c r="T1079" s="12">
        <v>1</v>
      </c>
      <c r="U1079" s="13">
        <v>44361</v>
      </c>
      <c r="V1079" s="15" t="s">
        <v>1229</v>
      </c>
      <c r="W1079" s="18"/>
      <c r="X1079" s="15" t="s">
        <v>93</v>
      </c>
      <c r="Y1079" s="17"/>
      <c r="Z1079" s="78"/>
    </row>
    <row r="1080" spans="1:26" s="18" customFormat="1" ht="10.5" hidden="1" x14ac:dyDescent="0.25">
      <c r="A1080" s="18" t="s">
        <v>85</v>
      </c>
      <c r="B1080" s="18">
        <v>15171</v>
      </c>
      <c r="C1080" s="16" t="s">
        <v>130</v>
      </c>
      <c r="D1080" s="12" t="s">
        <v>417</v>
      </c>
      <c r="E1080" s="18" t="s">
        <v>1179</v>
      </c>
      <c r="F1080" s="18" t="s">
        <v>87</v>
      </c>
      <c r="G1080" s="18" t="s">
        <v>113</v>
      </c>
      <c r="H1080" s="18" t="s">
        <v>96</v>
      </c>
      <c r="I1080" s="18" t="s">
        <v>89</v>
      </c>
      <c r="J1080" s="11" t="s">
        <v>418</v>
      </c>
      <c r="K1080" s="19" t="s">
        <v>418</v>
      </c>
      <c r="M1080" s="19" t="s">
        <v>419</v>
      </c>
      <c r="N1080" s="67">
        <v>567.88</v>
      </c>
      <c r="O1080" s="67">
        <v>351.86</v>
      </c>
      <c r="P1080" s="93" t="s">
        <v>420</v>
      </c>
      <c r="Q1080" s="34" t="s">
        <v>4</v>
      </c>
      <c r="R1080" s="18" t="s">
        <v>16</v>
      </c>
      <c r="S1080" s="18" t="s">
        <v>26</v>
      </c>
      <c r="T1080" s="12">
        <v>1</v>
      </c>
      <c r="U1080" s="17">
        <v>44357</v>
      </c>
      <c r="V1080" s="34" t="s">
        <v>1254</v>
      </c>
      <c r="X1080" s="34" t="s">
        <v>93</v>
      </c>
    </row>
    <row r="1081" spans="1:26" s="18" customFormat="1" ht="10.5" hidden="1" x14ac:dyDescent="0.25">
      <c r="A1081" s="18" t="s">
        <v>85</v>
      </c>
      <c r="B1081" s="18">
        <v>15026</v>
      </c>
      <c r="C1081" s="16" t="s">
        <v>130</v>
      </c>
      <c r="D1081" s="18" t="s">
        <v>1</v>
      </c>
      <c r="E1081" s="18" t="s">
        <v>1185</v>
      </c>
      <c r="F1081" s="18" t="s">
        <v>87</v>
      </c>
      <c r="G1081" s="18" t="s">
        <v>113</v>
      </c>
      <c r="H1081" s="18" t="s">
        <v>96</v>
      </c>
      <c r="I1081" s="18" t="s">
        <v>89</v>
      </c>
      <c r="J1081" s="16" t="s">
        <v>205</v>
      </c>
      <c r="K1081" s="16" t="s">
        <v>205</v>
      </c>
      <c r="L1081" s="18" t="s">
        <v>1212</v>
      </c>
      <c r="M1081" s="18" t="s">
        <v>206</v>
      </c>
      <c r="N1081" s="18">
        <v>56730.3</v>
      </c>
      <c r="P1081" s="18" t="s">
        <v>415</v>
      </c>
      <c r="Q1081" s="18" t="s">
        <v>4</v>
      </c>
      <c r="R1081" s="18" t="s">
        <v>15</v>
      </c>
      <c r="S1081" s="18" t="s">
        <v>46</v>
      </c>
      <c r="T1081" s="18">
        <v>1</v>
      </c>
      <c r="U1081" s="17">
        <v>44363</v>
      </c>
      <c r="V1081" s="18" t="s">
        <v>1253</v>
      </c>
      <c r="X1081" s="18" t="s">
        <v>93</v>
      </c>
    </row>
    <row r="1082" spans="1:26" s="12" customFormat="1" ht="10.5" x14ac:dyDescent="0.25">
      <c r="A1082" s="12" t="s">
        <v>122</v>
      </c>
      <c r="B1082" s="12">
        <v>3346</v>
      </c>
      <c r="C1082" s="11" t="s">
        <v>112</v>
      </c>
      <c r="D1082" s="12" t="s">
        <v>1</v>
      </c>
      <c r="E1082" s="12" t="s">
        <v>1185</v>
      </c>
      <c r="F1082" s="12" t="s">
        <v>113</v>
      </c>
      <c r="G1082" s="12" t="s">
        <v>113</v>
      </c>
      <c r="H1082" s="12" t="s">
        <v>114</v>
      </c>
      <c r="I1082" s="12" t="s">
        <v>115</v>
      </c>
      <c r="J1082" s="12" t="s">
        <v>1244</v>
      </c>
      <c r="K1082" s="12" t="s">
        <v>1244</v>
      </c>
      <c r="L1082" s="11" t="s">
        <v>1194</v>
      </c>
      <c r="M1082" s="11" t="s">
        <v>165</v>
      </c>
      <c r="N1082" s="58">
        <v>51535</v>
      </c>
      <c r="O1082" s="11"/>
      <c r="Q1082" s="12" t="s">
        <v>4</v>
      </c>
      <c r="R1082" s="12" t="s">
        <v>16</v>
      </c>
      <c r="S1082" s="12" t="s">
        <v>26</v>
      </c>
      <c r="T1082" s="12">
        <v>1</v>
      </c>
      <c r="U1082" s="13">
        <v>44362</v>
      </c>
      <c r="V1082" s="12" t="s">
        <v>1256</v>
      </c>
      <c r="X1082" s="12" t="s">
        <v>93</v>
      </c>
    </row>
    <row r="1083" spans="1:26" s="18" customFormat="1" ht="10.5" hidden="1" x14ac:dyDescent="0.25">
      <c r="A1083" s="18" t="s">
        <v>85</v>
      </c>
      <c r="B1083" s="18">
        <v>47941</v>
      </c>
      <c r="C1083" s="16" t="s">
        <v>100</v>
      </c>
      <c r="D1083" s="18" t="s">
        <v>1</v>
      </c>
      <c r="E1083" s="18" t="s">
        <v>1185</v>
      </c>
      <c r="F1083" s="18" t="s">
        <v>132</v>
      </c>
      <c r="G1083" s="18" t="s">
        <v>113</v>
      </c>
      <c r="H1083" s="18" t="s">
        <v>101</v>
      </c>
      <c r="I1083" s="18" t="s">
        <v>89</v>
      </c>
      <c r="J1083" s="11" t="s">
        <v>1282</v>
      </c>
      <c r="K1083" s="19" t="s">
        <v>781</v>
      </c>
      <c r="L1083" s="11" t="s">
        <v>1219</v>
      </c>
      <c r="M1083" s="11" t="s">
        <v>782</v>
      </c>
      <c r="N1083" s="57">
        <v>119597.03</v>
      </c>
      <c r="O1083" s="57"/>
      <c r="P1083" s="34" t="s">
        <v>91</v>
      </c>
      <c r="Q1083" s="18" t="s">
        <v>4</v>
      </c>
      <c r="R1083" s="18" t="s">
        <v>15</v>
      </c>
      <c r="S1083" s="18" t="s">
        <v>53</v>
      </c>
      <c r="T1083" s="12">
        <v>1</v>
      </c>
      <c r="U1083" s="17">
        <v>44334</v>
      </c>
      <c r="V1083" s="18" t="s">
        <v>1257</v>
      </c>
      <c r="X1083" s="34" t="s">
        <v>93</v>
      </c>
    </row>
    <row r="1084" spans="1:26" s="14" customFormat="1" ht="10.5" hidden="1" x14ac:dyDescent="0.25">
      <c r="A1084" s="15" t="s">
        <v>85</v>
      </c>
      <c r="B1084" s="15">
        <v>9604</v>
      </c>
      <c r="C1084" s="14" t="s">
        <v>1128</v>
      </c>
      <c r="D1084" s="15" t="s">
        <v>1</v>
      </c>
      <c r="E1084" s="15" t="s">
        <v>1185</v>
      </c>
      <c r="F1084" s="15" t="s">
        <v>87</v>
      </c>
      <c r="G1084" s="15" t="s">
        <v>113</v>
      </c>
      <c r="H1084" s="15" t="s">
        <v>153</v>
      </c>
      <c r="I1084" s="15" t="s">
        <v>115</v>
      </c>
      <c r="J1084" s="14" t="s">
        <v>1174</v>
      </c>
      <c r="K1084" s="14" t="s">
        <v>1174</v>
      </c>
      <c r="L1084" s="14" t="s">
        <v>1195</v>
      </c>
      <c r="N1084" s="61">
        <v>365.19</v>
      </c>
      <c r="P1084" s="15"/>
      <c r="Q1084" s="15" t="s">
        <v>4</v>
      </c>
      <c r="R1084" s="15" t="s">
        <v>21</v>
      </c>
      <c r="S1084" s="15" t="s">
        <v>25</v>
      </c>
      <c r="T1084" s="15">
        <v>1</v>
      </c>
      <c r="U1084" s="13">
        <v>44363</v>
      </c>
      <c r="V1084" s="15" t="s">
        <v>1258</v>
      </c>
      <c r="W1084" s="15"/>
      <c r="X1084" s="15" t="s">
        <v>93</v>
      </c>
      <c r="Y1084" s="15"/>
    </row>
    <row r="1085" spans="1:26" hidden="1" x14ac:dyDescent="0.3">
      <c r="A1085" s="12" t="s">
        <v>85</v>
      </c>
      <c r="B1085" s="12">
        <v>9606</v>
      </c>
      <c r="C1085" s="11" t="s">
        <v>1128</v>
      </c>
      <c r="D1085" s="12" t="s">
        <v>1</v>
      </c>
      <c r="E1085" s="12" t="s">
        <v>1185</v>
      </c>
      <c r="F1085" s="34" t="s">
        <v>87</v>
      </c>
      <c r="G1085" s="12" t="s">
        <v>113</v>
      </c>
      <c r="H1085" s="15" t="s">
        <v>153</v>
      </c>
      <c r="I1085" s="15" t="s">
        <v>115</v>
      </c>
      <c r="J1085" s="14" t="s">
        <v>1175</v>
      </c>
      <c r="K1085" s="14" t="s">
        <v>1175</v>
      </c>
      <c r="L1085" s="14" t="s">
        <v>1195</v>
      </c>
      <c r="M1085" s="14"/>
      <c r="N1085" s="61">
        <v>365.19</v>
      </c>
      <c r="O1085" s="61"/>
      <c r="P1085" s="15"/>
      <c r="Q1085" s="12" t="s">
        <v>4</v>
      </c>
      <c r="R1085" s="12" t="s">
        <v>21</v>
      </c>
      <c r="S1085" s="12" t="s">
        <v>25</v>
      </c>
      <c r="T1085" s="12">
        <v>1</v>
      </c>
      <c r="U1085" s="17">
        <v>44363</v>
      </c>
      <c r="V1085" s="12" t="s">
        <v>1258</v>
      </c>
      <c r="W1085" s="12"/>
      <c r="X1085" s="15" t="s">
        <v>93</v>
      </c>
      <c r="Y1085" s="13"/>
      <c r="Z1085" s="75"/>
    </row>
    <row r="1086" spans="1:26" s="12" customFormat="1" ht="10.5" hidden="1" x14ac:dyDescent="0.25">
      <c r="A1086" s="12" t="s">
        <v>85</v>
      </c>
      <c r="B1086" s="12">
        <v>9607</v>
      </c>
      <c r="C1086" s="11" t="s">
        <v>1128</v>
      </c>
      <c r="D1086" s="12" t="s">
        <v>1</v>
      </c>
      <c r="E1086" s="12" t="s">
        <v>1185</v>
      </c>
      <c r="F1086" s="12" t="s">
        <v>87</v>
      </c>
      <c r="G1086" s="12" t="s">
        <v>113</v>
      </c>
      <c r="H1086" s="12" t="s">
        <v>153</v>
      </c>
      <c r="I1086" s="12" t="s">
        <v>115</v>
      </c>
      <c r="J1086" s="11" t="s">
        <v>1176</v>
      </c>
      <c r="K1086" s="11" t="s">
        <v>1176</v>
      </c>
      <c r="L1086" s="11" t="s">
        <v>1195</v>
      </c>
      <c r="N1086" s="59">
        <v>365.19</v>
      </c>
      <c r="Q1086" s="12" t="s">
        <v>4</v>
      </c>
      <c r="R1086" s="12" t="s">
        <v>21</v>
      </c>
      <c r="S1086" s="12" t="s">
        <v>25</v>
      </c>
      <c r="T1086" s="12">
        <v>1</v>
      </c>
      <c r="U1086" s="13">
        <v>44363</v>
      </c>
      <c r="V1086" s="12" t="s">
        <v>1258</v>
      </c>
      <c r="X1086" s="12" t="s">
        <v>93</v>
      </c>
    </row>
    <row r="1087" spans="1:26" s="12" customFormat="1" ht="10.5" hidden="1" x14ac:dyDescent="0.25">
      <c r="A1087" s="12" t="s">
        <v>85</v>
      </c>
      <c r="B1087" s="12">
        <v>9608</v>
      </c>
      <c r="C1087" s="11" t="s">
        <v>1128</v>
      </c>
      <c r="D1087" s="12" t="s">
        <v>1</v>
      </c>
      <c r="E1087" s="12" t="s">
        <v>1185</v>
      </c>
      <c r="F1087" s="12" t="s">
        <v>1130</v>
      </c>
      <c r="G1087" s="12" t="s">
        <v>113</v>
      </c>
      <c r="H1087" s="12" t="s">
        <v>153</v>
      </c>
      <c r="I1087" s="12" t="s">
        <v>115</v>
      </c>
      <c r="J1087" s="11" t="s">
        <v>1177</v>
      </c>
      <c r="K1087" s="11" t="s">
        <v>1177</v>
      </c>
      <c r="L1087" s="11" t="s">
        <v>1195</v>
      </c>
      <c r="N1087" s="59">
        <v>432.41</v>
      </c>
      <c r="Q1087" s="12" t="s">
        <v>4</v>
      </c>
      <c r="R1087" s="12" t="s">
        <v>21</v>
      </c>
      <c r="S1087" s="12" t="s">
        <v>25</v>
      </c>
      <c r="T1087" s="12">
        <v>1</v>
      </c>
      <c r="U1087" s="13">
        <v>44363</v>
      </c>
      <c r="V1087" s="12" t="s">
        <v>1258</v>
      </c>
      <c r="X1087" s="12" t="s">
        <v>93</v>
      </c>
    </row>
    <row r="1088" spans="1:26" hidden="1" x14ac:dyDescent="0.3">
      <c r="A1088" s="12" t="s">
        <v>85</v>
      </c>
      <c r="B1088" s="18">
        <v>2197</v>
      </c>
      <c r="C1088" s="19" t="s">
        <v>152</v>
      </c>
      <c r="D1088" s="18" t="s">
        <v>1</v>
      </c>
      <c r="E1088" s="12" t="s">
        <v>1185</v>
      </c>
      <c r="F1088" s="12" t="s">
        <v>113</v>
      </c>
      <c r="G1088" s="18" t="s">
        <v>87</v>
      </c>
      <c r="H1088" s="34" t="s">
        <v>153</v>
      </c>
      <c r="I1088" s="34" t="s">
        <v>115</v>
      </c>
      <c r="J1088" s="19" t="s">
        <v>154</v>
      </c>
      <c r="K1088" s="19" t="s">
        <v>154</v>
      </c>
      <c r="L1088" s="11" t="s">
        <v>1195</v>
      </c>
      <c r="M1088" s="19" t="s">
        <v>155</v>
      </c>
      <c r="N1088" s="58">
        <v>880</v>
      </c>
      <c r="O1088" s="59"/>
      <c r="P1088" s="34"/>
      <c r="Q1088" s="12" t="s">
        <v>4</v>
      </c>
      <c r="R1088" s="12" t="s">
        <v>21</v>
      </c>
      <c r="S1088" s="12" t="s">
        <v>25</v>
      </c>
      <c r="T1088" s="12">
        <v>1</v>
      </c>
      <c r="U1088" s="17">
        <v>44363</v>
      </c>
      <c r="V1088" s="18" t="s">
        <v>1258</v>
      </c>
      <c r="W1088" s="18"/>
      <c r="X1088" s="15" t="s">
        <v>93</v>
      </c>
      <c r="Y1088" s="17"/>
      <c r="Z1088" s="75"/>
    </row>
    <row r="1089" spans="1:35" hidden="1" x14ac:dyDescent="0.3">
      <c r="A1089" s="12" t="s">
        <v>85</v>
      </c>
      <c r="B1089" s="74">
        <v>40125</v>
      </c>
      <c r="C1089" s="19" t="s">
        <v>674</v>
      </c>
      <c r="D1089" s="12" t="s">
        <v>1</v>
      </c>
      <c r="E1089" s="12" t="s">
        <v>1185</v>
      </c>
      <c r="F1089" s="34" t="s">
        <v>113</v>
      </c>
      <c r="G1089" s="18" t="s">
        <v>87</v>
      </c>
      <c r="H1089" s="15" t="s">
        <v>675</v>
      </c>
      <c r="I1089" s="15" t="s">
        <v>115</v>
      </c>
      <c r="J1089" s="14" t="s">
        <v>679</v>
      </c>
      <c r="K1089" s="14" t="s">
        <v>679</v>
      </c>
      <c r="L1089" s="11" t="s">
        <v>1195</v>
      </c>
      <c r="M1089" s="14" t="s">
        <v>680</v>
      </c>
      <c r="N1089" s="61">
        <v>36802.870000000003</v>
      </c>
      <c r="O1089" s="61"/>
      <c r="P1089" s="93" t="s">
        <v>91</v>
      </c>
      <c r="Q1089" s="15" t="s">
        <v>4</v>
      </c>
      <c r="R1089" s="12" t="s">
        <v>16</v>
      </c>
      <c r="S1089" s="12" t="s">
        <v>30</v>
      </c>
      <c r="T1089" s="12">
        <v>1</v>
      </c>
      <c r="U1089" s="13">
        <v>44363</v>
      </c>
      <c r="V1089" s="15" t="s">
        <v>1259</v>
      </c>
      <c r="W1089" s="12"/>
      <c r="X1089" s="15" t="s">
        <v>93</v>
      </c>
      <c r="Y1089" s="13"/>
      <c r="Z1089" s="75"/>
    </row>
    <row r="1090" spans="1:35" hidden="1" x14ac:dyDescent="0.3">
      <c r="A1090" s="12" t="s">
        <v>85</v>
      </c>
      <c r="B1090" s="18" t="s">
        <v>56</v>
      </c>
      <c r="C1090" s="16" t="s">
        <v>820</v>
      </c>
      <c r="D1090" s="18" t="s">
        <v>1</v>
      </c>
      <c r="E1090" s="12" t="s">
        <v>1185</v>
      </c>
      <c r="F1090" s="18" t="s">
        <v>113</v>
      </c>
      <c r="G1090" s="12" t="s">
        <v>87</v>
      </c>
      <c r="H1090" s="18" t="s">
        <v>153</v>
      </c>
      <c r="I1090" s="18" t="s">
        <v>115</v>
      </c>
      <c r="J1090" s="16" t="s">
        <v>821</v>
      </c>
      <c r="K1090" s="16" t="s">
        <v>821</v>
      </c>
      <c r="L1090" s="11" t="s">
        <v>1194</v>
      </c>
      <c r="M1090" s="16" t="s">
        <v>822</v>
      </c>
      <c r="N1090" s="57">
        <v>172005.53</v>
      </c>
      <c r="O1090" s="59"/>
      <c r="P1090" s="18" t="s">
        <v>1082</v>
      </c>
      <c r="Q1090" s="18" t="s">
        <v>4</v>
      </c>
      <c r="R1090" s="18" t="s">
        <v>15</v>
      </c>
      <c r="S1090" s="18" t="s">
        <v>29</v>
      </c>
      <c r="T1090" s="12">
        <v>1</v>
      </c>
      <c r="U1090" s="17">
        <v>44354</v>
      </c>
      <c r="V1090" s="18" t="s">
        <v>1260</v>
      </c>
      <c r="W1090" s="18"/>
      <c r="X1090" s="12" t="s">
        <v>93</v>
      </c>
      <c r="Y1090" s="17"/>
      <c r="Z1090" s="75"/>
    </row>
    <row r="1091" spans="1:35" s="18" customFormat="1" ht="10.5" hidden="1" x14ac:dyDescent="0.25">
      <c r="A1091" s="18" t="s">
        <v>85</v>
      </c>
      <c r="B1091" s="18">
        <v>42520</v>
      </c>
      <c r="C1091" s="16" t="s">
        <v>711</v>
      </c>
      <c r="D1091" s="18" t="s">
        <v>1</v>
      </c>
      <c r="E1091" s="18" t="s">
        <v>1185</v>
      </c>
      <c r="F1091" s="18" t="s">
        <v>87</v>
      </c>
      <c r="G1091" s="18" t="s">
        <v>113</v>
      </c>
      <c r="H1091" s="18" t="s">
        <v>712</v>
      </c>
      <c r="I1091" s="18" t="s">
        <v>713</v>
      </c>
      <c r="J1091" s="16" t="s">
        <v>714</v>
      </c>
      <c r="K1091" s="16" t="s">
        <v>714</v>
      </c>
      <c r="L1091" s="16" t="s">
        <v>1197</v>
      </c>
      <c r="M1091" s="16" t="s">
        <v>715</v>
      </c>
      <c r="N1091" s="63">
        <v>0</v>
      </c>
      <c r="O1091" s="63">
        <v>976.13</v>
      </c>
      <c r="P1091" s="18" t="s">
        <v>716</v>
      </c>
      <c r="Q1091" s="18" t="s">
        <v>12</v>
      </c>
      <c r="R1091" s="18" t="s">
        <v>13</v>
      </c>
      <c r="S1091" s="18" t="s">
        <v>25</v>
      </c>
      <c r="T1091" s="18">
        <v>1</v>
      </c>
      <c r="U1091" s="13">
        <v>44363</v>
      </c>
      <c r="V1091" s="18" t="s">
        <v>1284</v>
      </c>
      <c r="X1091" s="18" t="s">
        <v>93</v>
      </c>
      <c r="Y1091" s="17">
        <v>44372</v>
      </c>
    </row>
    <row r="1092" spans="1:35" hidden="1" x14ac:dyDescent="0.3">
      <c r="A1092" s="12" t="s">
        <v>85</v>
      </c>
      <c r="B1092" s="18">
        <v>56646</v>
      </c>
      <c r="C1092" s="16" t="s">
        <v>152</v>
      </c>
      <c r="D1092" s="12" t="s">
        <v>1</v>
      </c>
      <c r="E1092" s="12" t="s">
        <v>1185</v>
      </c>
      <c r="F1092" s="12" t="s">
        <v>113</v>
      </c>
      <c r="G1092" s="12" t="s">
        <v>87</v>
      </c>
      <c r="H1092" s="12" t="s">
        <v>153</v>
      </c>
      <c r="I1092" s="12" t="s">
        <v>115</v>
      </c>
      <c r="J1092" s="11" t="s">
        <v>872</v>
      </c>
      <c r="K1092" s="11" t="s">
        <v>872</v>
      </c>
      <c r="L1092" s="11" t="s">
        <v>1195</v>
      </c>
      <c r="M1092" s="11" t="s">
        <v>824</v>
      </c>
      <c r="N1092" s="59">
        <v>365.19</v>
      </c>
      <c r="O1092" s="59"/>
      <c r="P1092" s="12"/>
      <c r="Q1092" s="12" t="s">
        <v>4</v>
      </c>
      <c r="R1092" s="12" t="s">
        <v>21</v>
      </c>
      <c r="S1092" s="12" t="s">
        <v>25</v>
      </c>
      <c r="T1092" s="12">
        <v>1</v>
      </c>
      <c r="U1092" s="13">
        <v>44291</v>
      </c>
      <c r="V1092" s="12" t="s">
        <v>1285</v>
      </c>
      <c r="W1092" s="12" t="s">
        <v>92</v>
      </c>
      <c r="X1092" s="12" t="s">
        <v>93</v>
      </c>
      <c r="Y1092" s="17"/>
      <c r="Z1092" s="75"/>
      <c r="AA1092" s="24"/>
      <c r="AC1092" s="24"/>
      <c r="AD1092" s="24"/>
      <c r="AE1092" s="24"/>
      <c r="AF1092" s="24"/>
      <c r="AG1092" s="24"/>
      <c r="AH1092" s="24"/>
      <c r="AI1092" s="24"/>
    </row>
    <row r="1093" spans="1:35" hidden="1" x14ac:dyDescent="0.3">
      <c r="A1093" s="12" t="s">
        <v>85</v>
      </c>
      <c r="B1093" s="18">
        <v>56647</v>
      </c>
      <c r="C1093" s="16" t="s">
        <v>152</v>
      </c>
      <c r="D1093" s="18" t="s">
        <v>1</v>
      </c>
      <c r="E1093" s="12" t="s">
        <v>1185</v>
      </c>
      <c r="F1093" s="18" t="s">
        <v>113</v>
      </c>
      <c r="G1093" s="12" t="s">
        <v>87</v>
      </c>
      <c r="H1093" s="18" t="s">
        <v>153</v>
      </c>
      <c r="I1093" s="18" t="s">
        <v>115</v>
      </c>
      <c r="J1093" s="11" t="s">
        <v>872</v>
      </c>
      <c r="K1093" s="16" t="s">
        <v>872</v>
      </c>
      <c r="L1093" s="11" t="s">
        <v>1195</v>
      </c>
      <c r="M1093" s="16" t="s">
        <v>824</v>
      </c>
      <c r="N1093" s="63">
        <v>365.19</v>
      </c>
      <c r="O1093" s="63"/>
      <c r="P1093" s="18"/>
      <c r="Q1093" s="18" t="s">
        <v>4</v>
      </c>
      <c r="R1093" s="18" t="s">
        <v>21</v>
      </c>
      <c r="S1093" s="18" t="s">
        <v>25</v>
      </c>
      <c r="T1093" s="12">
        <v>1</v>
      </c>
      <c r="U1093" s="13">
        <v>44291</v>
      </c>
      <c r="V1093" s="12" t="s">
        <v>1285</v>
      </c>
      <c r="W1093" s="12" t="s">
        <v>92</v>
      </c>
      <c r="X1093" s="12" t="s">
        <v>93</v>
      </c>
      <c r="Y1093" s="17"/>
      <c r="Z1093" s="75"/>
      <c r="AA1093" s="24"/>
      <c r="AC1093" s="24"/>
      <c r="AD1093" s="24"/>
      <c r="AE1093" s="24"/>
      <c r="AF1093" s="24"/>
      <c r="AG1093" s="24"/>
      <c r="AH1093" s="24"/>
      <c r="AI1093" s="24"/>
    </row>
    <row r="1094" spans="1:35" hidden="1" x14ac:dyDescent="0.3">
      <c r="A1094" s="12" t="s">
        <v>85</v>
      </c>
      <c r="B1094" s="18">
        <v>56648</v>
      </c>
      <c r="C1094" s="16" t="s">
        <v>152</v>
      </c>
      <c r="D1094" s="18" t="s">
        <v>1</v>
      </c>
      <c r="E1094" s="12" t="s">
        <v>1185</v>
      </c>
      <c r="F1094" s="18" t="s">
        <v>113</v>
      </c>
      <c r="G1094" s="12" t="s">
        <v>113</v>
      </c>
      <c r="H1094" s="18" t="s">
        <v>153</v>
      </c>
      <c r="I1094" s="18" t="s">
        <v>115</v>
      </c>
      <c r="J1094" s="11" t="s">
        <v>872</v>
      </c>
      <c r="K1094" s="16" t="s">
        <v>872</v>
      </c>
      <c r="L1094" s="16" t="s">
        <v>1195</v>
      </c>
      <c r="M1094" s="16" t="s">
        <v>824</v>
      </c>
      <c r="N1094" s="63">
        <v>0</v>
      </c>
      <c r="O1094" s="63">
        <v>365.19</v>
      </c>
      <c r="P1094" s="18"/>
      <c r="Q1094" s="18" t="s">
        <v>4</v>
      </c>
      <c r="R1094" s="18" t="s">
        <v>21</v>
      </c>
      <c r="S1094" s="18" t="s">
        <v>25</v>
      </c>
      <c r="T1094" s="12">
        <v>1</v>
      </c>
      <c r="U1094" s="13">
        <v>44291</v>
      </c>
      <c r="V1094" s="18" t="s">
        <v>1285</v>
      </c>
      <c r="W1094" s="12" t="s">
        <v>92</v>
      </c>
      <c r="X1094" s="12" t="s">
        <v>93</v>
      </c>
      <c r="Y1094" s="17"/>
      <c r="Z1094" s="75"/>
      <c r="AA1094" s="24"/>
      <c r="AC1094" s="24"/>
      <c r="AD1094" s="24"/>
      <c r="AE1094" s="24"/>
      <c r="AF1094" s="24"/>
      <c r="AG1094" s="24"/>
      <c r="AH1094" s="24"/>
      <c r="AI1094" s="24"/>
    </row>
    <row r="1095" spans="1:35" hidden="1" x14ac:dyDescent="0.3">
      <c r="A1095" s="12" t="s">
        <v>85</v>
      </c>
      <c r="B1095" s="18">
        <v>56649</v>
      </c>
      <c r="C1095" s="16" t="s">
        <v>152</v>
      </c>
      <c r="D1095" s="18" t="s">
        <v>1</v>
      </c>
      <c r="E1095" s="12" t="s">
        <v>1185</v>
      </c>
      <c r="F1095" s="18" t="s">
        <v>113</v>
      </c>
      <c r="G1095" s="12" t="s">
        <v>113</v>
      </c>
      <c r="H1095" s="18" t="s">
        <v>153</v>
      </c>
      <c r="I1095" s="18" t="s">
        <v>115</v>
      </c>
      <c r="J1095" s="11" t="s">
        <v>872</v>
      </c>
      <c r="K1095" s="16" t="s">
        <v>872</v>
      </c>
      <c r="L1095" s="16" t="s">
        <v>1195</v>
      </c>
      <c r="M1095" s="16" t="s">
        <v>824</v>
      </c>
      <c r="N1095" s="64">
        <v>432.41</v>
      </c>
      <c r="O1095" s="64"/>
      <c r="P1095" s="18"/>
      <c r="Q1095" s="18" t="s">
        <v>4</v>
      </c>
      <c r="R1095" s="18" t="s">
        <v>21</v>
      </c>
      <c r="S1095" s="12" t="s">
        <v>25</v>
      </c>
      <c r="T1095" s="12">
        <v>1</v>
      </c>
      <c r="U1095" s="13">
        <v>44291</v>
      </c>
      <c r="V1095" s="18" t="s">
        <v>1285</v>
      </c>
      <c r="W1095" s="12" t="s">
        <v>92</v>
      </c>
      <c r="X1095" s="12" t="s">
        <v>93</v>
      </c>
      <c r="Y1095" s="17"/>
      <c r="Z1095" s="75"/>
      <c r="AA1095" s="24"/>
      <c r="AC1095" s="24"/>
      <c r="AD1095" s="24"/>
      <c r="AE1095" s="24"/>
      <c r="AF1095" s="24"/>
      <c r="AG1095" s="24"/>
      <c r="AH1095" s="24"/>
      <c r="AI1095" s="24"/>
    </row>
    <row r="1096" spans="1:35" hidden="1" x14ac:dyDescent="0.3">
      <c r="A1096" s="12" t="s">
        <v>85</v>
      </c>
      <c r="B1096" s="18">
        <v>56667</v>
      </c>
      <c r="C1096" s="16" t="s">
        <v>152</v>
      </c>
      <c r="D1096" s="18" t="s">
        <v>1</v>
      </c>
      <c r="E1096" s="12" t="s">
        <v>1185</v>
      </c>
      <c r="F1096" s="18" t="s">
        <v>113</v>
      </c>
      <c r="G1096" s="12" t="s">
        <v>113</v>
      </c>
      <c r="H1096" s="18" t="s">
        <v>153</v>
      </c>
      <c r="I1096" s="18" t="s">
        <v>115</v>
      </c>
      <c r="J1096" s="16" t="s">
        <v>872</v>
      </c>
      <c r="K1096" s="16" t="s">
        <v>872</v>
      </c>
      <c r="L1096" s="16" t="s">
        <v>1195</v>
      </c>
      <c r="M1096" s="16" t="s">
        <v>824</v>
      </c>
      <c r="N1096" s="63">
        <v>0</v>
      </c>
      <c r="O1096" s="63">
        <v>365.19</v>
      </c>
      <c r="P1096" s="18"/>
      <c r="Q1096" s="18" t="s">
        <v>4</v>
      </c>
      <c r="R1096" s="18" t="s">
        <v>21</v>
      </c>
      <c r="S1096" s="18" t="s">
        <v>25</v>
      </c>
      <c r="T1096" s="12">
        <v>1</v>
      </c>
      <c r="U1096" s="13">
        <v>44291</v>
      </c>
      <c r="V1096" s="18" t="s">
        <v>1285</v>
      </c>
      <c r="W1096" s="12" t="s">
        <v>92</v>
      </c>
      <c r="X1096" s="12" t="s">
        <v>93</v>
      </c>
      <c r="Y1096" s="17"/>
      <c r="Z1096" s="75"/>
      <c r="AA1096" s="24"/>
      <c r="AC1096" s="24"/>
      <c r="AD1096" s="24"/>
      <c r="AE1096" s="24"/>
      <c r="AF1096" s="24"/>
      <c r="AG1096" s="24"/>
      <c r="AH1096" s="24"/>
      <c r="AI1096" s="24"/>
    </row>
    <row r="1097" spans="1:35" hidden="1" x14ac:dyDescent="0.3">
      <c r="A1097" s="12" t="s">
        <v>85</v>
      </c>
      <c r="B1097" s="18">
        <v>56650</v>
      </c>
      <c r="C1097" s="16" t="s">
        <v>152</v>
      </c>
      <c r="D1097" s="18" t="s">
        <v>1</v>
      </c>
      <c r="E1097" s="12" t="s">
        <v>1185</v>
      </c>
      <c r="F1097" s="18" t="s">
        <v>113</v>
      </c>
      <c r="G1097" s="12" t="s">
        <v>113</v>
      </c>
      <c r="H1097" s="18" t="s">
        <v>153</v>
      </c>
      <c r="I1097" s="18" t="s">
        <v>115</v>
      </c>
      <c r="J1097" s="16" t="s">
        <v>870</v>
      </c>
      <c r="K1097" s="16" t="s">
        <v>870</v>
      </c>
      <c r="L1097" s="11" t="s">
        <v>1195</v>
      </c>
      <c r="M1097" s="16" t="s">
        <v>874</v>
      </c>
      <c r="N1097" s="63">
        <v>465.65</v>
      </c>
      <c r="O1097" s="63"/>
      <c r="P1097" s="18"/>
      <c r="Q1097" s="18" t="s">
        <v>4</v>
      </c>
      <c r="R1097" s="18" t="s">
        <v>21</v>
      </c>
      <c r="S1097" s="18" t="s">
        <v>25</v>
      </c>
      <c r="T1097" s="12">
        <v>1</v>
      </c>
      <c r="U1097" s="13">
        <v>44291</v>
      </c>
      <c r="V1097" s="18" t="s">
        <v>1286</v>
      </c>
      <c r="W1097" s="12" t="s">
        <v>92</v>
      </c>
      <c r="X1097" s="12" t="s">
        <v>93</v>
      </c>
      <c r="Y1097" s="17"/>
      <c r="Z1097" s="75"/>
      <c r="AA1097" s="24"/>
      <c r="AC1097" s="24"/>
      <c r="AD1097" s="24"/>
      <c r="AE1097" s="24"/>
      <c r="AF1097" s="24"/>
      <c r="AG1097" s="24"/>
      <c r="AH1097" s="24"/>
      <c r="AI1097" s="24"/>
    </row>
    <row r="1098" spans="1:35" hidden="1" x14ac:dyDescent="0.3">
      <c r="A1098" s="12" t="s">
        <v>85</v>
      </c>
      <c r="B1098" s="18">
        <v>63654</v>
      </c>
      <c r="C1098" s="16" t="s">
        <v>100</v>
      </c>
      <c r="D1098" s="18" t="s">
        <v>1</v>
      </c>
      <c r="E1098" s="12" t="s">
        <v>1185</v>
      </c>
      <c r="F1098" s="18" t="s">
        <v>87</v>
      </c>
      <c r="G1098" s="12" t="s">
        <v>113</v>
      </c>
      <c r="H1098" s="18" t="s">
        <v>101</v>
      </c>
      <c r="I1098" s="18" t="s">
        <v>89</v>
      </c>
      <c r="J1098" s="11" t="s">
        <v>102</v>
      </c>
      <c r="K1098" s="16" t="s">
        <v>102</v>
      </c>
      <c r="L1098" s="11" t="s">
        <v>1219</v>
      </c>
      <c r="M1098" s="16" t="s">
        <v>103</v>
      </c>
      <c r="N1098" s="65">
        <v>2916708</v>
      </c>
      <c r="O1098" s="63"/>
      <c r="P1098" s="18" t="s">
        <v>91</v>
      </c>
      <c r="Q1098" s="18" t="s">
        <v>4</v>
      </c>
      <c r="R1098" s="18" t="s">
        <v>15</v>
      </c>
      <c r="S1098" s="18" t="s">
        <v>1287</v>
      </c>
      <c r="T1098" s="12">
        <v>1</v>
      </c>
      <c r="U1098" s="13">
        <v>44248</v>
      </c>
      <c r="V1098" s="18" t="s">
        <v>1288</v>
      </c>
      <c r="W1098" s="12" t="s">
        <v>92</v>
      </c>
      <c r="X1098" s="18" t="s">
        <v>105</v>
      </c>
      <c r="Y1098" s="17"/>
      <c r="Z1098" s="75"/>
      <c r="AA1098" s="24"/>
      <c r="AC1098" s="24"/>
      <c r="AD1098" s="24"/>
      <c r="AE1098" s="24"/>
      <c r="AF1098" s="24"/>
      <c r="AG1098" s="24"/>
      <c r="AH1098" s="24"/>
      <c r="AI1098" s="24"/>
    </row>
    <row r="1099" spans="1:35" hidden="1" x14ac:dyDescent="0.3">
      <c r="A1099" s="18" t="s">
        <v>85</v>
      </c>
      <c r="B1099" s="18">
        <v>4603</v>
      </c>
      <c r="C1099" s="19" t="s">
        <v>221</v>
      </c>
      <c r="D1099" s="18" t="s">
        <v>1</v>
      </c>
      <c r="E1099" s="18" t="s">
        <v>1185</v>
      </c>
      <c r="F1099" s="34" t="s">
        <v>87</v>
      </c>
      <c r="G1099" s="18" t="s">
        <v>113</v>
      </c>
      <c r="H1099" s="34" t="s">
        <v>222</v>
      </c>
      <c r="I1099" s="34" t="s">
        <v>223</v>
      </c>
      <c r="J1099" s="19" t="s">
        <v>224</v>
      </c>
      <c r="K1099" s="19" t="s">
        <v>224</v>
      </c>
      <c r="L1099" s="19" t="s">
        <v>1197</v>
      </c>
      <c r="M1099" s="19" t="s">
        <v>225</v>
      </c>
      <c r="N1099" s="59">
        <v>0</v>
      </c>
      <c r="O1099" s="59"/>
      <c r="P1099" s="34" t="s">
        <v>226</v>
      </c>
      <c r="Q1099" s="18" t="s">
        <v>4</v>
      </c>
      <c r="R1099" s="18" t="s">
        <v>13</v>
      </c>
      <c r="S1099" s="18" t="s">
        <v>25</v>
      </c>
      <c r="T1099" s="12">
        <v>0</v>
      </c>
      <c r="U1099" s="17">
        <v>44369</v>
      </c>
      <c r="V1099" s="18" t="s">
        <v>1290</v>
      </c>
      <c r="W1099" s="18" t="s">
        <v>92</v>
      </c>
      <c r="X1099" s="34" t="s">
        <v>93</v>
      </c>
      <c r="Y1099" s="17"/>
      <c r="Z1099" s="78" t="s">
        <v>228</v>
      </c>
    </row>
    <row r="1100" spans="1:35" x14ac:dyDescent="0.3">
      <c r="B1100" s="55"/>
    </row>
    <row r="1101" spans="1:35" x14ac:dyDescent="0.3">
      <c r="B1101" s="55"/>
    </row>
    <row r="1102" spans="1:35" x14ac:dyDescent="0.3">
      <c r="B1102" s="55"/>
    </row>
    <row r="1103" spans="1:35" x14ac:dyDescent="0.3">
      <c r="B1103" s="55"/>
    </row>
    <row r="1104" spans="1:35" x14ac:dyDescent="0.3">
      <c r="B1104" s="55"/>
    </row>
    <row r="1105" spans="2:2" x14ac:dyDescent="0.3">
      <c r="B1105" s="55"/>
    </row>
    <row r="1106" spans="2:2" x14ac:dyDescent="0.3">
      <c r="B1106" s="55"/>
    </row>
    <row r="1107" spans="2:2" x14ac:dyDescent="0.3">
      <c r="B1107" s="55"/>
    </row>
    <row r="1108" spans="2:2" x14ac:dyDescent="0.3">
      <c r="B1108" s="55"/>
    </row>
    <row r="1109" spans="2:2" x14ac:dyDescent="0.3">
      <c r="B1109" s="55"/>
    </row>
    <row r="1110" spans="2:2" x14ac:dyDescent="0.3">
      <c r="B1110" s="55"/>
    </row>
    <row r="1111" spans="2:2" x14ac:dyDescent="0.3">
      <c r="B1111" s="55"/>
    </row>
    <row r="1112" spans="2:2" x14ac:dyDescent="0.3">
      <c r="B1112" s="55"/>
    </row>
    <row r="1113" spans="2:2" x14ac:dyDescent="0.3">
      <c r="B1113" s="55"/>
    </row>
    <row r="1114" spans="2:2" x14ac:dyDescent="0.3">
      <c r="B1114" s="55"/>
    </row>
    <row r="1115" spans="2:2" x14ac:dyDescent="0.3">
      <c r="B1115" s="55"/>
    </row>
    <row r="1116" spans="2:2" x14ac:dyDescent="0.3">
      <c r="B1116" s="55"/>
    </row>
    <row r="1117" spans="2:2" x14ac:dyDescent="0.3">
      <c r="B1117" s="55"/>
    </row>
    <row r="1118" spans="2:2" x14ac:dyDescent="0.3">
      <c r="B1118" s="55"/>
    </row>
    <row r="1119" spans="2:2" x14ac:dyDescent="0.3">
      <c r="B1119" s="55"/>
    </row>
    <row r="1120" spans="2:2" x14ac:dyDescent="0.3">
      <c r="B1120" s="55"/>
    </row>
    <row r="1121" spans="2:2" x14ac:dyDescent="0.3">
      <c r="B1121" s="55"/>
    </row>
    <row r="1122" spans="2:2" x14ac:dyDescent="0.3">
      <c r="B1122" s="55"/>
    </row>
    <row r="1123" spans="2:2" x14ac:dyDescent="0.3">
      <c r="B1123" s="55"/>
    </row>
    <row r="1124" spans="2:2" x14ac:dyDescent="0.3">
      <c r="B1124" s="55"/>
    </row>
    <row r="1125" spans="2:2" x14ac:dyDescent="0.3">
      <c r="B1125" s="55"/>
    </row>
    <row r="1126" spans="2:2" x14ac:dyDescent="0.3">
      <c r="B1126" s="55"/>
    </row>
    <row r="1127" spans="2:2" x14ac:dyDescent="0.3">
      <c r="B1127" s="55"/>
    </row>
    <row r="1128" spans="2:2" x14ac:dyDescent="0.3">
      <c r="B1128" s="55"/>
    </row>
    <row r="1129" spans="2:2" x14ac:dyDescent="0.3">
      <c r="B1129" s="55"/>
    </row>
    <row r="1130" spans="2:2" x14ac:dyDescent="0.3">
      <c r="B1130" s="55"/>
    </row>
    <row r="1131" spans="2:2" x14ac:dyDescent="0.3">
      <c r="B1131" s="55"/>
    </row>
    <row r="1132" spans="2:2" x14ac:dyDescent="0.3">
      <c r="B1132" s="55"/>
    </row>
    <row r="1133" spans="2:2" x14ac:dyDescent="0.3">
      <c r="B1133" s="55"/>
    </row>
    <row r="1134" spans="2:2" x14ac:dyDescent="0.3">
      <c r="B1134" s="55"/>
    </row>
    <row r="1135" spans="2:2" x14ac:dyDescent="0.3">
      <c r="B1135" s="55"/>
    </row>
    <row r="1136" spans="2:2" x14ac:dyDescent="0.3">
      <c r="B1136" s="55"/>
    </row>
    <row r="1137" spans="2:2" x14ac:dyDescent="0.3">
      <c r="B1137" s="55"/>
    </row>
    <row r="1138" spans="2:2" x14ac:dyDescent="0.3">
      <c r="B1138" s="55"/>
    </row>
    <row r="1139" spans="2:2" x14ac:dyDescent="0.3">
      <c r="B1139" s="55"/>
    </row>
    <row r="1140" spans="2:2" x14ac:dyDescent="0.3">
      <c r="B1140" s="55"/>
    </row>
    <row r="1141" spans="2:2" x14ac:dyDescent="0.3">
      <c r="B1141" s="55"/>
    </row>
  </sheetData>
  <phoneticPr fontId="15" type="noConversion"/>
  <pageMargins left="0.511811024" right="0.511811024" top="0.78740157499999996" bottom="0.78740157499999996" header="0.31496062000000002" footer="0.31496062000000002"/>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040C-D607-400C-AB56-CDE6398F915D}">
  <dimension ref="B2:C3"/>
  <sheetViews>
    <sheetView workbookViewId="0">
      <selection activeCell="B3" sqref="B3"/>
    </sheetView>
  </sheetViews>
  <sheetFormatPr defaultRowHeight="11.5" x14ac:dyDescent="0.25"/>
  <cols>
    <col min="2" max="3" width="9" style="1"/>
  </cols>
  <sheetData>
    <row r="2" spans="2:3" x14ac:dyDescent="0.25">
      <c r="B2" s="3" t="s">
        <v>1165</v>
      </c>
      <c r="C2" s="3" t="s">
        <v>70</v>
      </c>
    </row>
    <row r="3" spans="2:3" x14ac:dyDescent="0.25">
      <c r="B3" s="1">
        <v>72934</v>
      </c>
      <c r="C3" s="1">
        <v>167236</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8F953BC913DB64F98B62478552C1D6F" ma:contentTypeVersion="12" ma:contentTypeDescription="Create a new document." ma:contentTypeScope="" ma:versionID="217422a96880a7fb3203c6b6134f6e92">
  <xsd:schema xmlns:xsd="http://www.w3.org/2001/XMLSchema" xmlns:xs="http://www.w3.org/2001/XMLSchema" xmlns:p="http://schemas.microsoft.com/office/2006/metadata/properties" xmlns:ns2="28131d3f-0214-48e7-8375-7f18a305c997" xmlns:ns3="fd3d868d-0926-41aa-9550-d321c2731fde" targetNamespace="http://schemas.microsoft.com/office/2006/metadata/properties" ma:root="true" ma:fieldsID="1bbebdbb6b299d69b5c45d54abacfe60" ns2:_="" ns3:_="">
    <xsd:import namespace="28131d3f-0214-48e7-8375-7f18a305c997"/>
    <xsd:import namespace="fd3d868d-0926-41aa-9550-d321c2731fd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131d3f-0214-48e7-8375-7f18a305c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d3d868d-0926-41aa-9550-d321c2731fde"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4D7232-8D91-4111-B629-8F8EAE3815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131d3f-0214-48e7-8375-7f18a305c997"/>
    <ds:schemaRef ds:uri="fd3d868d-0926-41aa-9550-d321c2731fd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5C4426A-F9CB-4535-8850-4477443EDA2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C37969E-8075-4048-80E6-05E2BB6541A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TD - VALIDAÇÃO</vt:lpstr>
      <vt:lpstr>Base</vt:lpstr>
      <vt:lpstr>DEPARA - MATRICULAS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Leandro Pereira dos Santos</dc:creator>
  <cp:keywords/>
  <dc:description/>
  <cp:lastModifiedBy>Luciany Thomaz Laskowski Mikos</cp:lastModifiedBy>
  <cp:revision/>
  <dcterms:created xsi:type="dcterms:W3CDTF">2014-02-19T18:50:43Z</dcterms:created>
  <dcterms:modified xsi:type="dcterms:W3CDTF">2021-06-30T17:05:39Z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TC029300289991</vt:lpwstr>
  </property>
  <property fmtid="{D5CDD505-2E9C-101B-9397-08002B2CF9AE}" pid="3" name="ContentTypeId">
    <vt:lpwstr>0x01010088F953BC913DB64F98B62478552C1D6F</vt:lpwstr>
  </property>
  <property fmtid="{D5CDD505-2E9C-101B-9397-08002B2CF9AE}" pid="4" name="AuthorIds_UIVersion_80384">
    <vt:lpwstr>14</vt:lpwstr>
  </property>
  <property fmtid="{D5CDD505-2E9C-101B-9397-08002B2CF9AE}" pid="5" name="AuthorIds_UIVersion_82432">
    <vt:lpwstr>14</vt:lpwstr>
  </property>
  <property fmtid="{D5CDD505-2E9C-101B-9397-08002B2CF9AE}" pid="6" name="AuthorIds_UIVersion_90624">
    <vt:lpwstr>14</vt:lpwstr>
  </property>
  <property fmtid="{D5CDD505-2E9C-101B-9397-08002B2CF9AE}" pid="7" name="AuthorIds_UIVersion_92160">
    <vt:lpwstr>14</vt:lpwstr>
  </property>
  <property fmtid="{D5CDD505-2E9C-101B-9397-08002B2CF9AE}" pid="8" name="AuthorIds_UIVersion_99840">
    <vt:lpwstr>14</vt:lpwstr>
  </property>
  <property fmtid="{D5CDD505-2E9C-101B-9397-08002B2CF9AE}" pid="9" name="AuthorIds_UIVersion_109568">
    <vt:lpwstr>14</vt:lpwstr>
  </property>
  <property fmtid="{D5CDD505-2E9C-101B-9397-08002B2CF9AE}" pid="10" name="AuthorIds_UIVersion_110080">
    <vt:lpwstr>14</vt:lpwstr>
  </property>
  <property fmtid="{D5CDD505-2E9C-101B-9397-08002B2CF9AE}" pid="11" name="AuthorIds_UIVersion_115200">
    <vt:lpwstr>14</vt:lpwstr>
  </property>
  <property fmtid="{D5CDD505-2E9C-101B-9397-08002B2CF9AE}" pid="12" name="AuthorIds_UIVersion_115712">
    <vt:lpwstr>14</vt:lpwstr>
  </property>
  <property fmtid="{D5CDD505-2E9C-101B-9397-08002B2CF9AE}" pid="13" name="AuthorIds_UIVersion_116736">
    <vt:lpwstr>14</vt:lpwstr>
  </property>
  <property fmtid="{D5CDD505-2E9C-101B-9397-08002B2CF9AE}" pid="14" name="AuthorIds_UIVersion_117760">
    <vt:lpwstr>14</vt:lpwstr>
  </property>
  <property fmtid="{D5CDD505-2E9C-101B-9397-08002B2CF9AE}" pid="15" name="AuthorIds_UIVersion_122368">
    <vt:lpwstr>14</vt:lpwstr>
  </property>
  <property fmtid="{D5CDD505-2E9C-101B-9397-08002B2CF9AE}" pid="16" name="AuthorIds_UIVersion_123392">
    <vt:lpwstr>14</vt:lpwstr>
  </property>
  <property fmtid="{D5CDD505-2E9C-101B-9397-08002B2CF9AE}" pid="17" name="AuthorIds_UIVersion_32768">
    <vt:lpwstr>14</vt:lpwstr>
  </property>
  <property fmtid="{D5CDD505-2E9C-101B-9397-08002B2CF9AE}" pid="18" name="AuthorIds_UIVersion_36352">
    <vt:lpwstr>14</vt:lpwstr>
  </property>
  <property fmtid="{D5CDD505-2E9C-101B-9397-08002B2CF9AE}" pid="19" name="AuthorIds_UIVersion_37376">
    <vt:lpwstr>14</vt:lpwstr>
  </property>
  <property fmtid="{D5CDD505-2E9C-101B-9397-08002B2CF9AE}" pid="20" name="AuthorIds_UIVersion_48128">
    <vt:lpwstr>14</vt:lpwstr>
  </property>
  <property fmtid="{D5CDD505-2E9C-101B-9397-08002B2CF9AE}" pid="21" name="AuthorIds_UIVersion_50176">
    <vt:lpwstr>14</vt:lpwstr>
  </property>
  <property fmtid="{D5CDD505-2E9C-101B-9397-08002B2CF9AE}" pid="22" name="AuthorIds_UIVersion_55808">
    <vt:lpwstr>14</vt:lpwstr>
  </property>
  <property fmtid="{D5CDD505-2E9C-101B-9397-08002B2CF9AE}" pid="23" name="AuthorIds_UIVersion_61440">
    <vt:lpwstr>14</vt:lpwstr>
  </property>
  <property fmtid="{D5CDD505-2E9C-101B-9397-08002B2CF9AE}" pid="24" name="AuthorIds_UIVersion_67072">
    <vt:lpwstr>14</vt:lpwstr>
  </property>
</Properties>
</file>